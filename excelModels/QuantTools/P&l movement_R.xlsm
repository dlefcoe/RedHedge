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Quant Tools\excel\"/>
    </mc:Choice>
  </mc:AlternateContent>
  <xr:revisionPtr revIDLastSave="0" documentId="13_ncr:1_{D9CBC059-5938-4033-9B24-3AF256B4915E}" xr6:coauthVersionLast="45" xr6:coauthVersionMax="45" xr10:uidLastSave="{00000000-0000-0000-0000-000000000000}"/>
  <bookViews>
    <workbookView xWindow="-110" yWindow="-110" windowWidth="38620" windowHeight="21220" tabRatio="784" activeTab="1" xr2:uid="{63F3AA0A-F2FD-46B7-84D7-45400F50195A}"/>
  </bookViews>
  <sheets>
    <sheet name="pnl" sheetId="24" r:id="rId1"/>
    <sheet name="newResult" sheetId="11" r:id="rId2"/>
    <sheet name="groupResult" sheetId="14" r:id="rId3"/>
    <sheet name="trades" sheetId="25" r:id="rId4"/>
    <sheet name="pal_b" sheetId="23" r:id="rId5"/>
    <sheet name="pal_e" sheetId="19" r:id="rId6"/>
    <sheet name="pal" sheetId="10" r:id="rId7"/>
    <sheet name="pal2" sheetId="12" r:id="rId8"/>
    <sheet name="pal3" sheetId="13" r:id="rId9"/>
    <sheet name="blotter" sheetId="22" r:id="rId10"/>
    <sheet name="Sheet2" sheetId="21" r:id="rId11"/>
  </sheets>
  <functionGroups builtInGroupCount="19"/>
  <definedNames>
    <definedName name="current_price">_xlfn.ANCHORARRAY(newResult!$Y$42)</definedName>
    <definedName name="dump_RH_isin_snap1">newResult!$AI$42</definedName>
    <definedName name="dump_total_PnL_snap1">newResult!$AJ$42</definedName>
    <definedName name="ExternalData_1" localSheetId="6" hidden="1">pal!$A$1:$AF$368</definedName>
    <definedName name="ExternalData_1" localSheetId="4" hidden="1">pal_b!$A$1:$O$61</definedName>
    <definedName name="ExternalData_2" localSheetId="5" hidden="1">pal_e!$A$1:$AD$325</definedName>
    <definedName name="_xlnm.Print_Area" localSheetId="2">groupResult!$C$4:$R$47</definedName>
    <definedName name="_xlnm.Print_Area" localSheetId="1">newResult!$R$6:$AS$314</definedName>
    <definedName name="rh_isin">_xlfn.ANCHORARRAY(newResult!$C$42)</definedName>
    <definedName name="snap_01">newResult!$AI$42:$AJ$313</definedName>
    <definedName name="snap_02">newResult!$AO$42:$AP$313</definedName>
    <definedName name="time_stamp">newResult!$AJ$38</definedName>
    <definedName name="time_stamp_old">newResult!$AP$38</definedName>
    <definedName name="total_pl">_xlfn.ANCHORARRAY(newResult!$AB$42)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2" i="11" l="1" a="1"/>
  <c r="G42" i="11" s="1"/>
  <c r="K42" i="11" a="1"/>
  <c r="K42" i="11" s="1"/>
  <c r="D6" i="25" a="1"/>
  <c r="D6" i="25" s="1"/>
  <c r="G6" i="25" a="1"/>
  <c r="G6" i="25" s="1"/>
  <c r="D42" i="11" a="1"/>
  <c r="D42" i="11" s="1"/>
  <c r="L28" i="11" a="1"/>
  <c r="L29" i="11" a="1"/>
  <c r="E28" i="11" a="1"/>
  <c r="E29" i="11" a="1"/>
  <c r="L29" i="11" l="1"/>
  <c r="L28" i="11"/>
  <c r="E29" i="11"/>
  <c r="E28" i="11"/>
  <c r="F6" i="25" a="1"/>
  <c r="F6" i="25" s="1"/>
  <c r="L6" i="25" a="1"/>
  <c r="L6" i="25" s="1"/>
  <c r="H6" i="25" a="1"/>
  <c r="H6" i="25" s="1"/>
  <c r="I6" i="25" s="1" a="1"/>
  <c r="I6" i="25" s="1"/>
  <c r="J6" i="25" a="1"/>
  <c r="J6" i="25" s="1"/>
  <c r="C6" i="25" a="1"/>
  <c r="C6" i="25" s="1"/>
  <c r="E6" i="25" s="1" a="1"/>
  <c r="E6" i="25" s="1"/>
  <c r="I13" i="24" a="1"/>
  <c r="I13" i="24" s="1"/>
  <c r="H13" i="24" a="1"/>
  <c r="H13" i="24" s="1"/>
  <c r="G13" i="24" a="1"/>
  <c r="G13" i="24" s="1"/>
  <c r="M13" i="24" a="1"/>
  <c r="M13" i="24" s="1"/>
  <c r="N13" i="24" s="1" a="1"/>
  <c r="N13" i="24" s="1"/>
  <c r="F13" i="24" a="1"/>
  <c r="F13" i="24" s="1"/>
  <c r="K13" i="24" a="1"/>
  <c r="K13" i="24" s="1"/>
  <c r="J13" i="24" a="1"/>
  <c r="J13" i="24" s="1"/>
  <c r="D13" i="24" a="1"/>
  <c r="D13" i="24" s="1"/>
  <c r="C13" i="24" a="1"/>
  <c r="C13" i="24" s="1"/>
  <c r="O13" i="24" a="1"/>
  <c r="K6" i="25" l="1" a="1"/>
  <c r="K6" i="25" s="1"/>
  <c r="AJ11" i="11" s="1" a="1"/>
  <c r="AJ11" i="11" s="1"/>
  <c r="Q13" i="24" a="1"/>
  <c r="Q13" i="24" s="1"/>
  <c r="V13" i="24" s="1" a="1"/>
  <c r="V13" i="24" s="1"/>
  <c r="M6" i="25" a="1"/>
  <c r="M6" i="25" s="1"/>
  <c r="O13" i="24"/>
  <c r="R13" i="24" s="1" a="1"/>
  <c r="R13" i="24" s="1"/>
  <c r="R8" i="24" s="1"/>
  <c r="L13" i="24" a="1"/>
  <c r="L13" i="24" s="1"/>
  <c r="E13" i="24" a="1"/>
  <c r="E13" i="24" s="1"/>
  <c r="AD1" i="21"/>
  <c r="T13" i="24" l="1" a="1"/>
  <c r="T13" i="24" s="1"/>
  <c r="AD313" i="11"/>
  <c r="AC313" i="11"/>
  <c r="E27" i="11" a="1"/>
  <c r="E27" i="11" l="1"/>
  <c r="AD312" i="11"/>
  <c r="AC312" i="11"/>
  <c r="AD311" i="11" l="1"/>
  <c r="AC311" i="11"/>
  <c r="AD310" i="11" l="1"/>
  <c r="AC310" i="11"/>
  <c r="AD309" i="11" l="1"/>
  <c r="AC309" i="11"/>
  <c r="AD308" i="11" l="1"/>
  <c r="AC308" i="11"/>
  <c r="AD307" i="11" l="1"/>
  <c r="AC307" i="11"/>
  <c r="AD306" i="11" l="1"/>
  <c r="AC306" i="11"/>
  <c r="AD305" i="11" l="1"/>
  <c r="AC305" i="11"/>
  <c r="AD304" i="11" l="1"/>
  <c r="AC304" i="11"/>
  <c r="AD303" i="11" l="1"/>
  <c r="AC303" i="11"/>
  <c r="AD302" i="11" l="1"/>
  <c r="AC302" i="11"/>
  <c r="AD301" i="11" l="1"/>
  <c r="AC301" i="11"/>
  <c r="AD300" i="11" l="1"/>
  <c r="AC300" i="11"/>
  <c r="AD299" i="11" l="1"/>
  <c r="AC299" i="11"/>
  <c r="AD298" i="11" l="1"/>
  <c r="AC298" i="11"/>
  <c r="AD297" i="11" l="1"/>
  <c r="AC297" i="11"/>
  <c r="AD296" i="11" l="1"/>
  <c r="AC296" i="11"/>
  <c r="AD295" i="11" l="1"/>
  <c r="AC295" i="11"/>
  <c r="AD294" i="11" l="1"/>
  <c r="AC294" i="11"/>
  <c r="AD293" i="11" l="1"/>
  <c r="AC293" i="11"/>
  <c r="AD292" i="11" l="1"/>
  <c r="AC292" i="11"/>
  <c r="AD291" i="11" l="1"/>
  <c r="AC291" i="11"/>
  <c r="AD290" i="11" l="1"/>
  <c r="AC290" i="11"/>
  <c r="AD289" i="11" l="1"/>
  <c r="AC289" i="11"/>
  <c r="AD288" i="11" l="1"/>
  <c r="AC288" i="11"/>
  <c r="AD287" i="11" l="1"/>
  <c r="AC287" i="11"/>
  <c r="AD286" i="11" l="1"/>
  <c r="AC286" i="11"/>
  <c r="AD285" i="11" l="1"/>
  <c r="AC285" i="11"/>
  <c r="AA42" i="11" l="1" a="1"/>
  <c r="AA42" i="11" s="1"/>
  <c r="Z42" i="11" a="1"/>
  <c r="Z42" i="11" s="1"/>
  <c r="W42" i="11" a="1"/>
  <c r="W42" i="11" s="1"/>
  <c r="V42" i="11" a="1"/>
  <c r="U42" i="11" a="1"/>
  <c r="U42" i="11" s="1"/>
  <c r="J42" i="11" a="1"/>
  <c r="J42" i="11" s="1"/>
  <c r="E42" i="11" a="1"/>
  <c r="C42" i="11" a="1"/>
  <c r="U38" i="11"/>
  <c r="U39" i="11" s="1"/>
  <c r="J16" i="11" l="1" a="1"/>
  <c r="J16" i="11" s="1"/>
  <c r="V42" i="11"/>
  <c r="E42" i="11"/>
  <c r="X42" i="11" s="1" a="1"/>
  <c r="X42" i="11" s="1"/>
  <c r="C42" i="11"/>
  <c r="Y42" i="11" a="1"/>
  <c r="N42" i="11" a="1"/>
  <c r="Y42" i="11" l="1"/>
  <c r="H42" i="11" a="1"/>
  <c r="H42" i="11" s="1"/>
  <c r="N42" i="11"/>
  <c r="T42" i="11" a="1"/>
  <c r="T42" i="11" s="1"/>
  <c r="N6" i="25" s="1" a="1"/>
  <c r="S42" i="11" a="1"/>
  <c r="S42" i="11" s="1"/>
  <c r="AF34" i="11" l="1"/>
  <c r="N6" i="25"/>
  <c r="O6" i="25" s="1" a="1"/>
  <c r="E26" i="11" a="1"/>
  <c r="O6" i="25" l="1"/>
  <c r="S13" i="24" s="1" a="1"/>
  <c r="S13" i="24" s="1"/>
  <c r="S8" i="24" s="1"/>
  <c r="I42" i="11" a="1"/>
  <c r="I42" i="11" s="1"/>
  <c r="L42" i="11" s="1" a="1"/>
  <c r="L42" i="11" s="1"/>
  <c r="M42" i="11" s="1" a="1"/>
  <c r="M42" i="11" s="1"/>
  <c r="AB42" i="11" s="1" a="1"/>
  <c r="AB42" i="11" s="1"/>
  <c r="E26" i="11"/>
  <c r="E25" i="11" a="1"/>
  <c r="AF35" i="11" l="1"/>
  <c r="AF36" i="11" s="1"/>
  <c r="E25" i="11"/>
  <c r="AE24" i="11" a="1"/>
  <c r="AE24" i="11" s="1"/>
  <c r="AE15" i="11" a="1"/>
  <c r="AE15" i="11" s="1"/>
  <c r="E3" i="11" a="1"/>
  <c r="AC209" i="11" l="1"/>
  <c r="AD284" i="11"/>
  <c r="AC284" i="11"/>
  <c r="AD283" i="11"/>
  <c r="AC283" i="11"/>
  <c r="AD282" i="11"/>
  <c r="AC282" i="11"/>
  <c r="AD281" i="11"/>
  <c r="AC281" i="11"/>
  <c r="AD280" i="11"/>
  <c r="AC280" i="11"/>
  <c r="AD278" i="11"/>
  <c r="AD279" i="11"/>
  <c r="AC279" i="11"/>
  <c r="AC277" i="11"/>
  <c r="AC262" i="11"/>
  <c r="AC272" i="11"/>
  <c r="AD267" i="11"/>
  <c r="AD262" i="11"/>
  <c r="AC276" i="11"/>
  <c r="AD276" i="11"/>
  <c r="AD266" i="11"/>
  <c r="AD271" i="11"/>
  <c r="AC271" i="11"/>
  <c r="AD269" i="11"/>
  <c r="AD268" i="11"/>
  <c r="AC269" i="11"/>
  <c r="AD265" i="11"/>
  <c r="AD273" i="11"/>
  <c r="AD275" i="11"/>
  <c r="AD272" i="11"/>
  <c r="AD263" i="11"/>
  <c r="AC263" i="11"/>
  <c r="AC265" i="11"/>
  <c r="AD270" i="11"/>
  <c r="AC270" i="11"/>
  <c r="AD264" i="11"/>
  <c r="AC264" i="11"/>
  <c r="AC268" i="11"/>
  <c r="AC275" i="11"/>
  <c r="AC266" i="11"/>
  <c r="AC267" i="11"/>
  <c r="AD274" i="11"/>
  <c r="AD277" i="11"/>
  <c r="AC273" i="11"/>
  <c r="AC274" i="11"/>
  <c r="AC278" i="11"/>
  <c r="E3" i="11"/>
  <c r="AC194" i="11" l="1"/>
  <c r="AD148" i="11"/>
  <c r="AD93" i="11"/>
  <c r="AC230" i="11"/>
  <c r="AD225" i="11"/>
  <c r="AD227" i="11"/>
  <c r="AD129" i="11"/>
  <c r="AD214" i="11"/>
  <c r="AC164" i="11"/>
  <c r="AD119" i="11"/>
  <c r="AD150" i="11"/>
  <c r="AD261" i="11"/>
  <c r="AD144" i="11"/>
  <c r="AC114" i="11"/>
  <c r="AC260" i="11"/>
  <c r="AD249" i="11"/>
  <c r="AC70" i="11"/>
  <c r="AC179" i="11"/>
  <c r="AD54" i="11"/>
  <c r="AC251" i="11"/>
  <c r="AD180" i="11"/>
  <c r="AD45" i="11"/>
  <c r="AD72" i="11"/>
  <c r="AC236" i="11"/>
  <c r="AD79" i="11"/>
  <c r="AC259" i="11"/>
  <c r="AD186" i="11"/>
  <c r="AD211" i="11"/>
  <c r="AC161" i="11"/>
  <c r="AC127" i="11"/>
  <c r="AD189" i="11"/>
  <c r="AC149" i="11"/>
  <c r="AC215" i="11"/>
  <c r="AD126" i="11"/>
  <c r="AD111" i="11"/>
  <c r="AC137" i="11"/>
  <c r="AC261" i="11"/>
  <c r="AD92" i="11"/>
  <c r="AD57" i="11"/>
  <c r="AD141" i="11"/>
  <c r="AC186" i="11"/>
  <c r="AD197" i="11"/>
  <c r="AD243" i="11"/>
  <c r="AC159" i="11"/>
  <c r="AD124" i="11"/>
  <c r="AD234" i="11"/>
  <c r="AD246" i="11"/>
  <c r="AD251" i="11"/>
  <c r="AC131" i="11"/>
  <c r="AD78" i="11"/>
  <c r="AD85" i="11"/>
  <c r="AD97" i="11"/>
  <c r="AD228" i="11"/>
  <c r="AC93" i="11"/>
  <c r="AD178" i="11"/>
  <c r="AC235" i="11"/>
  <c r="AC129" i="11"/>
  <c r="AD210" i="11"/>
  <c r="AC154" i="11"/>
  <c r="AD260" i="11"/>
  <c r="AC57" i="11"/>
  <c r="AD192" i="11"/>
  <c r="AD46" i="11"/>
  <c r="AC132" i="11"/>
  <c r="AD87" i="11"/>
  <c r="AC46" i="11"/>
  <c r="AC158" i="11"/>
  <c r="AC156" i="11"/>
  <c r="AC81" i="11"/>
  <c r="AD259" i="11"/>
  <c r="AC226" i="11"/>
  <c r="AD109" i="11"/>
  <c r="AD61" i="11"/>
  <c r="AC54" i="11"/>
  <c r="AD176" i="11"/>
  <c r="AD170" i="11"/>
  <c r="AF24" i="11" a="1"/>
  <c r="AF24" i="11" s="1"/>
  <c r="AF31" i="11" s="1"/>
  <c r="AD110" i="11"/>
  <c r="AC59" i="11"/>
  <c r="AC102" i="11"/>
  <c r="AD125" i="11"/>
  <c r="AC196" i="11"/>
  <c r="AD216" i="11"/>
  <c r="AC193" i="11"/>
  <c r="AC122" i="11"/>
  <c r="AD242" i="11"/>
  <c r="AC191" i="11"/>
  <c r="AD151" i="11"/>
  <c r="AC72" i="11"/>
  <c r="AD80" i="11"/>
  <c r="AC69" i="11"/>
  <c r="AC78" i="11"/>
  <c r="AC174" i="11"/>
  <c r="AD63" i="11"/>
  <c r="AC64" i="11"/>
  <c r="AD168" i="11"/>
  <c r="AC237" i="11"/>
  <c r="AD235" i="11"/>
  <c r="AC258" i="11"/>
  <c r="AD53" i="11"/>
  <c r="AD257" i="11"/>
  <c r="AC62" i="11"/>
  <c r="AD108" i="11"/>
  <c r="AC181" i="11"/>
  <c r="AD149" i="11"/>
  <c r="AD230" i="11"/>
  <c r="AD69" i="11"/>
  <c r="AD221" i="11"/>
  <c r="AD68" i="11"/>
  <c r="AC145" i="11"/>
  <c r="AC67" i="11"/>
  <c r="AC244" i="11"/>
  <c r="AC190" i="11"/>
  <c r="AD159" i="11"/>
  <c r="AD77" i="11"/>
  <c r="AC218" i="11"/>
  <c r="AC84" i="11"/>
  <c r="AC249" i="11"/>
  <c r="AC75" i="11"/>
  <c r="AD130" i="11"/>
  <c r="AD255" i="11"/>
  <c r="AC85" i="11"/>
  <c r="AD209" i="11"/>
  <c r="AD166" i="11"/>
  <c r="AD165" i="11"/>
  <c r="AD86" i="11"/>
  <c r="AD207" i="11"/>
  <c r="AC45" i="11"/>
  <c r="AC83" i="11"/>
  <c r="AC140" i="11"/>
  <c r="AC243" i="11"/>
  <c r="AD128" i="11"/>
  <c r="AC141" i="11"/>
  <c r="AC227" i="11"/>
  <c r="AD237" i="11"/>
  <c r="AD113" i="11"/>
  <c r="AD142" i="11"/>
  <c r="AC91" i="11"/>
  <c r="AD51" i="11"/>
  <c r="AD213" i="11"/>
  <c r="AC228" i="11"/>
  <c r="AD248" i="11"/>
  <c r="AC225" i="11"/>
  <c r="AC242" i="11"/>
  <c r="AD117" i="11"/>
  <c r="AC223" i="11"/>
  <c r="AD183" i="11"/>
  <c r="AC104" i="11"/>
  <c r="AD116" i="11"/>
  <c r="AC101" i="11"/>
  <c r="AC250" i="11"/>
  <c r="AC55" i="11"/>
  <c r="AD103" i="11"/>
  <c r="AC112" i="11"/>
  <c r="AD212" i="11"/>
  <c r="AD229" i="11"/>
  <c r="AD74" i="11"/>
  <c r="AD201" i="11"/>
  <c r="AC150" i="11"/>
  <c r="AD47" i="11"/>
  <c r="AC56" i="11"/>
  <c r="AD160" i="11"/>
  <c r="AC221" i="11"/>
  <c r="AC76" i="11"/>
  <c r="AD177" i="11"/>
  <c r="AC50" i="11"/>
  <c r="AC94" i="11"/>
  <c r="AD120" i="11"/>
  <c r="AC185" i="11"/>
  <c r="AC147" i="11"/>
  <c r="AD84" i="11"/>
  <c r="AD94" i="11"/>
  <c r="AD239" i="11"/>
  <c r="AC77" i="11"/>
  <c r="AC115" i="11"/>
  <c r="AC172" i="11"/>
  <c r="AD134" i="11"/>
  <c r="AC202" i="11"/>
  <c r="AD254" i="11"/>
  <c r="AD241" i="11"/>
  <c r="AC173" i="11"/>
  <c r="AD91" i="11"/>
  <c r="AC163" i="11"/>
  <c r="AC170" i="11"/>
  <c r="AD182" i="11"/>
  <c r="AD185" i="11"/>
  <c r="AC125" i="11"/>
  <c r="AC171" i="11"/>
  <c r="AC220" i="11"/>
  <c r="AD171" i="11"/>
  <c r="AC203" i="11"/>
  <c r="AC118" i="11"/>
  <c r="AC189" i="11"/>
  <c r="AD155" i="11"/>
  <c r="AC166" i="11"/>
  <c r="AD226" i="11"/>
  <c r="AD205" i="11"/>
  <c r="AD64" i="11"/>
  <c r="AD107" i="11"/>
  <c r="AD190" i="11"/>
  <c r="AD121" i="11"/>
  <c r="AC105" i="11"/>
  <c r="AC204" i="11"/>
  <c r="AD71" i="11"/>
  <c r="AD222" i="11"/>
  <c r="AC169" i="11"/>
  <c r="AC214" i="11"/>
  <c r="AD167" i="11"/>
  <c r="AC211" i="11"/>
  <c r="AC205" i="11"/>
  <c r="AD199" i="11"/>
  <c r="AD133" i="11"/>
  <c r="AD127" i="11"/>
  <c r="AD236" i="11"/>
  <c r="AC106" i="11"/>
  <c r="AC52" i="11"/>
  <c r="AC217" i="11"/>
  <c r="AC74" i="11"/>
  <c r="AD174" i="11"/>
  <c r="AC123" i="11"/>
  <c r="AD83" i="11"/>
  <c r="AD245" i="11"/>
  <c r="AD145" i="11"/>
  <c r="AC257" i="11"/>
  <c r="AD50" i="11"/>
  <c r="AC126" i="11"/>
  <c r="AC255" i="11"/>
  <c r="AD215" i="11"/>
  <c r="AC136" i="11"/>
  <c r="AD152" i="11"/>
  <c r="AC133" i="11"/>
  <c r="AD66" i="11"/>
  <c r="AC103" i="11"/>
  <c r="AD143" i="11"/>
  <c r="AC152" i="11"/>
  <c r="AD146" i="11"/>
  <c r="AC116" i="11"/>
  <c r="AD122" i="11"/>
  <c r="AC222" i="11"/>
  <c r="AC47" i="11"/>
  <c r="AD95" i="11"/>
  <c r="AC96" i="11"/>
  <c r="AD200" i="11"/>
  <c r="AD181" i="11"/>
  <c r="AC58" i="11"/>
  <c r="AC162" i="11"/>
  <c r="AD59" i="11"/>
  <c r="AC60" i="11"/>
  <c r="AD164" i="11"/>
  <c r="AC233" i="11"/>
  <c r="AD101" i="11"/>
  <c r="AD172" i="11"/>
  <c r="AD218" i="11"/>
  <c r="AD233" i="11"/>
  <c r="AC157" i="11"/>
  <c r="AD203" i="11"/>
  <c r="AC252" i="11"/>
  <c r="AD173" i="11"/>
  <c r="AC238" i="11"/>
  <c r="AC88" i="11"/>
  <c r="AC253" i="11"/>
  <c r="AD123" i="11"/>
  <c r="AC71" i="11"/>
  <c r="AC120" i="11"/>
  <c r="AC86" i="11"/>
  <c r="AC48" i="11"/>
  <c r="AC213" i="11"/>
  <c r="AD56" i="11"/>
  <c r="AC180" i="11"/>
  <c r="AC124" i="11"/>
  <c r="AD73" i="11"/>
  <c r="AD206" i="11"/>
  <c r="AC155" i="11"/>
  <c r="AD115" i="11"/>
  <c r="AC198" i="11"/>
  <c r="AC82" i="11"/>
  <c r="AD88" i="11"/>
  <c r="AD82" i="11"/>
  <c r="AC206" i="11"/>
  <c r="AD157" i="11"/>
  <c r="AD247" i="11"/>
  <c r="AC168" i="11"/>
  <c r="AD184" i="11"/>
  <c r="AC165" i="11"/>
  <c r="AD106" i="11"/>
  <c r="AC143" i="11"/>
  <c r="AD191" i="11"/>
  <c r="AC192" i="11"/>
  <c r="AC130" i="11"/>
  <c r="AD198" i="11"/>
  <c r="AD132" i="11"/>
  <c r="AD162" i="11"/>
  <c r="AD58" i="11"/>
  <c r="AC87" i="11"/>
  <c r="AD135" i="11"/>
  <c r="AC144" i="11"/>
  <c r="AD244" i="11"/>
  <c r="AC254" i="11"/>
  <c r="AD224" i="11"/>
  <c r="AC246" i="11"/>
  <c r="AC51" i="11"/>
  <c r="AD99" i="11"/>
  <c r="AC108" i="11"/>
  <c r="AD204" i="11"/>
  <c r="AD67" i="11"/>
  <c r="AD49" i="11"/>
  <c r="AC138" i="11"/>
  <c r="AC80" i="11"/>
  <c r="AC245" i="11"/>
  <c r="AD169" i="11"/>
  <c r="AD96" i="11"/>
  <c r="AD104" i="11"/>
  <c r="AC212" i="11"/>
  <c r="AC119" i="11"/>
  <c r="AC176" i="11"/>
  <c r="AC92" i="11"/>
  <c r="AC44" i="11"/>
  <c r="AC151" i="11"/>
  <c r="AC208" i="11"/>
  <c r="AC79" i="11"/>
  <c r="AC128" i="11"/>
  <c r="AD43" i="11"/>
  <c r="AD156" i="11"/>
  <c r="AD196" i="11"/>
  <c r="AD140" i="11"/>
  <c r="AC98" i="11"/>
  <c r="AD238" i="11"/>
  <c r="AC187" i="11"/>
  <c r="AD147" i="11"/>
  <c r="AC68" i="11"/>
  <c r="AD76" i="11"/>
  <c r="AC65" i="11"/>
  <c r="AD114" i="11"/>
  <c r="AC63" i="11"/>
  <c r="AC134" i="11"/>
  <c r="AD137" i="11"/>
  <c r="AC200" i="11"/>
  <c r="AD220" i="11"/>
  <c r="AC197" i="11"/>
  <c r="AD154" i="11"/>
  <c r="AC183" i="11"/>
  <c r="AD231" i="11"/>
  <c r="AC240" i="11"/>
  <c r="AC61" i="11"/>
  <c r="AC107" i="11"/>
  <c r="AC73" i="11"/>
  <c r="AD202" i="11"/>
  <c r="AD98" i="11"/>
  <c r="AC135" i="11"/>
  <c r="AD175" i="11"/>
  <c r="AC184" i="11"/>
  <c r="AC90" i="11"/>
  <c r="AD158" i="11"/>
  <c r="AD44" i="11"/>
  <c r="AD62" i="11"/>
  <c r="AC99" i="11"/>
  <c r="AD139" i="11"/>
  <c r="AC148" i="11"/>
  <c r="AD256" i="11"/>
  <c r="AD70" i="11"/>
  <c r="AC195" i="11"/>
  <c r="AC113" i="11"/>
  <c r="AC111" i="11"/>
  <c r="AC160" i="11"/>
  <c r="AD75" i="11"/>
  <c r="AD188" i="11"/>
  <c r="AC89" i="11"/>
  <c r="AD232" i="11"/>
  <c r="AC207" i="11"/>
  <c r="AC256" i="11"/>
  <c r="AD258" i="11"/>
  <c r="AD65" i="11"/>
  <c r="AD48" i="11"/>
  <c r="AC239" i="11"/>
  <c r="AD253" i="11"/>
  <c r="AC167" i="11"/>
  <c r="AC216" i="11"/>
  <c r="AD161" i="11"/>
  <c r="AD131" i="11"/>
  <c r="AD240" i="11"/>
  <c r="AC177" i="11"/>
  <c r="AD208" i="11"/>
  <c r="AC234" i="11"/>
  <c r="AD81" i="11"/>
  <c r="AC219" i="11"/>
  <c r="AD179" i="11"/>
  <c r="AC100" i="11"/>
  <c r="AD112" i="11"/>
  <c r="AC97" i="11"/>
  <c r="AC146" i="11"/>
  <c r="AC95" i="11"/>
  <c r="AD55" i="11"/>
  <c r="AD217" i="11"/>
  <c r="AC232" i="11"/>
  <c r="AD252" i="11"/>
  <c r="AC229" i="11"/>
  <c r="AD194" i="11"/>
  <c r="AC231" i="11"/>
  <c r="AD105" i="11"/>
  <c r="AD153" i="11"/>
  <c r="AC109" i="11"/>
  <c r="AD195" i="11"/>
  <c r="AC201" i="11"/>
  <c r="AD250" i="11"/>
  <c r="AD138" i="11"/>
  <c r="AC175" i="11"/>
  <c r="AD223" i="11"/>
  <c r="AC224" i="11"/>
  <c r="AC53" i="11"/>
  <c r="AC182" i="11"/>
  <c r="AC153" i="11"/>
  <c r="AD102" i="11"/>
  <c r="AC139" i="11"/>
  <c r="AD187" i="11"/>
  <c r="AC188" i="11"/>
  <c r="AC110" i="11"/>
  <c r="AD118" i="11"/>
  <c r="AC142" i="11"/>
  <c r="AC241" i="11"/>
  <c r="AC199" i="11"/>
  <c r="AC248" i="11"/>
  <c r="AC210" i="11"/>
  <c r="AD163" i="11"/>
  <c r="AD89" i="11"/>
  <c r="AD60" i="11"/>
  <c r="AC121" i="11"/>
  <c r="AD193" i="11"/>
  <c r="AD100" i="11"/>
  <c r="AC43" i="11"/>
  <c r="AC66" i="11"/>
  <c r="AC178" i="11"/>
  <c r="AD136" i="11"/>
  <c r="AC247" i="11"/>
  <c r="AD52" i="11"/>
  <c r="AD90" i="11"/>
  <c r="AD219" i="11"/>
  <c r="AC49" i="11"/>
  <c r="AC117" i="11"/>
  <c r="K24" i="14"/>
  <c r="D24" i="14"/>
  <c r="AD42" i="11" l="1"/>
  <c r="AF15" i="11" a="1"/>
  <c r="AF15" i="11" s="1"/>
  <c r="AF20" i="11" s="1"/>
  <c r="AF9" i="11"/>
  <c r="AC42" i="11"/>
  <c r="O30" i="14"/>
  <c r="N30" i="14"/>
  <c r="M30" i="14"/>
  <c r="L30" i="14"/>
  <c r="K30" i="14"/>
  <c r="K38" i="14" s="1"/>
  <c r="H30" i="14"/>
  <c r="G30" i="14"/>
  <c r="F30" i="14"/>
  <c r="E30" i="14"/>
  <c r="D30" i="14"/>
  <c r="O29" i="14"/>
  <c r="N29" i="14"/>
  <c r="M29" i="14"/>
  <c r="L29" i="14"/>
  <c r="K29" i="14"/>
  <c r="K37" i="14" s="1"/>
  <c r="H29" i="14"/>
  <c r="G29" i="14"/>
  <c r="F29" i="14"/>
  <c r="E29" i="14"/>
  <c r="D29" i="14"/>
  <c r="O28" i="14"/>
  <c r="N28" i="14"/>
  <c r="M28" i="14"/>
  <c r="L28" i="14"/>
  <c r="K28" i="14"/>
  <c r="K36" i="14" s="1"/>
  <c r="H28" i="14"/>
  <c r="G28" i="14"/>
  <c r="F28" i="14"/>
  <c r="E28" i="14"/>
  <c r="D28" i="14"/>
  <c r="O27" i="14"/>
  <c r="N27" i="14"/>
  <c r="M27" i="14"/>
  <c r="L27" i="14"/>
  <c r="K27" i="14"/>
  <c r="K35" i="14" s="1"/>
  <c r="H27" i="14"/>
  <c r="G27" i="14"/>
  <c r="F27" i="14"/>
  <c r="E27" i="14"/>
  <c r="D27" i="14"/>
  <c r="O26" i="14"/>
  <c r="N26" i="14"/>
  <c r="M26" i="14"/>
  <c r="L26" i="14"/>
  <c r="K26" i="14"/>
  <c r="K34" i="14" s="1"/>
  <c r="H26" i="14"/>
  <c r="G26" i="14"/>
  <c r="F26" i="14"/>
  <c r="E26" i="14"/>
  <c r="D26" i="14"/>
  <c r="O25" i="14"/>
  <c r="O33" i="14" s="1"/>
  <c r="N25" i="14"/>
  <c r="N33" i="14" s="1"/>
  <c r="M25" i="14"/>
  <c r="M33" i="14" s="1"/>
  <c r="L25" i="14"/>
  <c r="L33" i="14" s="1"/>
  <c r="H25" i="14"/>
  <c r="G25" i="14"/>
  <c r="F25" i="14"/>
  <c r="E25" i="14"/>
  <c r="H22" i="14"/>
  <c r="G22" i="14"/>
  <c r="F22" i="14"/>
  <c r="E22" i="14"/>
  <c r="D22" i="14"/>
  <c r="D38" i="14" s="1"/>
  <c r="H21" i="14"/>
  <c r="G21" i="14"/>
  <c r="G37" i="14" s="1"/>
  <c r="F21" i="14"/>
  <c r="F37" i="14" s="1"/>
  <c r="E21" i="14"/>
  <c r="D21" i="14"/>
  <c r="D37" i="14" s="1"/>
  <c r="H20" i="14"/>
  <c r="G20" i="14"/>
  <c r="F20" i="14"/>
  <c r="E20" i="14"/>
  <c r="D20" i="14"/>
  <c r="D36" i="14" s="1"/>
  <c r="H19" i="14"/>
  <c r="G19" i="14"/>
  <c r="F19" i="14"/>
  <c r="E19" i="14"/>
  <c r="D19" i="14"/>
  <c r="D35" i="14" s="1"/>
  <c r="H18" i="14"/>
  <c r="G18" i="14"/>
  <c r="F18" i="14"/>
  <c r="E18" i="14"/>
  <c r="D18" i="14"/>
  <c r="D34" i="14" s="1"/>
  <c r="H17" i="14"/>
  <c r="H33" i="14" s="1"/>
  <c r="G17" i="14"/>
  <c r="G33" i="14" s="1"/>
  <c r="F17" i="14"/>
  <c r="F33" i="14" s="1"/>
  <c r="E17" i="14"/>
  <c r="E33" i="14" s="1"/>
  <c r="AF11" i="11" l="1"/>
  <c r="AF12" i="11"/>
  <c r="N36" i="14"/>
  <c r="L36" i="14"/>
  <c r="E37" i="14"/>
  <c r="H37" i="14"/>
  <c r="O38" i="14"/>
  <c r="H36" i="14"/>
  <c r="M36" i="14"/>
  <c r="L35" i="14"/>
  <c r="N38" i="14"/>
  <c r="F38" i="14"/>
  <c r="O37" i="14"/>
  <c r="N34" i="14"/>
  <c r="G35" i="14"/>
  <c r="H35" i="14"/>
  <c r="M34" i="14"/>
  <c r="E38" i="14"/>
  <c r="H34" i="14"/>
  <c r="L37" i="14"/>
  <c r="H38" i="14"/>
  <c r="M38" i="14"/>
  <c r="E36" i="14"/>
  <c r="M37" i="14"/>
  <c r="F34" i="14"/>
  <c r="O34" i="14"/>
  <c r="M35" i="14"/>
  <c r="F36" i="14"/>
  <c r="N37" i="14"/>
  <c r="G34" i="14"/>
  <c r="N35" i="14"/>
  <c r="E34" i="14"/>
  <c r="O35" i="14"/>
  <c r="G38" i="14"/>
  <c r="E35" i="14"/>
  <c r="L34" i="14"/>
  <c r="G36" i="14"/>
  <c r="F35" i="14"/>
  <c r="O36" i="14"/>
  <c r="L38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89FDF1-10EF-45EB-9D3C-60E680A1CF7D}" keepAlive="1" interval="60" name="Query - export_data_DL" description="Connection to the 'export_data_DL' query in the workbook." type="5" refreshedVersion="6" background="1" refreshOnLoad="1" saveData="1">
    <dbPr connection="Provider=Microsoft.Mashup.OleDb.1;Data Source=$Workbook$;Location=export_data_DL;Extended Properties=&quot;&quot;" command="SELECT * FROM [export_data_DL]"/>
  </connection>
  <connection id="2" xr16:uid="{DC4CBB84-3CDD-4DA2-A2E7-85284685F6A2}" keepAlive="1" interval="15" name="Query - Intraday_blotter_DL" description="Connection to the 'Intraday_blotter_DL' query in the workbook." type="5" refreshedVersion="6" background="1" refreshOnLoad="1" saveData="1">
    <dbPr connection="Provider=Microsoft.Mashup.OleDb.1;Data Source=$Workbook$;Location=Intraday_blotter_DL;Extended Properties=&quot;&quot;" command="SELECT * FROM [Intraday_blotter_DL]"/>
  </connection>
  <connection id="3" xr16:uid="{DA2CCBB7-F651-4214-897C-8D385E93FEFA}" keepAlive="1" interval="29" name="Query - PnL report_DL" description="Connection to the 'PnL report_DL' query in the workbook." type="5" refreshedVersion="6" background="1" refreshOnLoad="1" saveData="1">
    <dbPr connection="Provider=Microsoft.Mashup.OleDb.1;Data Source=$Workbook$;Location=&quot;PnL report_DL&quot;;Extended Properties=&quot;&quot;" command="SELECT * FROM [PnL report_D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<sst xmlns="http://schemas.openxmlformats.org/spreadsheetml/2006/main" count="33618" uniqueCount="2006">
  <si>
    <t>DTD P/L Price G/L</t>
  </si>
  <si>
    <t>Market Value</t>
  </si>
  <si>
    <t>ITXEB534_TRS1</t>
  </si>
  <si>
    <t>ITXEB534_JP_2025-12-20</t>
  </si>
  <si>
    <t>EUR</t>
  </si>
  <si>
    <t>CDS Index Swap</t>
  </si>
  <si>
    <t>TRS1</t>
  </si>
  <si>
    <t>Senior Unsecured</t>
  </si>
  <si>
    <t>CBBT</t>
  </si>
  <si>
    <t>VOON</t>
  </si>
  <si>
    <t>Redhedge RV Corporate Bonds Fund</t>
  </si>
  <si>
    <t>RXZ0</t>
  </si>
  <si>
    <t>RXZ0 Comdty</t>
  </si>
  <si>
    <t>Future</t>
  </si>
  <si>
    <t>MAIN</t>
  </si>
  <si>
    <t>EX</t>
  </si>
  <si>
    <t>OEZ0</t>
  </si>
  <si>
    <t>OEZ0 Comdty</t>
  </si>
  <si>
    <t>IE00B3F81R35</t>
  </si>
  <si>
    <t>IEAC LN</t>
  </si>
  <si>
    <t>Exchange Traded Fund</t>
  </si>
  <si>
    <t>IE00BL6XZW69</t>
  </si>
  <si>
    <t>TTRX LN</t>
  </si>
  <si>
    <t>DUZ0</t>
  </si>
  <si>
    <t>DUZ0 Comdty</t>
  </si>
  <si>
    <t>UBZ0</t>
  </si>
  <si>
    <t>UBZ0 Comdty</t>
  </si>
  <si>
    <t>BE6320936287</t>
  </si>
  <si>
    <t>ABIBB 3.7 04/02/40</t>
  </si>
  <si>
    <t>ABIBB</t>
  </si>
  <si>
    <t>Bond Corporate</t>
  </si>
  <si>
    <t>BGN</t>
  </si>
  <si>
    <t>BE6320935271</t>
  </si>
  <si>
    <t>ABIBB 2 7/8 04/02/32</t>
  </si>
  <si>
    <t>ACEIM</t>
  </si>
  <si>
    <t>XS1767087866</t>
  </si>
  <si>
    <t>ACEIM 1 1/2 06/08/27</t>
  </si>
  <si>
    <t>XS2250376477</t>
  </si>
  <si>
    <t>AEMSPA 0 5/8 10/28/32</t>
  </si>
  <si>
    <t>AEMSPA</t>
  </si>
  <si>
    <t>XS1139688268</t>
  </si>
  <si>
    <t>BGGRP 1 1/4 11/21/22</t>
  </si>
  <si>
    <t>BGGRP</t>
  </si>
  <si>
    <t>XS1992927902</t>
  </si>
  <si>
    <t>BPLN 1.231 05/08/31</t>
  </si>
  <si>
    <t>BPLN</t>
  </si>
  <si>
    <t>XS2135799679</t>
  </si>
  <si>
    <t>BPLN 2.519 04/07/28</t>
  </si>
  <si>
    <t>XS1493320656</t>
  </si>
  <si>
    <t>CDTFIN 0 5/8 09/22/24</t>
  </si>
  <si>
    <t>CDTFIN</t>
  </si>
  <si>
    <t>XS1222590488</t>
  </si>
  <si>
    <t>EDPPL 2 04/22/25</t>
  </si>
  <si>
    <t>EDPPL</t>
  </si>
  <si>
    <t>XS1471646965</t>
  </si>
  <si>
    <t>EDPPL 1 1/8 02/12/24</t>
  </si>
  <si>
    <t>XS1385395121</t>
  </si>
  <si>
    <t>EDPPL 2 3/8 03/23/23</t>
  </si>
  <si>
    <t>BE0002466416</t>
  </si>
  <si>
    <t>ELIATB 3 04/07/29</t>
  </si>
  <si>
    <t>ELIATB</t>
  </si>
  <si>
    <t>XS1901055472</t>
  </si>
  <si>
    <t>ENBW 1 7/8 10/31/33</t>
  </si>
  <si>
    <t>ENBW</t>
  </si>
  <si>
    <t>XS2242728041</t>
  </si>
  <si>
    <t>ENBW 0 1/4 10/19/30</t>
  </si>
  <si>
    <t>XS0647298883</t>
  </si>
  <si>
    <t>ENELIM 5 07/12/21</t>
  </si>
  <si>
    <t>ENELIM</t>
  </si>
  <si>
    <t>XS1396367911</t>
  </si>
  <si>
    <t>ENEXIS 0 7/8 04/28/26</t>
  </si>
  <si>
    <t>ENEXIS</t>
  </si>
  <si>
    <t>FR0013504693</t>
  </si>
  <si>
    <t>ENGIFP 2 1/8 03/30/32</t>
  </si>
  <si>
    <t>ENGIFP</t>
  </si>
  <si>
    <t>FR0013504677</t>
  </si>
  <si>
    <t>ENGIFP 1 3/4 03/27/28</t>
  </si>
  <si>
    <t>FR0012602761</t>
  </si>
  <si>
    <t>ENGIFP 1 03/13/26</t>
  </si>
  <si>
    <t>FR0013365285</t>
  </si>
  <si>
    <t>ENGIFP 0 7/8 09/19/25</t>
  </si>
  <si>
    <t>XS1403388694</t>
  </si>
  <si>
    <t>ENGSM 1 3/8 05/05/28</t>
  </si>
  <si>
    <t>ENGSM</t>
  </si>
  <si>
    <t>XS1177459531</t>
  </si>
  <si>
    <t>ENGSM 1 1/4 02/06/25</t>
  </si>
  <si>
    <t>XS2251626896</t>
  </si>
  <si>
    <t>ENGSM 0 3/8 11/05/32</t>
  </si>
  <si>
    <t>XS1493328477</t>
  </si>
  <si>
    <t>ENIIM 1 1/8 09/19/28</t>
  </si>
  <si>
    <t>ENIIM</t>
  </si>
  <si>
    <t>XS1551068676</t>
  </si>
  <si>
    <t>ENIIM 1 1/2 01/17/27</t>
  </si>
  <si>
    <t>XS2077546682</t>
  </si>
  <si>
    <t>EOANGR 0 5/8 11/07/31</t>
  </si>
  <si>
    <t>EOANGR</t>
  </si>
  <si>
    <t>XS2177580508</t>
  </si>
  <si>
    <t>EOANGR 0 7/8 08/20/31</t>
  </si>
  <si>
    <t>XS1190624038</t>
  </si>
  <si>
    <t>EQNR 1 1/4 02/17/27</t>
  </si>
  <si>
    <t>EQNR</t>
  </si>
  <si>
    <t>XS0969572204</t>
  </si>
  <si>
    <t>EQNR 2 7/8 09/10/25</t>
  </si>
  <si>
    <t>XS2229434852</t>
  </si>
  <si>
    <t>ERGIM 0 1/2 09/11/27</t>
  </si>
  <si>
    <t>ERGIM</t>
  </si>
  <si>
    <t>XS1981060624</t>
  </si>
  <si>
    <t>ERGIM 1 7/8 04/11/25</t>
  </si>
  <si>
    <t>XS1243251375</t>
  </si>
  <si>
    <t>EUROGR 1 7/8 06/10/25</t>
  </si>
  <si>
    <t>EUROGR</t>
  </si>
  <si>
    <t>XS2020608548</t>
  </si>
  <si>
    <t>HERIM 0 7/8 07/05/27</t>
  </si>
  <si>
    <t>HERIM</t>
  </si>
  <si>
    <t>XS1504194173</t>
  </si>
  <si>
    <t>HERIM 0 7/8 10/14/26</t>
  </si>
  <si>
    <t>XS1527758145</t>
  </si>
  <si>
    <t>IBESM 1 03/07/24</t>
  </si>
  <si>
    <t>IBESM</t>
  </si>
  <si>
    <t>XS2192431380</t>
  </si>
  <si>
    <t>IGIM 0 1/4 06/24/25</t>
  </si>
  <si>
    <t>IGIM</t>
  </si>
  <si>
    <t>XS2244936659</t>
  </si>
  <si>
    <t>INWIM 1 5/8 10/21/28</t>
  </si>
  <si>
    <t>INWIM</t>
  </si>
  <si>
    <t>XS2200215213</t>
  </si>
  <si>
    <t>INWIM 1 7/8 07/08/26</t>
  </si>
  <si>
    <t>FR0014000D56</t>
  </si>
  <si>
    <t>MLFP 0 5/8 11/02/40</t>
  </si>
  <si>
    <t>MLFP</t>
  </si>
  <si>
    <t>MRDGF</t>
  </si>
  <si>
    <t>XS1596739364</t>
  </si>
  <si>
    <t>MRDGF 1 3/8 04/11/25</t>
  </si>
  <si>
    <t>XS1396767854</t>
  </si>
  <si>
    <t>NTGYSM 1 1/4 04/19/26</t>
  </si>
  <si>
    <t>NTGYSM</t>
  </si>
  <si>
    <t>XS2156506854</t>
  </si>
  <si>
    <t>NTGYSM 1 1/4 01/15/26</t>
  </si>
  <si>
    <t>XS1917590959</t>
  </si>
  <si>
    <t>OMVAV 1 7/8 12/04/28</t>
  </si>
  <si>
    <t>OMVAV</t>
  </si>
  <si>
    <t>XS2154347293</t>
  </si>
  <si>
    <t>OMVAV 1 1/2 04/09/24</t>
  </si>
  <si>
    <t>XS2154419118</t>
  </si>
  <si>
    <t>RDSALN 1 7/8 04/07/32</t>
  </si>
  <si>
    <t>RDSALN</t>
  </si>
  <si>
    <t>XS1411401083</t>
  </si>
  <si>
    <t>RDSALN 1 1/4 05/12/28</t>
  </si>
  <si>
    <t>XS1048529041</t>
  </si>
  <si>
    <t>RDSALN 2 1/2 03/24/26</t>
  </si>
  <si>
    <t>XS2170384130</t>
  </si>
  <si>
    <t>RDSALN 0 1/2 05/11/24</t>
  </si>
  <si>
    <t>REPSM</t>
  </si>
  <si>
    <t>XS2241090088</t>
  </si>
  <si>
    <t>REPSM 0 1/8 10/05/24</t>
  </si>
  <si>
    <t>FR0013152899</t>
  </si>
  <si>
    <t>RTEFRA 1 10/19/26</t>
  </si>
  <si>
    <t>RTEFRA</t>
  </si>
  <si>
    <t>FR0012199065</t>
  </si>
  <si>
    <t>RTEFRA 1 5/8 10/08/24</t>
  </si>
  <si>
    <t>XS2196317742</t>
  </si>
  <si>
    <t>SESGFP 2 07/02/28</t>
  </si>
  <si>
    <t>SESGFP</t>
  </si>
  <si>
    <t>FR0013248523</t>
  </si>
  <si>
    <t>SEVFP 1 1/2 04/03/29</t>
  </si>
  <si>
    <t>SEVFP</t>
  </si>
  <si>
    <t>FR0012949923</t>
  </si>
  <si>
    <t>SEVFP 1 3/4 09/10/25</t>
  </si>
  <si>
    <t>FR0013248507</t>
  </si>
  <si>
    <t>SEVFP 1 04/03/25</t>
  </si>
  <si>
    <t>XS2051660509</t>
  </si>
  <si>
    <t>SRGIM 1 09/12/34</t>
  </si>
  <si>
    <t>SRGIM</t>
  </si>
  <si>
    <t>XS1957442541</t>
  </si>
  <si>
    <t>SRGIM 1 1/4 08/28/25</t>
  </si>
  <si>
    <t>XS1293571425</t>
  </si>
  <si>
    <t>STATK 1 1/2 09/21/23</t>
  </si>
  <si>
    <t>STATK</t>
  </si>
  <si>
    <t>XS1705553250</t>
  </si>
  <si>
    <t>STEDIN 0 7/8 10/24/25</t>
  </si>
  <si>
    <t>STEDIN</t>
  </si>
  <si>
    <t>XS1828037827</t>
  </si>
  <si>
    <t>TENN 2 06/05/34</t>
  </si>
  <si>
    <t>TENN</t>
  </si>
  <si>
    <t>XS2153409029</t>
  </si>
  <si>
    <t>TOTAL 1.994 04/08/32</t>
  </si>
  <si>
    <t>TOTAL</t>
  </si>
  <si>
    <t>XS2004381674</t>
  </si>
  <si>
    <t>TOTAL 0.696 05/31/28</t>
  </si>
  <si>
    <t>XS2153406868</t>
  </si>
  <si>
    <t>TOTAL 1.491 04/08/27</t>
  </si>
  <si>
    <t>XS1874122770</t>
  </si>
  <si>
    <t>TOTAL 1.023 03/04/27</t>
  </si>
  <si>
    <t>XS1048519679</t>
  </si>
  <si>
    <t>TOTAL 2 1/2 03/25/26</t>
  </si>
  <si>
    <t>XS1139315581</t>
  </si>
  <si>
    <t>TOTAL 1 3/8 03/19/25</t>
  </si>
  <si>
    <t>XS2209023402</t>
  </si>
  <si>
    <t>TRNIM 0 3/4 07/24/32</t>
  </si>
  <si>
    <t>TRNIM</t>
  </si>
  <si>
    <t>XS2049146215</t>
  </si>
  <si>
    <t>VGASDE 0 1/2 09/10/34</t>
  </si>
  <si>
    <t>VGASDE</t>
  </si>
  <si>
    <t>XS2049090595</t>
  </si>
  <si>
    <t>VGASDE 0 1/8 09/10/29</t>
  </si>
  <si>
    <t>XS1882681452</t>
  </si>
  <si>
    <t>VGASDE 1 1/2 09/25/28</t>
  </si>
  <si>
    <t>FR0013507704</t>
  </si>
  <si>
    <t>VIEFP 1 1/4 04/15/28</t>
  </si>
  <si>
    <t>VIEFP</t>
  </si>
  <si>
    <t>FR0011224963</t>
  </si>
  <si>
    <t>VIEFP 4 5/8 03/30/27</t>
  </si>
  <si>
    <t>FR0013246733</t>
  </si>
  <si>
    <t>VIEFP 1.496 11/30/26</t>
  </si>
  <si>
    <t>FR0013210408</t>
  </si>
  <si>
    <t>VIEFP 0.314 10/04/23</t>
  </si>
  <si>
    <t>VW</t>
  </si>
  <si>
    <t>XS2052321093</t>
  </si>
  <si>
    <t>VZ 1 1/2 09/19/39</t>
  </si>
  <si>
    <t>VZ</t>
  </si>
  <si>
    <t>XS2052320954</t>
  </si>
  <si>
    <t>VZ 0 7/8 03/19/32</t>
  </si>
  <si>
    <t>XS2054210252</t>
  </si>
  <si>
    <t>WNTRDE 1.332 09/25/28</t>
  </si>
  <si>
    <t>WNTRDE</t>
  </si>
  <si>
    <t>XS2196324011</t>
  </si>
  <si>
    <t>XOM 1.408 06/26/39</t>
  </si>
  <si>
    <t>XOM</t>
  </si>
  <si>
    <t>ITXEU534_TRS1</t>
  </si>
  <si>
    <t>ITXEU534_JP_2025-12-20</t>
  </si>
  <si>
    <t>TIGER</t>
  </si>
  <si>
    <t>ITXES534_TRS1</t>
  </si>
  <si>
    <t>ITXES534_JP_2025-12-20</t>
  </si>
  <si>
    <t>XS2101349723</t>
  </si>
  <si>
    <t>BBVASM 0 1/2 01/14/27</t>
  </si>
  <si>
    <t>BBVASM</t>
  </si>
  <si>
    <t>FR00140007J7</t>
  </si>
  <si>
    <t>BFCM 0 5/8 02/21/31</t>
  </si>
  <si>
    <t>BFCM</t>
  </si>
  <si>
    <t>XS1615079974</t>
  </si>
  <si>
    <t>JPM 1.638 05/18/28</t>
  </si>
  <si>
    <t>JPM</t>
  </si>
  <si>
    <t>CT413383_251220_TRS1</t>
  </si>
  <si>
    <t>RBS_JP_2025-12-20</t>
  </si>
  <si>
    <t>NWG</t>
  </si>
  <si>
    <t>Credit Default Swap</t>
  </si>
  <si>
    <t>SeniorUnsecured</t>
  </si>
  <si>
    <t>XS2247936342</t>
  </si>
  <si>
    <t>SANTAN 1 5/8 10/22/30</t>
  </si>
  <si>
    <t>SANTAN</t>
  </si>
  <si>
    <t>Subordinated</t>
  </si>
  <si>
    <t>CH0576402181</t>
  </si>
  <si>
    <t>UBS 0 1/4 11/05/28</t>
  </si>
  <si>
    <t>UBS</t>
  </si>
  <si>
    <t>ITXEX534_TRS1</t>
  </si>
  <si>
    <t>ITXEX534_JP_2025-12-20</t>
  </si>
  <si>
    <t>SEMINARA</t>
  </si>
  <si>
    <t>XS1788973573</t>
  </si>
  <si>
    <t>AKFAST 3 7/8 10/05/78</t>
  </si>
  <si>
    <t>AKFAST</t>
  </si>
  <si>
    <t>XS2027946610</t>
  </si>
  <si>
    <t>ARNDTN 2 7/8 PERP</t>
  </si>
  <si>
    <t>ARNDTN</t>
  </si>
  <si>
    <t>Junior Subordinated</t>
  </si>
  <si>
    <t>XS1634523754</t>
  </si>
  <si>
    <t>ARNDTN 5 1/4 PERP</t>
  </si>
  <si>
    <t>USD</t>
  </si>
  <si>
    <t>XS1677911825</t>
  </si>
  <si>
    <t>BALDER 3 03/07/78</t>
  </si>
  <si>
    <t>BALDER</t>
  </si>
  <si>
    <t>XS2077670342</t>
  </si>
  <si>
    <t>BAYNGR 3 1/8 11/12/79</t>
  </si>
  <si>
    <t>BAYNGR</t>
  </si>
  <si>
    <t>XS2077670003</t>
  </si>
  <si>
    <t>BAYNGR 2 3/8 11/12/79</t>
  </si>
  <si>
    <t>FR0013292828</t>
  </si>
  <si>
    <t>BNFP 1 3/4 PERP</t>
  </si>
  <si>
    <t>BNFP</t>
  </si>
  <si>
    <t>XS2193661324</t>
  </si>
  <si>
    <t>BPLN 3 1/4 PERP</t>
  </si>
  <si>
    <t>XS1216019585</t>
  </si>
  <si>
    <t>CNALN 5 1/4 04/10/75</t>
  </si>
  <si>
    <t>CNALN</t>
  </si>
  <si>
    <t>GBP</t>
  </si>
  <si>
    <t>XS1216020161</t>
  </si>
  <si>
    <t>CNALN 3 04/10/76</t>
  </si>
  <si>
    <t>XS2010039548</t>
  </si>
  <si>
    <t>DBHNGR 1.6 PERP</t>
  </si>
  <si>
    <t>DBHNGR</t>
  </si>
  <si>
    <t>DE000A289N78</t>
  </si>
  <si>
    <t>DBOERS 1 1/4 06/16/47</t>
  </si>
  <si>
    <t>DBOERS</t>
  </si>
  <si>
    <t>FR0013534336</t>
  </si>
  <si>
    <t>EDF 3 3/8 PERP</t>
  </si>
  <si>
    <t>EDF</t>
  </si>
  <si>
    <t>FR0013464922</t>
  </si>
  <si>
    <t>EDF 3 PERP</t>
  </si>
  <si>
    <t>FR0013534351</t>
  </si>
  <si>
    <t>EDF 2 7/8 PERP</t>
  </si>
  <si>
    <t>FR0011401728</t>
  </si>
  <si>
    <t>EDF 6 PERP</t>
  </si>
  <si>
    <t>FR0011401751</t>
  </si>
  <si>
    <t>EDF 5 3/8 PERP</t>
  </si>
  <si>
    <t>FR0013367612</t>
  </si>
  <si>
    <t>EDF 4 PERP</t>
  </si>
  <si>
    <t>PTEDPLOM0017</t>
  </si>
  <si>
    <t>EDPPL 1.7 07/20/80</t>
  </si>
  <si>
    <t>PTEDPKOM0034</t>
  </si>
  <si>
    <t>EDPPL 4.496 04/30/79</t>
  </si>
  <si>
    <t>XS2035564975</t>
  </si>
  <si>
    <t>ENBW 1 1/8 11/05/79</t>
  </si>
  <si>
    <t>XS1498442521</t>
  </si>
  <si>
    <t>ENBW 5 1/8 04/05/77</t>
  </si>
  <si>
    <t>XS1044811591</t>
  </si>
  <si>
    <t>ENBW 3 5/8 04/02/76</t>
  </si>
  <si>
    <t>XS2228373671</t>
  </si>
  <si>
    <t>ENELIM 2 1/4 PERP</t>
  </si>
  <si>
    <t>XS0954675129</t>
  </si>
  <si>
    <t>ENELIM 5.451 01/10/74</t>
  </si>
  <si>
    <t>XS1014987355</t>
  </si>
  <si>
    <t>ENELIM 6 5/8 09/15/76</t>
  </si>
  <si>
    <t>FR0013431244</t>
  </si>
  <si>
    <t>ENGIFP 1 5/8 PERP</t>
  </si>
  <si>
    <t>FR0013398229</t>
  </si>
  <si>
    <t>ENGIFP 3 1/4 PERP</t>
  </si>
  <si>
    <t>FR0013310505</t>
  </si>
  <si>
    <t>ENGIFP 1 3/8 PERP</t>
  </si>
  <si>
    <t>XS2242931603</t>
  </si>
  <si>
    <t>ENIIM 3 3/8 PERP</t>
  </si>
  <si>
    <t>XS2242929532</t>
  </si>
  <si>
    <t>ENIIM 2 5/8 PERP</t>
  </si>
  <si>
    <t>FR0013331949</t>
  </si>
  <si>
    <t>FRPTT 3 1/8 PERP</t>
  </si>
  <si>
    <t>FRPTT</t>
  </si>
  <si>
    <t>XS2125121769</t>
  </si>
  <si>
    <t>HEIBOS 3 3/8 PERP</t>
  </si>
  <si>
    <t>HEIBOS</t>
  </si>
  <si>
    <t>XS2244941147</t>
  </si>
  <si>
    <t>IBESM 2 1/4 PERP</t>
  </si>
  <si>
    <t>XS1797138960</t>
  </si>
  <si>
    <t>IBESM 2 5/8 PERP</t>
  </si>
  <si>
    <t>XS2056730323</t>
  </si>
  <si>
    <t>IFXGR 2 7/8 PERP</t>
  </si>
  <si>
    <t>IFXGR</t>
  </si>
  <si>
    <t>XS2238783778</t>
  </si>
  <si>
    <t>JAPTOB 2 7/8 10/07/83</t>
  </si>
  <si>
    <t>JAPTOB</t>
  </si>
  <si>
    <t>XS1405763019</t>
  </si>
  <si>
    <t>LXSGR 4 1/2 12/06/76</t>
  </si>
  <si>
    <t>LXSGR</t>
  </si>
  <si>
    <t>MRKGR</t>
  </si>
  <si>
    <t>XS1152343668</t>
  </si>
  <si>
    <t>MRKGR 3 3/8 12/12/74</t>
  </si>
  <si>
    <t>XS2010045511</t>
  </si>
  <si>
    <t>NGGLN 2 1/8 09/05/82</t>
  </si>
  <si>
    <t>NGGLN</t>
  </si>
  <si>
    <t>XS0903532090</t>
  </si>
  <si>
    <t>NGGLN 5 5/8 06/18/73</t>
  </si>
  <si>
    <t>XS1139494493</t>
  </si>
  <si>
    <t>NTGYSM 4 1/8 PERP</t>
  </si>
  <si>
    <t>XS1713462403</t>
  </si>
  <si>
    <t>OMVAV 2 7/8 PERP</t>
  </si>
  <si>
    <t>FR00140005L7</t>
  </si>
  <si>
    <t>ORAFP 1 3/4 PERP</t>
  </si>
  <si>
    <t>ORAFP</t>
  </si>
  <si>
    <t>XS1115498260</t>
  </si>
  <si>
    <t>ORAFP 5 PERP</t>
  </si>
  <si>
    <t>XS1028599287</t>
  </si>
  <si>
    <t>ORAFP 5 1/4 PERP</t>
  </si>
  <si>
    <t>XS2010036874</t>
  </si>
  <si>
    <t>ORSTED 1 3/4 12/09/19</t>
  </si>
  <si>
    <t>ORSTED</t>
  </si>
  <si>
    <t>XS2186001314</t>
  </si>
  <si>
    <t>REPSM 4.247 PERP</t>
  </si>
  <si>
    <t>XS1207058733</t>
  </si>
  <si>
    <t>REPSM 4 1/2 03/25/75</t>
  </si>
  <si>
    <t>XS1219499032</t>
  </si>
  <si>
    <t>RWE 3 1/2 04/21/75</t>
  </si>
  <si>
    <t>RWE</t>
  </si>
  <si>
    <t>USQ8053LAA28</t>
  </si>
  <si>
    <t>SCGAU 4 3/4 09/24/80</t>
  </si>
  <si>
    <t>SCGAU</t>
  </si>
  <si>
    <t>XS1405765659</t>
  </si>
  <si>
    <t>SESGFP 5 5/8 PERP</t>
  </si>
  <si>
    <t>FR0013252061</t>
  </si>
  <si>
    <t>SEVFP 2 7/8 PERP</t>
  </si>
  <si>
    <t>XS1572343744</t>
  </si>
  <si>
    <t>SSELN 4 3/4 09/16/77</t>
  </si>
  <si>
    <t>SSELN</t>
  </si>
  <si>
    <t>XS1572349865</t>
  </si>
  <si>
    <t>SSELN 3 5/8 09/16/77</t>
  </si>
  <si>
    <t>XS1196713298</t>
  </si>
  <si>
    <t>SSELN 2 3/8 PERP</t>
  </si>
  <si>
    <t>XS2056371334</t>
  </si>
  <si>
    <t>TELEFO 2 7/8 PERP</t>
  </si>
  <si>
    <t>TELEFO</t>
  </si>
  <si>
    <t>XS2109819859</t>
  </si>
  <si>
    <t>TELEFO 2.502 PERP</t>
  </si>
  <si>
    <t>XS1933828433</t>
  </si>
  <si>
    <t>TELEFO 4 3/8 PERP</t>
  </si>
  <si>
    <t>XS1050461034</t>
  </si>
  <si>
    <t>TELEFO 5 7/8 PERP</t>
  </si>
  <si>
    <t>XS1795406575</t>
  </si>
  <si>
    <t>TELEFO 3 PERP</t>
  </si>
  <si>
    <t>XS1731823255</t>
  </si>
  <si>
    <t>TELEFO 2 5/8 PERP</t>
  </si>
  <si>
    <t>XS1490960942</t>
  </si>
  <si>
    <t>TELEFO 3 3/4 PERP</t>
  </si>
  <si>
    <t>XS2082429890</t>
  </si>
  <si>
    <t>TELIAS 1 3/8 05/11/81</t>
  </si>
  <si>
    <t>TELIAS</t>
  </si>
  <si>
    <t>XS2207430120</t>
  </si>
  <si>
    <t>TENN 2.374 PERP</t>
  </si>
  <si>
    <t>XS1501166869</t>
  </si>
  <si>
    <t>TOTAL 3.369 PERP</t>
  </si>
  <si>
    <t>XS1195202822</t>
  </si>
  <si>
    <t>TOTAL 2 5/8 PERP</t>
  </si>
  <si>
    <t>XS1974787480</t>
  </si>
  <si>
    <t>TOTAL 1 3/4 PERP</t>
  </si>
  <si>
    <t>XS1205618470</t>
  </si>
  <si>
    <t>VATFAL 3 03/19/77</t>
  </si>
  <si>
    <t>VATFAL</t>
  </si>
  <si>
    <t>FR00140007L3</t>
  </si>
  <si>
    <t>VIEFP 2 1/2 PERP</t>
  </si>
  <si>
    <t>FR00140007K5</t>
  </si>
  <si>
    <t>VIEFP 2 1/4 PERP</t>
  </si>
  <si>
    <t>XS2225204010</t>
  </si>
  <si>
    <t>VOD 3 08/27/80</t>
  </si>
  <si>
    <t>VOD</t>
  </si>
  <si>
    <t>US92857WBQ24</t>
  </si>
  <si>
    <t>VOD 7 04/04/79</t>
  </si>
  <si>
    <t>XS1888179550</t>
  </si>
  <si>
    <t>VOD 4.2 10/03/78</t>
  </si>
  <si>
    <t>XS2225157424</t>
  </si>
  <si>
    <t>VOD 2 5/8 08/27/80</t>
  </si>
  <si>
    <t>XS1888180996</t>
  </si>
  <si>
    <t>VOD 4 7/8 10/03/78</t>
  </si>
  <si>
    <t>XS1888180640</t>
  </si>
  <si>
    <t>VOD 6 1/4 10/03/78</t>
  </si>
  <si>
    <t>XS2187689380</t>
  </si>
  <si>
    <t>VW 3 7/8 PERP</t>
  </si>
  <si>
    <t>XS1799939027</t>
  </si>
  <si>
    <t>VW 4 5/8 PERP</t>
  </si>
  <si>
    <t>XS1629774230</t>
  </si>
  <si>
    <t>XS1048428442</t>
  </si>
  <si>
    <t>XS1799938995</t>
  </si>
  <si>
    <t>VW 3 3/8 PERP</t>
  </si>
  <si>
    <t>XS1713463559EURJP</t>
  </si>
  <si>
    <t>Repo</t>
  </si>
  <si>
    <t>GIORGETTI</t>
  </si>
  <si>
    <t>XS1504194173EURJP</t>
  </si>
  <si>
    <t>XS1981060624EURJP</t>
  </si>
  <si>
    <t>XS2020608548EURJP</t>
  </si>
  <si>
    <t>XS2051660509EURJP</t>
  </si>
  <si>
    <t>XS2228373671EURJP</t>
  </si>
  <si>
    <t>XS2242929532EURJP</t>
  </si>
  <si>
    <t>XS2101349723EURJP</t>
  </si>
  <si>
    <t>XS1222590488EURJP</t>
  </si>
  <si>
    <t>XS1658012023GBPJP</t>
  </si>
  <si>
    <t>XS2052321093EURJP</t>
  </si>
  <si>
    <t>FR0013365285EURJP</t>
  </si>
  <si>
    <t>US92857WBQ24USDJP</t>
  </si>
  <si>
    <t>XS2010039548EURJP</t>
  </si>
  <si>
    <t>XS1139315581EURJP</t>
  </si>
  <si>
    <t>XS1048428442EURJP</t>
  </si>
  <si>
    <t>XS2004381674EURJP</t>
  </si>
  <si>
    <t>FR0013246733EURJP</t>
  </si>
  <si>
    <t>FR0013507704EURJP</t>
  </si>
  <si>
    <t>XS1828037827EURJP</t>
  </si>
  <si>
    <t>XS2077670003EURJP</t>
  </si>
  <si>
    <t>XS1216020161EURJP</t>
  </si>
  <si>
    <t>BE6320935271EURJP</t>
  </si>
  <si>
    <t>XS1293571425EURJP</t>
  </si>
  <si>
    <t>XS1917590959EURJP</t>
  </si>
  <si>
    <t>XS1396767854EURJP</t>
  </si>
  <si>
    <t>XS1629774230EURJP</t>
  </si>
  <si>
    <t>XS1493320656EURJP</t>
  </si>
  <si>
    <t>XS1888180996GBPJP</t>
  </si>
  <si>
    <t>RPZ0</t>
  </si>
  <si>
    <t>RPZ0 Curncy</t>
  </si>
  <si>
    <t>XS1177459531EURJP</t>
  </si>
  <si>
    <t>XS2177580508EURJP</t>
  </si>
  <si>
    <t>XS2225157424EURJP</t>
  </si>
  <si>
    <t>XS1501166869EURJP</t>
  </si>
  <si>
    <t>XS1207058733EURJP</t>
  </si>
  <si>
    <t>XS1396367911EURJP</t>
  </si>
  <si>
    <t>FR0012602761EURJP</t>
  </si>
  <si>
    <t>XS1048529041EURJP</t>
  </si>
  <si>
    <t>XS1243251375EURJP</t>
  </si>
  <si>
    <t>XS2135799679EURJP</t>
  </si>
  <si>
    <t>XS1216019585GBPJP</t>
  </si>
  <si>
    <t>XS2054210252EURJP</t>
  </si>
  <si>
    <t>XS1799939027EURJP</t>
  </si>
  <si>
    <t>XS1874122770EURJP</t>
  </si>
  <si>
    <t>XS2153409029EURJP</t>
  </si>
  <si>
    <t>IEAC LNEURCA</t>
  </si>
  <si>
    <t>XS1405765659EURJP</t>
  </si>
  <si>
    <t>XS1571333811GBPJP</t>
  </si>
  <si>
    <t>XS1693822634EURJP</t>
  </si>
  <si>
    <t>XS1048519679EURJP</t>
  </si>
  <si>
    <t>FR0012949923EURJP</t>
  </si>
  <si>
    <t>FR0013331949EURJP</t>
  </si>
  <si>
    <t>XS2052320954EURJP</t>
  </si>
  <si>
    <t>DE000A289N78EURJP</t>
  </si>
  <si>
    <t>FR0013252061EURJP</t>
  </si>
  <si>
    <t>FR0012199065EURJP</t>
  </si>
  <si>
    <t>XS2196317742EURJP</t>
  </si>
  <si>
    <t>XS1385395121EURJP</t>
  </si>
  <si>
    <t>XS1572349865GBPJP</t>
  </si>
  <si>
    <t>FR0013534336EURJP</t>
  </si>
  <si>
    <t>XS2109819859EURJP</t>
  </si>
  <si>
    <t>XS1572343744USDJP</t>
  </si>
  <si>
    <t>XS0969572204EURJP</t>
  </si>
  <si>
    <t>XS0647298883EURJP</t>
  </si>
  <si>
    <t>FR0013248507EURJP</t>
  </si>
  <si>
    <t>XS0903532090GBPJP</t>
  </si>
  <si>
    <t>XS1139494493EURJP</t>
  </si>
  <si>
    <t>XS1190624038EURJP</t>
  </si>
  <si>
    <t>XS1403388694EURJP</t>
  </si>
  <si>
    <t>XS1411401083EURJP</t>
  </si>
  <si>
    <t>XS1705553250EURJP</t>
  </si>
  <si>
    <t>XS2082429890EURJP</t>
  </si>
  <si>
    <t>XS1992927902EURJP</t>
  </si>
  <si>
    <t>XS1139688268EURJP</t>
  </si>
  <si>
    <t>BE6320936287EURJP</t>
  </si>
  <si>
    <t>FR0013534351EURJP</t>
  </si>
  <si>
    <t>PTEDPKOM0034EURJP</t>
  </si>
  <si>
    <t>XS1219499032EURJP</t>
  </si>
  <si>
    <t>FR0013248523EURJP</t>
  </si>
  <si>
    <t>FR00140007L3EURJP</t>
  </si>
  <si>
    <t>FR0013504677EURJP</t>
  </si>
  <si>
    <t>XS1050461034EURJP</t>
  </si>
  <si>
    <t>XS2154347293EURJP</t>
  </si>
  <si>
    <t>USF2R125CF03USDJP</t>
  </si>
  <si>
    <t>XS1956051145USDJP</t>
  </si>
  <si>
    <t>XS2186001314EURJP</t>
  </si>
  <si>
    <t>XS1901055472EURJP</t>
  </si>
  <si>
    <t>FR0013310505EURJP</t>
  </si>
  <si>
    <t>FR00140007K5EURJP</t>
  </si>
  <si>
    <t>XS1196713298EURJP</t>
  </si>
  <si>
    <t>XS2207430120EURJP</t>
  </si>
  <si>
    <t>XS1527758145EURJP</t>
  </si>
  <si>
    <t>XS1490960942EURJP</t>
  </si>
  <si>
    <t>XS1205618470EURJP</t>
  </si>
  <si>
    <t>XS1493328477EURJP</t>
  </si>
  <si>
    <t>XS1071551391GBPJP</t>
  </si>
  <si>
    <t>XS2156506854EURJP</t>
  </si>
  <si>
    <t>FR0013152899EURJP</t>
  </si>
  <si>
    <t>XS1888180640USDJP</t>
  </si>
  <si>
    <t>XS2035564975EURJP</t>
  </si>
  <si>
    <t>BE0002466416EURJP</t>
  </si>
  <si>
    <t>ECZ0</t>
  </si>
  <si>
    <t>ECZ0 Curncy</t>
  </si>
  <si>
    <t>FR0013173432EURJP</t>
  </si>
  <si>
    <t>FR0013292828EURJP</t>
  </si>
  <si>
    <t>XS2238783778EURJP</t>
  </si>
  <si>
    <t>XS2010045511EURJP</t>
  </si>
  <si>
    <t>XS2056371334EURJP</t>
  </si>
  <si>
    <t>FR0013431244EURJP</t>
  </si>
  <si>
    <t>XS1498442521USDJP</t>
  </si>
  <si>
    <t>XS1693822634</t>
  </si>
  <si>
    <t>ABNANV 4 3/4 PERP</t>
  </si>
  <si>
    <t>ABNANV</t>
  </si>
  <si>
    <t>CAZZANIGA</t>
  </si>
  <si>
    <t>USF2R125CF03</t>
  </si>
  <si>
    <t>ACAFP 6 7/8 PERP</t>
  </si>
  <si>
    <t>ACAFP</t>
  </si>
  <si>
    <t>XS1658012023</t>
  </si>
  <si>
    <t>BACR 5 7/8 PERP</t>
  </si>
  <si>
    <t>BACR</t>
  </si>
  <si>
    <t>XS1571333811</t>
  </si>
  <si>
    <t>BACR 7 1/4 PERP</t>
  </si>
  <si>
    <t>USF1R15XK938</t>
  </si>
  <si>
    <t>BNP 6 5/8 PERP</t>
  </si>
  <si>
    <t>BNP</t>
  </si>
  <si>
    <t>XS1071551391</t>
  </si>
  <si>
    <t>DB 7 1/8 PERP</t>
  </si>
  <si>
    <t>DB</t>
  </si>
  <si>
    <t>US456837AR44</t>
  </si>
  <si>
    <t>INTNED 5 3/4 PERP</t>
  </si>
  <si>
    <t>INTNED</t>
  </si>
  <si>
    <t>XS1956051145</t>
  </si>
  <si>
    <t>INTNED 6 3/4 PERP</t>
  </si>
  <si>
    <t>XS2047500769</t>
  </si>
  <si>
    <t>EOANGR 0 08/28/24</t>
  </si>
  <si>
    <t>FR0011401751EURJP</t>
  </si>
  <si>
    <t>FR0013464922EURJP</t>
  </si>
  <si>
    <t>XS2224439971</t>
  </si>
  <si>
    <t>XS1152343668EURJP</t>
  </si>
  <si>
    <t>XS1799938995EURJP</t>
  </si>
  <si>
    <t>XS2010036874EURJP</t>
  </si>
  <si>
    <t>XS2077670342EURJP</t>
  </si>
  <si>
    <t>XS2154419118EURJP</t>
  </si>
  <si>
    <t>XS2209023402EURJP</t>
  </si>
  <si>
    <t>FR0010033381</t>
  </si>
  <si>
    <t>VIEFP 6 1/8 11/25/33</t>
  </si>
  <si>
    <t>XS2193662728</t>
  </si>
  <si>
    <t>BPLN 3 5/8 PERP</t>
  </si>
  <si>
    <t>XS2231191748</t>
  </si>
  <si>
    <t>CPIPGR 4 7/8 PERP</t>
  </si>
  <si>
    <t>CPIPGR</t>
  </si>
  <si>
    <t>XS1982704824</t>
  </si>
  <si>
    <t>XS1713462403EURJP</t>
  </si>
  <si>
    <t>XS2241090088EURJP</t>
  </si>
  <si>
    <t>FR0013452620</t>
  </si>
  <si>
    <t>SEVFP 0 1/2 10/14/31</t>
  </si>
  <si>
    <t>FR0011700293</t>
  </si>
  <si>
    <t>EDF 5 7/8 PERP</t>
  </si>
  <si>
    <t xml:space="preserve"> </t>
  </si>
  <si>
    <t xml:space="preserve"> _1</t>
  </si>
  <si>
    <t xml:space="preserve"> _2</t>
  </si>
  <si>
    <t xml:space="preserve"> _3</t>
  </si>
  <si>
    <t xml:space="preserve"> _4</t>
  </si>
  <si>
    <t>'RH_ISIN'</t>
  </si>
  <si>
    <t>'Security Symbol'</t>
  </si>
  <si>
    <t>'Security Ticker'</t>
  </si>
  <si>
    <t>'Security Issuer Ticker'</t>
  </si>
  <si>
    <t>'Ccy'</t>
  </si>
  <si>
    <t>'Security Workout Date'</t>
  </si>
  <si>
    <t>'Security Type Name'</t>
  </si>
  <si>
    <t>'Strategy Portfolio Name'</t>
  </si>
  <si>
    <t>'Position'</t>
  </si>
  <si>
    <t>'Market Price'</t>
  </si>
  <si>
    <t>'Security Spread (Z Spread) (bps)'</t>
  </si>
  <si>
    <t>'DTD P/L Price G/L'</t>
  </si>
  <si>
    <t>'DTD Carry Price G/L'</t>
  </si>
  <si>
    <t>'RH_Seniority'</t>
  </si>
  <si>
    <t>'RH_DV01 Exp'</t>
  </si>
  <si>
    <t>'RH_CR01 Exp'</t>
  </si>
  <si>
    <t>'CR01 %'</t>
  </si>
  <si>
    <t>'CR01%Norm'</t>
  </si>
  <si>
    <t>'Market Value'</t>
  </si>
  <si>
    <t>'Security PRICING_SOURCE'</t>
  </si>
  <si>
    <t>'DTD Begin Price'</t>
  </si>
  <si>
    <t>'DTD Begin Position'</t>
  </si>
  <si>
    <t>'Risk Category Name'</t>
  </si>
  <si>
    <t>'Fund Name'</t>
  </si>
  <si>
    <t>'RH_CommitmentExposure'</t>
  </si>
  <si>
    <t>'RH_GrossExposure'</t>
  </si>
  <si>
    <t>'Security IsDelayed'</t>
  </si>
  <si>
    <t/>
  </si>
  <si>
    <t>Net</t>
  </si>
  <si>
    <t>Gross</t>
  </si>
  <si>
    <t>Long</t>
  </si>
  <si>
    <t>Short</t>
  </si>
  <si>
    <t>DV01</t>
  </si>
  <si>
    <t>CR01</t>
  </si>
  <si>
    <t>Market Value as % of NAV</t>
  </si>
  <si>
    <t>DTD PnL</t>
  </si>
  <si>
    <t>DTD PnL as % of NAV</t>
  </si>
  <si>
    <t>Current Official NAV</t>
  </si>
  <si>
    <t>165713138.92000000</t>
  </si>
  <si>
    <t>12/20/2025 12:00:00 AM</t>
  </si>
  <si>
    <t>LN</t>
  </si>
  <si>
    <t>10/2/2039 12:00:00 AM</t>
  </si>
  <si>
    <t>1/2/2032 12:00:00 AM</t>
  </si>
  <si>
    <t>3/8/2027 12:00:00 AM</t>
  </si>
  <si>
    <t>7/28/2032 12:00:00 AM</t>
  </si>
  <si>
    <t>8/21/2022 12:00:00 AM</t>
  </si>
  <si>
    <t>5/8/2031 12:00:00 AM</t>
  </si>
  <si>
    <t>4/7/2028 12:00:00 AM</t>
  </si>
  <si>
    <t>9/22/2024 12:00:00 AM</t>
  </si>
  <si>
    <t>4/22/2025 12:00:00 AM</t>
  </si>
  <si>
    <t>2/12/2024 12:00:00 AM</t>
  </si>
  <si>
    <t>3/23/2023 12:00:00 AM</t>
  </si>
  <si>
    <t>BE6321529396</t>
  </si>
  <si>
    <t>ELIATB 0 7/8 04/28/30</t>
  </si>
  <si>
    <t>1/28/2030 12:00:00 AM</t>
  </si>
  <si>
    <t>4/7/2029 12:00:00 AM</t>
  </si>
  <si>
    <t>7/31/2033 12:00:00 AM</t>
  </si>
  <si>
    <t>7/19/2030 12:00:00 AM</t>
  </si>
  <si>
    <t>7/12/2021 12:00:00 AM</t>
  </si>
  <si>
    <t>1/28/2026 12:00:00 AM</t>
  </si>
  <si>
    <t>12/30/2031 12:00:00 AM</t>
  </si>
  <si>
    <t>12/27/2027 12:00:00 AM</t>
  </si>
  <si>
    <t>12/13/2025 12:00:00 AM</t>
  </si>
  <si>
    <t>6/19/2025 12:00:00 AM</t>
  </si>
  <si>
    <t>5/5/2028 12:00:00 AM</t>
  </si>
  <si>
    <t>2/6/2025 12:00:00 AM</t>
  </si>
  <si>
    <t>9/19/2028 12:00:00 AM</t>
  </si>
  <si>
    <t>1/17/2027 12:00:00 AM</t>
  </si>
  <si>
    <t>8/7/2031 12:00:00 AM</t>
  </si>
  <si>
    <t>5/20/2031 12:00:00 AM</t>
  </si>
  <si>
    <t>5/28/2024 12:00:00 AM</t>
  </si>
  <si>
    <t>11/17/2026 12:00:00 AM</t>
  </si>
  <si>
    <t>9/10/2025 12:00:00 AM</t>
  </si>
  <si>
    <t>6/11/2027 12:00:00 AM</t>
  </si>
  <si>
    <t>1/11/2025 12:00:00 AM</t>
  </si>
  <si>
    <t>3/10/2025 12:00:00 AM</t>
  </si>
  <si>
    <t>4/5/2027 12:00:00 AM</t>
  </si>
  <si>
    <t>10/14/2026 12:00:00 AM</t>
  </si>
  <si>
    <t>12/7/2023 12:00:00 AM</t>
  </si>
  <si>
    <t>6/24/2025 12:00:00 AM</t>
  </si>
  <si>
    <t>7/21/2028 12:00:00 AM</t>
  </si>
  <si>
    <t>4/8/2026 12:00:00 AM</t>
  </si>
  <si>
    <t>11/2/2040 12:00:00 AM</t>
  </si>
  <si>
    <t>1/19/2026 12:00:00 AM</t>
  </si>
  <si>
    <t>10/15/2025 12:00:00 AM</t>
  </si>
  <si>
    <t>12/4/2028 12:00:00 AM</t>
  </si>
  <si>
    <t>4/9/2024 12:00:00 AM</t>
  </si>
  <si>
    <t>4/7/2032 12:00:00 AM</t>
  </si>
  <si>
    <t>5/12/2028 12:00:00 AM</t>
  </si>
  <si>
    <t>3/24/2026 12:00:00 AM</t>
  </si>
  <si>
    <t>5/11/2024 12:00:00 AM</t>
  </si>
  <si>
    <t>7/5/2024 12:00:00 AM</t>
  </si>
  <si>
    <t>7/19/2026 12:00:00 AM</t>
  </si>
  <si>
    <t>7/8/2024 12:00:00 AM</t>
  </si>
  <si>
    <t>4/2/2028 12:00:00 AM</t>
  </si>
  <si>
    <t>1/3/2029 12:00:00 AM</t>
  </si>
  <si>
    <t>6/10/2025 12:00:00 AM</t>
  </si>
  <si>
    <t>1/3/2025 12:00:00 AM</t>
  </si>
  <si>
    <t>6/12/2034 12:00:00 AM</t>
  </si>
  <si>
    <t>5/28/2025 12:00:00 AM</t>
  </si>
  <si>
    <t>6/21/2023 12:00:00 AM</t>
  </si>
  <si>
    <t>7/24/2025 12:00:00 AM</t>
  </si>
  <si>
    <t>3/5/2034 12:00:00 AM</t>
  </si>
  <si>
    <t>1/8/2032 12:00:00 AM</t>
  </si>
  <si>
    <t>2/28/2028 12:00:00 AM</t>
  </si>
  <si>
    <t>1/8/2027 12:00:00 AM</t>
  </si>
  <si>
    <t>12/4/2026 12:00:00 AM</t>
  </si>
  <si>
    <t>3/25/2026 12:00:00 AM</t>
  </si>
  <si>
    <t>3/19/2025 12:00:00 AM</t>
  </si>
  <si>
    <t>7/24/2032 12:00:00 AM</t>
  </si>
  <si>
    <t>6/10/2034 12:00:00 AM</t>
  </si>
  <si>
    <t>6/10/2029 12:00:00 AM</t>
  </si>
  <si>
    <t>6/25/2028 12:00:00 AM</t>
  </si>
  <si>
    <t>11/25/2033 12:00:00 AM</t>
  </si>
  <si>
    <t>1/15/2028 12:00:00 AM</t>
  </si>
  <si>
    <t>3/30/2027 12:00:00 AM</t>
  </si>
  <si>
    <t>8/30/2026 12:00:00 AM</t>
  </si>
  <si>
    <t>7/4/2023 12:00:00 AM</t>
  </si>
  <si>
    <t>3/19/2039 12:00:00 AM</t>
  </si>
  <si>
    <t>12/19/2031 12:00:00 AM</t>
  </si>
  <si>
    <t>9/25/2028 12:00:00 AM</t>
  </si>
  <si>
    <t>12/26/2038 12:00:00 AM</t>
  </si>
  <si>
    <t>1/14/2027 12:00:00 AM</t>
  </si>
  <si>
    <t>2/21/2031 12:00:00 AM</t>
  </si>
  <si>
    <t>5/18/2027 12:00:00 AM</t>
  </si>
  <si>
    <t>10/22/2030 12:00:00 AM</t>
  </si>
  <si>
    <t>10/5/2023 12:00:00 AM</t>
  </si>
  <si>
    <t>1/12/2025 12:00:00 AM</t>
  </si>
  <si>
    <t>7/21/2023 12:00:00 AM</t>
  </si>
  <si>
    <t>3/7/2023 12:00:00 AM</t>
  </si>
  <si>
    <t>11/12/2027 12:00:00 AM</t>
  </si>
  <si>
    <t>5/12/2025 12:00:00 AM</t>
  </si>
  <si>
    <t>6/23/2023 12:00:00 AM</t>
  </si>
  <si>
    <t>3/22/2029 12:00:00 AM</t>
  </si>
  <si>
    <t>3/22/2026 12:00:00 AM</t>
  </si>
  <si>
    <t>4/10/2025 12:00:00 AM</t>
  </si>
  <si>
    <t>4/10/2021 12:00:00 AM</t>
  </si>
  <si>
    <t>8/18/2026 12:00:00 AM</t>
  </si>
  <si>
    <t>10/16/2025 12:00:00 AM</t>
  </si>
  <si>
    <t>10/18/2029 12:00:00 AM</t>
  </si>
  <si>
    <t>3/16/2027 12:00:00 AM</t>
  </si>
  <si>
    <t>6/15/2030 12:00:00 AM</t>
  </si>
  <si>
    <t>1/22/2029 12:00:00 AM</t>
  </si>
  <si>
    <t>9/3/2027 12:00:00 AM</t>
  </si>
  <si>
    <t>12/15/2026 12:00:00 AM</t>
  </si>
  <si>
    <t>1/29/2026 12:00:00 AM</t>
  </si>
  <si>
    <t>1/29/2025 12:00:00 AM</t>
  </si>
  <si>
    <t>10/4/2024 12:00:00 AM</t>
  </si>
  <si>
    <t>7/20/2025 12:00:00 AM</t>
  </si>
  <si>
    <t>4/30/2024 12:00:00 AM</t>
  </si>
  <si>
    <t>8/5/2024 12:00:00 AM</t>
  </si>
  <si>
    <t>4/5/2022 12:00:00 AM</t>
  </si>
  <si>
    <t>4/2/2021 12:00:00 AM</t>
  </si>
  <si>
    <t>3/10/2027 12:00:00 AM</t>
  </si>
  <si>
    <t>1/10/2024 12:00:00 AM</t>
  </si>
  <si>
    <t>9/15/2021 12:00:00 AM</t>
  </si>
  <si>
    <t>4/8/2025 12:00:00 AM</t>
  </si>
  <si>
    <t>2/28/2025 12:00:00 AM</t>
  </si>
  <si>
    <t>4/16/2023 12:00:00 AM</t>
  </si>
  <si>
    <t>7/13/2029 12:00:00 AM</t>
  </si>
  <si>
    <t>10/13/2025 12:00:00 AM</t>
  </si>
  <si>
    <t>1/15/2026 12:00:00 AM</t>
  </si>
  <si>
    <t>1/28/2029 12:00:00 AM</t>
  </si>
  <si>
    <t>3/26/2024 12:00:00 AM</t>
  </si>
  <si>
    <t>4/1/2025 12:00:00 AM</t>
  </si>
  <si>
    <t>10/7/2028 12:00:00 AM</t>
  </si>
  <si>
    <t>6/6/2023 12:00:00 AM</t>
  </si>
  <si>
    <t>12/12/2024 12:00:00 AM</t>
  </si>
  <si>
    <t>6/5/2027 12:00:00 AM</t>
  </si>
  <si>
    <t>6/18/2025 12:00:00 AM</t>
  </si>
  <si>
    <t>11/18/2022 12:00:00 AM</t>
  </si>
  <si>
    <t>6/1/2029 12:00:00 AM</t>
  </si>
  <si>
    <t>6/19/2024 12:00:00 AM</t>
  </si>
  <si>
    <t>7/15/2028 12:00:00 AM</t>
  </si>
  <si>
    <t>3/19/2027 12:00:00 AM</t>
  </si>
  <si>
    <t>10/1/2026 12:00:00 AM</t>
  </si>
  <si>
    <t>2/7/2024 12:00:00 AM</t>
  </si>
  <si>
    <t>9/9/2027 12:00:00 AM</t>
  </si>
  <si>
    <t>12/11/2028 12:00:00 AM</t>
  </si>
  <si>
    <t>3/25/2025 12:00:00 AM</t>
  </si>
  <si>
    <t>4/21/2025 12:00:00 AM</t>
  </si>
  <si>
    <t>9/24/2026 12:00:00 AM</t>
  </si>
  <si>
    <t>1/29/2024 12:00:00 AM</t>
  </si>
  <si>
    <t>1/19/2024 12:00:00 AM</t>
  </si>
  <si>
    <t>9/16/2022 12:00:00 AM</t>
  </si>
  <si>
    <t>4/1/2021 12:00:00 AM</t>
  </si>
  <si>
    <t>6/24/2027 12:00:00 AM</t>
  </si>
  <si>
    <t>2/5/2027 12:00:00 AM</t>
  </si>
  <si>
    <t>3/14/2025 12:00:00 AM</t>
  </si>
  <si>
    <t>3/31/2024 12:00:00 AM</t>
  </si>
  <si>
    <t>12/4/2023 12:00:00 AM</t>
  </si>
  <si>
    <t>6/7/2023 12:00:00 AM</t>
  </si>
  <si>
    <t>3/15/2022 12:00:00 AM</t>
  </si>
  <si>
    <t>2/11/2026 12:00:00 AM</t>
  </si>
  <si>
    <t>7/22/2025 12:00:00 AM</t>
  </si>
  <si>
    <t>10/6/2026 12:00:00 AM</t>
  </si>
  <si>
    <t>2/26/2025 12:00:00 AM</t>
  </si>
  <si>
    <t>4/4/2024 12:00:00 AM</t>
  </si>
  <si>
    <t>1/20/2029 12:00:00 AM</t>
  </si>
  <si>
    <t>1/20/2026 12:00:00 AM</t>
  </si>
  <si>
    <t>5/27/2030 12:00:00 AM</t>
  </si>
  <si>
    <t>4/4/2029 12:00:00 AM</t>
  </si>
  <si>
    <t>7/3/2028 12:00:00 AM</t>
  </si>
  <si>
    <t>5/27/2026 12:00:00 AM</t>
  </si>
  <si>
    <t>7/3/2025 12:00:00 AM</t>
  </si>
  <si>
    <t>7/3/2024 12:00:00 AM</t>
  </si>
  <si>
    <t>6/17/2029 12:00:00 AM</t>
  </si>
  <si>
    <t>6/27/2028 12:00:00 AM</t>
  </si>
  <si>
    <t>6/14/2027 12:00:00 AM</t>
  </si>
  <si>
    <t>6/27/2024 12:00:00 AM</t>
  </si>
  <si>
    <t>9/22/2027 12:00:00 AM</t>
  </si>
  <si>
    <t>9/23/2024 12:00:00 AM</t>
  </si>
  <si>
    <t>9/15/2024 12:00:00 AM</t>
  </si>
  <si>
    <t>3/15/2023 12:00:00 AM</t>
  </si>
  <si>
    <t>3/25/2024 12:00:00 AM</t>
  </si>
  <si>
    <t>4/30/2026 12:00:00 AM</t>
  </si>
  <si>
    <t>11/16/2026 12:00:00 AM</t>
  </si>
  <si>
    <t>4/16/2024 12:00:00 AM</t>
  </si>
  <si>
    <t>MT7000016820</t>
  </si>
  <si>
    <t>Fund</t>
  </si>
  <si>
    <t>Redhedge Relative Value Fund</t>
  </si>
  <si>
    <t>IE00BD3WYB25</t>
  </si>
  <si>
    <t>RV CORPORATE FUNDING SHS</t>
  </si>
  <si>
    <t>ID</t>
  </si>
  <si>
    <t>XS2069101868</t>
  </si>
  <si>
    <t>KPN 2 PERP</t>
  </si>
  <si>
    <t>KPN</t>
  </si>
  <si>
    <t>2/8/2025 12:00:00 AM</t>
  </si>
  <si>
    <t>XS1224710399</t>
  </si>
  <si>
    <t>NTGYSM 3 3/8 PERP</t>
  </si>
  <si>
    <t>4/24/2024 12:00:00 AM</t>
  </si>
  <si>
    <t>XS1195201931</t>
  </si>
  <si>
    <t>TOTAL 2 1/4 PERP</t>
  </si>
  <si>
    <t>2/26/2021 12:00:00 AM</t>
  </si>
  <si>
    <t>RH Isin</t>
  </si>
  <si>
    <t>XS1982704824EURJP</t>
  </si>
  <si>
    <t>XS1205618470EURCS</t>
  </si>
  <si>
    <t>FR0011401728GBPJP</t>
  </si>
  <si>
    <t>XS1882681452EURJP</t>
  </si>
  <si>
    <t>XS1957442541EURJP</t>
  </si>
  <si>
    <t>XS2244941147EURJP</t>
  </si>
  <si>
    <t>trader</t>
  </si>
  <si>
    <t>security ticker</t>
  </si>
  <si>
    <t>position</t>
  </si>
  <si>
    <t>old</t>
  </si>
  <si>
    <t>previous</t>
  </si>
  <si>
    <t>FR0011697010</t>
  </si>
  <si>
    <t>EDF 4 1/8 PERP</t>
  </si>
  <si>
    <t>1/22/2022 12:00:00 AM</t>
  </si>
  <si>
    <t>current</t>
  </si>
  <si>
    <t>7/14/2031 12:00:00 AM</t>
  </si>
  <si>
    <t>11/5/2027 12:00:00 AM</t>
  </si>
  <si>
    <t>current-previous</t>
  </si>
  <si>
    <t>current-old</t>
  </si>
  <si>
    <t>x</t>
  </si>
  <si>
    <t>XS2056730323EURJP</t>
  </si>
  <si>
    <t>XS2196324011EURJP</t>
  </si>
  <si>
    <t>FR0013504693EURJP</t>
  </si>
  <si>
    <t>XS2200215213EURJP</t>
  </si>
  <si>
    <t>XS1767087866EURJP</t>
  </si>
  <si>
    <t>XS1797138960EURJP</t>
  </si>
  <si>
    <t>XS1596739364EURJP</t>
  </si>
  <si>
    <t>FR00140007J7EURJP</t>
  </si>
  <si>
    <t>XS2242728041EURJP</t>
  </si>
  <si>
    <t>XS2242931603EURJP</t>
  </si>
  <si>
    <t>XS2244936659EURJP</t>
  </si>
  <si>
    <t>USQ8053LAA28USDJP</t>
  </si>
  <si>
    <t>XS2049146215EURJP</t>
  </si>
  <si>
    <t>XS2170384130EURJP</t>
  </si>
  <si>
    <t>XS1548475968</t>
  </si>
  <si>
    <t>ISPIM 7 3/4 PERP</t>
  </si>
  <si>
    <t>ISPIM</t>
  </si>
  <si>
    <t>XS2105110329</t>
  </si>
  <si>
    <t>UBIIM 5 7/8 PERP</t>
  </si>
  <si>
    <t>UBIIM</t>
  </si>
  <si>
    <t>XS2178957077</t>
  </si>
  <si>
    <t>REDEXS 1 7/8 05/28/25</t>
  </si>
  <si>
    <t>REDEXS</t>
  </si>
  <si>
    <t>DE0001102507</t>
  </si>
  <si>
    <t>DBR 0 08/15/30</t>
  </si>
  <si>
    <t>DBR</t>
  </si>
  <si>
    <t>Bond Sovereign</t>
  </si>
  <si>
    <t>Unsecured</t>
  </si>
  <si>
    <t>XS2107315470</t>
  </si>
  <si>
    <t>ENIIM 0 5/8 01/23/30</t>
  </si>
  <si>
    <t>1/23/2030 12:00:00 AM</t>
  </si>
  <si>
    <t>XS1292988984</t>
  </si>
  <si>
    <t>ENIIM 1 3/4 01/18/24</t>
  </si>
  <si>
    <t>1/18/2024 12:00:00 AM</t>
  </si>
  <si>
    <t>XS1795406575EURJP</t>
  </si>
  <si>
    <t>BE6321529396EURJP</t>
  </si>
  <si>
    <t>XS2193661324EURJP</t>
  </si>
  <si>
    <t>XS1195201931EURCS</t>
  </si>
  <si>
    <t>XS2069101868EURJP</t>
  </si>
  <si>
    <t>XS2010044977</t>
  </si>
  <si>
    <t>NGGLN 1 5/8 12/05/79</t>
  </si>
  <si>
    <t>9/5/2024 12:00:00 AM</t>
  </si>
  <si>
    <t>FR0011700293GBPJP</t>
  </si>
  <si>
    <t>XS1014987355GBPJP</t>
  </si>
  <si>
    <t>USF1R15XK938USDJP</t>
  </si>
  <si>
    <t>1/11/2027 12:00:00 AM</t>
  </si>
  <si>
    <t>6/20/2025 12:00:00 AM</t>
  </si>
  <si>
    <t>current price</t>
  </si>
  <si>
    <t>XS2185997884</t>
  </si>
  <si>
    <t>REPSM 3 3/4 PERP</t>
  </si>
  <si>
    <t>6/11/2026 12:00:00 AM</t>
  </si>
  <si>
    <t>total PnL</t>
  </si>
  <si>
    <t>XS2107315470EURJP</t>
  </si>
  <si>
    <t>XS1292988984EURJP</t>
  </si>
  <si>
    <t>XS2105110329EURJP</t>
  </si>
  <si>
    <t>XS2178957077EURJP</t>
  </si>
  <si>
    <t>FR0013330537</t>
  </si>
  <si>
    <t>ULFP 2 7/8 PERP</t>
  </si>
  <si>
    <t>ULFP</t>
  </si>
  <si>
    <t>1/25/2026 12:00:00 AM</t>
  </si>
  <si>
    <t>security type</t>
  </si>
  <si>
    <t>XS1713463559</t>
  </si>
  <si>
    <t>ENELIM 3 3/8 11/24/81</t>
  </si>
  <si>
    <t>11/24/2026 12:00:00 AM</t>
  </si>
  <si>
    <t>XS1590787799</t>
  </si>
  <si>
    <t>TELIAS 3 04/04/78</t>
  </si>
  <si>
    <t>4/4/2023 12:00:00 AM</t>
  </si>
  <si>
    <t>XS1150695192</t>
  </si>
  <si>
    <t>VLVY 4.85 03/10/78</t>
  </si>
  <si>
    <t>VLVY</t>
  </si>
  <si>
    <t>3/10/2023 12:00:00 AM</t>
  </si>
  <si>
    <t>XS2051471105</t>
  </si>
  <si>
    <t>ERFFP 2 7/8 PERP</t>
  </si>
  <si>
    <t>ERFFP</t>
  </si>
  <si>
    <t>9/11/2022 12:00:00 AM</t>
  </si>
  <si>
    <t>snap 1</t>
  </si>
  <si>
    <t>snap 2</t>
  </si>
  <si>
    <t>open price</t>
  </si>
  <si>
    <t>cr01</t>
  </si>
  <si>
    <t>8/5/2032 12:00:00 AM</t>
  </si>
  <si>
    <t>USF2893TAF33</t>
  </si>
  <si>
    <t>EDF 5 1/4 PERP</t>
  </si>
  <si>
    <t>1/29/2023 12:00:00 AM</t>
  </si>
  <si>
    <t>USF2893TAF33USDJP</t>
  </si>
  <si>
    <t>XS1195201931EURJP</t>
  </si>
  <si>
    <t>XS2229434852EURJP</t>
  </si>
  <si>
    <t>FR0013534484</t>
  </si>
  <si>
    <t>ORAFP 0 1/8 09/16/29</t>
  </si>
  <si>
    <t>XS2102355588</t>
  </si>
  <si>
    <t>BMW 0 04/14/23</t>
  </si>
  <si>
    <t>BMW</t>
  </si>
  <si>
    <t>FR0013519071</t>
  </si>
  <si>
    <t>CAPFP 1 1/8 06/23/30</t>
  </si>
  <si>
    <t>CAPFP</t>
  </si>
  <si>
    <t>FR0013369493</t>
  </si>
  <si>
    <t>ETLFP 2 10/02/25</t>
  </si>
  <si>
    <t>ETLFP</t>
  </si>
  <si>
    <t>XS1550134602</t>
  </si>
  <si>
    <t>HNDA 0 3/4 01/17/24</t>
  </si>
  <si>
    <t>HNDA</t>
  </si>
  <si>
    <t>FR0013396512</t>
  </si>
  <si>
    <t>ORAFP 1 1/8 07/15/24</t>
  </si>
  <si>
    <t>XS1721422902</t>
  </si>
  <si>
    <t>VOD 2 7/8 11/20/37</t>
  </si>
  <si>
    <t>DE000A2R8NC5</t>
  </si>
  <si>
    <t>ANNGR 0 1/8 04/06/23</t>
  </si>
  <si>
    <t>ANNGR</t>
  </si>
  <si>
    <t>FR0013382348</t>
  </si>
  <si>
    <t>ARRFP 1 1/2 01/25/30</t>
  </si>
  <si>
    <t>ARRFP</t>
  </si>
  <si>
    <t>XS1377682676</t>
  </si>
  <si>
    <t>CCHLN 1 7/8 11/11/24</t>
  </si>
  <si>
    <t>CCHLN</t>
  </si>
  <si>
    <t>XS1405782407</t>
  </si>
  <si>
    <t>KHC 1 1/2 05/24/24</t>
  </si>
  <si>
    <t>KHC</t>
  </si>
  <si>
    <t>XS2242633258</t>
  </si>
  <si>
    <t>PEP 0.4 10/09/32</t>
  </si>
  <si>
    <t>PEP</t>
  </si>
  <si>
    <t>FR0013478252</t>
  </si>
  <si>
    <t>AKEFP 1 1/2 PERP</t>
  </si>
  <si>
    <t>AKEFP</t>
  </si>
  <si>
    <t>1/21/2026 12:00:00 AM</t>
  </si>
  <si>
    <t>XS1294343337</t>
  </si>
  <si>
    <t>OMVAV 6 1/4 PERP</t>
  </si>
  <si>
    <t>12/9/2025 12:00:00 AM</t>
  </si>
  <si>
    <t>XS2152058868</t>
  </si>
  <si>
    <t>VW 2 1/2 04/06/23</t>
  </si>
  <si>
    <t>XS2195190520</t>
  </si>
  <si>
    <t>SSELN 3 1/8 PERP</t>
  </si>
  <si>
    <t>4/14/2027 12:00:00 AM</t>
  </si>
  <si>
    <t>FR0013330537EURJP</t>
  </si>
  <si>
    <t>XS1150695192EURJP</t>
  </si>
  <si>
    <t>XS1590787799EURJP</t>
  </si>
  <si>
    <t>XS2051471105EURCS</t>
  </si>
  <si>
    <t>'Isin'</t>
  </si>
  <si>
    <t>'Security Name'</t>
  </si>
  <si>
    <t>'coupon'</t>
  </si>
  <si>
    <t>'Security Isin'</t>
  </si>
  <si>
    <t>'close'</t>
  </si>
  <si>
    <t>'DTD P/L'</t>
  </si>
  <si>
    <t>'DV01 Exposure'</t>
  </si>
  <si>
    <t>'CR01 Exposure'</t>
  </si>
  <si>
    <t>'Unit Cost'</t>
  </si>
  <si>
    <t>Total</t>
  </si>
  <si>
    <t>Cash</t>
  </si>
  <si>
    <t>Day Gain Value</t>
  </si>
  <si>
    <t>Day Gain %</t>
  </si>
  <si>
    <t>ABN AMRO BANK NV FLT PERP</t>
  </si>
  <si>
    <t>AKELIUS RESIDENTIAL AB FLT 10/05/78</t>
  </si>
  <si>
    <t>AMERICAN HONDA FINANCE 0.750% 01/17/24 SR:EMTN</t>
  </si>
  <si>
    <t>ANHEUSER-BUSCH INBEV SA/ 2.875% 04/02/32 SR:EMTN</t>
  </si>
  <si>
    <t>BARCLAYS PLC FLT PERP</t>
  </si>
  <si>
    <t>BAYER AG FLT 11/12/79</t>
  </si>
  <si>
    <t>BG ENERGY CAPITAL PLC 1.250% 11/21/22 SR:EMTN</t>
  </si>
  <si>
    <t>BMW FINANCE NV 0.000% 04/14/23 SR:EMTN</t>
  </si>
  <si>
    <t>BNP PARIBAS FLT PERP SR:REGS</t>
  </si>
  <si>
    <t>BP CAPITAL MARKETS PLC 1.231% 05/08/31 SR:EMTN</t>
  </si>
  <si>
    <t>BP CAPITAL MARKETS PLC FLT PERP</t>
  </si>
  <si>
    <t>BUNDESREPUB. DEUTSCHLAND 0.000% 08/15/29</t>
  </si>
  <si>
    <t>DE0001102473</t>
  </si>
  <si>
    <t>BUNDESREPUB. DEUTSCHLAND 1.000% 08/15/25</t>
  </si>
  <si>
    <t>DE0001102382</t>
  </si>
  <si>
    <t>BUNDESREPUB. DEUTSCHLAND 2.500% 08/15/46</t>
  </si>
  <si>
    <t>DE0001102341</t>
  </si>
  <si>
    <t>BUNDESSCHATZANWEISUNGEN 0.000% 09/16/22</t>
  </si>
  <si>
    <t>DE0001104818</t>
  </si>
  <si>
    <t>CADENT FINANCE PLC 0.625% 09/22/24 SR:EMTN</t>
  </si>
  <si>
    <t>CAPGEMINI SE 1.125% 06/23/30</t>
  </si>
  <si>
    <t>CENTRICA PLC FLT 04/10/76 SR:.</t>
  </si>
  <si>
    <t>CPI PROPERTY GROUP SA FLT PERP</t>
  </si>
  <si>
    <t>CPI PROPERTY GROUP SA FLT PERP SR:.</t>
  </si>
  <si>
    <t>DEUTSCHE BAHN FIN GMBH FLT PERP SR:CB</t>
  </si>
  <si>
    <t>DEUTSCHE BOERSE AG FLT 06/16/47</t>
  </si>
  <si>
    <t>E.ON SE 0.000% 08/28/24 SR:EMTN</t>
  </si>
  <si>
    <t>EDP FINANCE BV 2.000% 04/22/25 SR:EMTN</t>
  </si>
  <si>
    <t>ELECTRICITE DE FRANCE SA FLT PERP</t>
  </si>
  <si>
    <t>ELECTRICITE DE FRANCE SA FLT PERP SR:EMTn</t>
  </si>
  <si>
    <t>ELECTRICITE DE FRANCE SA FLT PERP SR:EMTN</t>
  </si>
  <si>
    <t>ELECTRICITE DE FRANCE SA FLT PERP SR:REGS</t>
  </si>
  <si>
    <t>ELIA TRANSMISSION BE 0.875% 04/28/30 SR:EMTN</t>
  </si>
  <si>
    <t>ELIA TRANSMISSION BE 3.000% 04/07/29 SR:EMTN</t>
  </si>
  <si>
    <t>ENAGAS FINANCIACIONES SA 1.250% 02/06/25 SR:EMTN</t>
  </si>
  <si>
    <t>ENAGAS FINANCIACIONES SA 1.375% 05/05/28 SR:EMTN</t>
  </si>
  <si>
    <t>ENBW FLT 04/02/76 SR:EMTn</t>
  </si>
  <si>
    <t>ENBW FLT 04/05/77</t>
  </si>
  <si>
    <t>ENBW INTL FINANCE BV 0.250% 10/19/30</t>
  </si>
  <si>
    <t>ENEL FINANCE INTL NV 5.000% 07/12/21 SR:EMTN</t>
  </si>
  <si>
    <t>ENEL SPA FLT 01/10/74</t>
  </si>
  <si>
    <t>ENEL SPA FLT 09/15/76</t>
  </si>
  <si>
    <t>ENEL SPA FLT 11/24/81 SR:63.5</t>
  </si>
  <si>
    <t>ENERGIAS DE PORTUGAL SA FLT 04/30/79</t>
  </si>
  <si>
    <t>ENERGIAS DE PORTUGAL SA FLT 07/20/80</t>
  </si>
  <si>
    <t>ENEXIS HOLDING NV 0.875% 04/28/26 SR:EMTN</t>
  </si>
  <si>
    <t>ENGIE SA 1.000% 03/13/26 SR:EMTn</t>
  </si>
  <si>
    <t>ENGIE SA 1.750% 03/27/28 SR:EMTN</t>
  </si>
  <si>
    <t>ENGIE SA FLT PERP</t>
  </si>
  <si>
    <t>ENI SPA 1.125% 09/19/28 SR:EMTN</t>
  </si>
  <si>
    <t>ENI SPA FLT PERP SR:NC5.</t>
  </si>
  <si>
    <t>ENI SPA FLT PERP SR:NC9</t>
  </si>
  <si>
    <t>EQUINOR ASA 1.250% 02/17/27 SR:EMTN</t>
  </si>
  <si>
    <t>EQUINOR ASA 2.875% 09/10/25 SR:EMTN</t>
  </si>
  <si>
    <t>ERG SPA 1.875% 04/11/25 SR:EMTN</t>
  </si>
  <si>
    <t>EUR - Euro</t>
  </si>
  <si>
    <t>EURO FX CURR FUT  Dec20</t>
  </si>
  <si>
    <t>EURO/GBP FUTURE   Dec20</t>
  </si>
  <si>
    <t>EUROGRID GMBH 1.875% 06/10/25 SR:EMTN</t>
  </si>
  <si>
    <t>FASTIGHETS AB BALDER FLT 03/07/78 SR:.</t>
  </si>
  <si>
    <t>GBP - British Pound</t>
  </si>
  <si>
    <t>HERA SPA 0.875% 07/05/27 SR:EMTN</t>
  </si>
  <si>
    <t>IBERDROLA FINANZAS SAU 1.000% 03/07/24 SR:EMTN</t>
  </si>
  <si>
    <t>IBERDROLA INTL BV FLT PERP SR:EMTN</t>
  </si>
  <si>
    <t>ING GROEP NV FLT PERP</t>
  </si>
  <si>
    <t>INTESA SANPAOLO SPA FLT PERP</t>
  </si>
  <si>
    <t>ITXEB534</t>
  </si>
  <si>
    <t>ITRX EUR CDSI S34 5Y Corp</t>
  </si>
  <si>
    <t>ITXEX534</t>
  </si>
  <si>
    <t>JPMORGAN CHASE &amp; CO FLT 05/18/28 SR:EMTN</t>
  </si>
  <si>
    <t>JT INTL FIN SERVICES BV FLT 10/07/83</t>
  </si>
  <si>
    <t>KONINKLIJKE KPN NV FLT PERP</t>
  </si>
  <si>
    <t>LANXESS AG FLT 12/06/76</t>
  </si>
  <si>
    <t>MADRILENA RED DE GAS FIN 1.375% 04/11/25 SR:EMTN</t>
  </si>
  <si>
    <t>ITXES534</t>
  </si>
  <si>
    <t>MARKIT ITRX EUR SNR FIN S34</t>
  </si>
  <si>
    <t>ITXEU534</t>
  </si>
  <si>
    <t>MARKIT ITRX EUR SUB FIN S34</t>
  </si>
  <si>
    <t>MERCK KGAA FLT 12/12/74 SR:.</t>
  </si>
  <si>
    <t>NATURGY FINANCE BV 1.250% 01/15/26 SR:EMTN</t>
  </si>
  <si>
    <t>NATURGY FINANCE BV 1.250% 04/19/26 SR:EMTN</t>
  </si>
  <si>
    <t>NGG FINANCE PLC FLT 06/18/73 SR:GBP</t>
  </si>
  <si>
    <t>NGG FINANCE PLC FLT 09/05/82</t>
  </si>
  <si>
    <t>OMV AG 1.500% 04/09/24 SR:EMTN</t>
  </si>
  <si>
    <t>OMV AG 1.875% 12/04/28 SR:EMTN</t>
  </si>
  <si>
    <t>OMV AG FLT PERP</t>
  </si>
  <si>
    <t>OMV AG FLT PERP SR:.</t>
  </si>
  <si>
    <t>ORANGE SA 1.125% 07/15/24 SR:EMTN</t>
  </si>
  <si>
    <t>REDEXIS GAS FINANCE BV 1.875% 05/28/25 SR:EMTN</t>
  </si>
  <si>
    <t>REDHEDGE ICAV RV CORPORATE BONDS FUND</t>
  </si>
  <si>
    <t>REDHEDGE RED VALUE FUND</t>
  </si>
  <si>
    <t>REPSOL INTL FINANCE FLT PERP</t>
  </si>
  <si>
    <t>CT413383_251220</t>
  </si>
  <si>
    <t>ROYAL BK SCOTLND GRP PLC 1.500% 11/28/16 SR:EMTn</t>
  </si>
  <si>
    <t>XS0997797054</t>
  </si>
  <si>
    <t>RTE RESEAU DE TRANSPORT 1.000% 10/19/26 SR:EMTN</t>
  </si>
  <si>
    <t>RWE AG FLT 04/21/75</t>
  </si>
  <si>
    <t>SES SA 2.000% 07/02/28 SR:GMTN</t>
  </si>
  <si>
    <t>SHELL INTERNATIONAL FIN 1.250% 05/12/28 SR:EMTN</t>
  </si>
  <si>
    <t>SHELL INTERNATIONAL FIN 1.875% 04/07/32 SR:EMTN</t>
  </si>
  <si>
    <t>SHELL INTERNATIONAL FIN 2.500% 03/24/26 SR:EMTN</t>
  </si>
  <si>
    <t>SNAM SPA 1.000% 09/12/34 SR:EMTN</t>
  </si>
  <si>
    <t>SNAM SPA 1.250% 08/28/25 SR:EMTN</t>
  </si>
  <si>
    <t>SSE PLC FLT 09/16/77</t>
  </si>
  <si>
    <t>SSE PLC FLT 09/16/77 SR:.</t>
  </si>
  <si>
    <t>SSE PLC FLT PERP</t>
  </si>
  <si>
    <t>STATKRAFT AS 1.500% 09/21/23 SR:EMTN</t>
  </si>
  <si>
    <t>STEDIN HOLDING NV 0.875% 10/24/25 SR:EMTN</t>
  </si>
  <si>
    <t>SUEZ 0.500% 10/14/31 SR:EMTN</t>
  </si>
  <si>
    <t>SUEZ 1.000% 04/03/25 SR:EMTN</t>
  </si>
  <si>
    <t>SUEZ 1.500% 04/03/29 SR:EMTN</t>
  </si>
  <si>
    <t>SUEZ 1.750% 09/10/25 SR:EMTN</t>
  </si>
  <si>
    <t>SUEZ FLT PERP</t>
  </si>
  <si>
    <t>TABULA ITRAXX IG BOND ETF</t>
  </si>
  <si>
    <t>TELEFONICA EUROPE BV FLT PERP</t>
  </si>
  <si>
    <t>TELEFONICA EUROPE BV FLT PERP SR:NC5</t>
  </si>
  <si>
    <t>TELIA CO AB FLT 04/04/78</t>
  </si>
  <si>
    <t>TELIA CO AB FLT 05/11/81</t>
  </si>
  <si>
    <t>TERNA SPA 0.750% 07/24/32</t>
  </si>
  <si>
    <t>TOTAL CAPITAL INTL SA 1.375% 03/19/25 SR:EMTN</t>
  </si>
  <si>
    <t>TOTAL CAPITAL INTL SA 2.500% 03/25/26 SR:EMTN</t>
  </si>
  <si>
    <t>TOTAL SE FLT PERP SR:EMTN</t>
  </si>
  <si>
    <t>UNIONE DI BANCHE ITALIAN FLT PERP SR:EMTN</t>
  </si>
  <si>
    <t>USD - United States Dollar</t>
  </si>
  <si>
    <t>VEOLIA ENVIRONNEMENT SA 0.314% 10/04/23 SR:EMTN</t>
  </si>
  <si>
    <t>VEOLIA ENVIRONNEMENT SA 1.250% 04/15/28 SR:EMTN</t>
  </si>
  <si>
    <t>VEOLIA ENVIRONNEMENT SA 1.496% 11/30/26 SR:EMTN</t>
  </si>
  <si>
    <t>VEOLIA ENVIRONNEMENT SA 6.125% 11/25/33 SR:EMTN</t>
  </si>
  <si>
    <t>VEOLIA ENVIRONNEMENT SA FLT PERP SR:.</t>
  </si>
  <si>
    <t>VERIZON COMMUNICATIONS 0.875% 03/19/32</t>
  </si>
  <si>
    <t>VERIZON COMMUNICATIONS 1.500% 09/19/39</t>
  </si>
  <si>
    <t>VIER GAS TRANSPORT GMBH 1.500% 09/25/28 SR:DIP</t>
  </si>
  <si>
    <t>VODAFONE GROUP PLC 2.875% 11/20/37 SR:EMTN</t>
  </si>
  <si>
    <t>VODAFONE GROUP PLC FLT 04/04/79</t>
  </si>
  <si>
    <t>VODAFONE GROUP PLC FLT 08/27/80 SR:NC6</t>
  </si>
  <si>
    <t>VODAFONE GROUP PLC FLT 10/03/78</t>
  </si>
  <si>
    <t>VOLKSWAGEN FIN SERV AG 2.500% 04/06/23 SR:EMTN</t>
  </si>
  <si>
    <t>Currency</t>
  </si>
  <si>
    <t>start price</t>
  </si>
  <si>
    <t>RH_isin</t>
  </si>
  <si>
    <t>calculation columns</t>
  </si>
  <si>
    <t>do not remove</t>
  </si>
  <si>
    <t>RH isin</t>
  </si>
  <si>
    <t>-2358.57386493156</t>
  </si>
  <si>
    <t>344197.728717963</t>
  </si>
  <si>
    <t>170902.380431277</t>
  </si>
  <si>
    <t>-173260.954296208</t>
  </si>
  <si>
    <t>11170.7169482592</t>
  </si>
  <si>
    <t>333978.763198706</t>
  </si>
  <si>
    <t>163453.735304154</t>
  </si>
  <si>
    <t>-152283.018355895</t>
  </si>
  <si>
    <t>143591912.137086</t>
  </si>
  <si>
    <t>996223214.764333</t>
  </si>
  <si>
    <t>154925132.124406</t>
  </si>
  <si>
    <t>-11333219.9873205</t>
  </si>
  <si>
    <t>1.40681803403624</t>
  </si>
  <si>
    <t>6.55204253575101</t>
  </si>
  <si>
    <t>1.47520862793352</t>
  </si>
  <si>
    <t>-0.0683905938972754</t>
  </si>
  <si>
    <t>-44637.3488000005</t>
  </si>
  <si>
    <t>-4637.5998</t>
  </si>
  <si>
    <t>-68214.1890000005</t>
  </si>
  <si>
    <t>-0.000269365175814754</t>
  </si>
  <si>
    <t>-2.79857097042791E-05</t>
  </si>
  <si>
    <t>-0.000411640196091704</t>
  </si>
  <si>
    <t>-</t>
  </si>
  <si>
    <t>10/25/2029 12:00:00 AM</t>
  </si>
  <si>
    <t>4/14/2023 12:00:00 AM</t>
  </si>
  <si>
    <t>3/23/2030 12:00:00 AM</t>
  </si>
  <si>
    <t>11/11/2024 12:00:00 AM</t>
  </si>
  <si>
    <t>1/17/2024 12:00:00 AM</t>
  </si>
  <si>
    <t>8/2/2040 12:00:00 AM</t>
  </si>
  <si>
    <t>4/15/2024 12:00:00 AM</t>
  </si>
  <si>
    <t>11/20/2037 12:00:00 AM</t>
  </si>
  <si>
    <t>4/6/2023 12:00:00 AM</t>
  </si>
  <si>
    <t>total today</t>
  </si>
  <si>
    <t>342171.268926209</t>
  </si>
  <si>
    <t>334271.942591142</t>
  </si>
  <si>
    <t>482225.0479</t>
  </si>
  <si>
    <t>FR0011697010EURJP</t>
  </si>
  <si>
    <t>XS2153406868EURJP</t>
  </si>
  <si>
    <t>XS1224710399EURJP</t>
  </si>
  <si>
    <t>XS2231191748EURJP</t>
  </si>
  <si>
    <t>FR0013452620EURJP</t>
  </si>
  <si>
    <t>XS2250376477EURJP</t>
  </si>
  <si>
    <t>-2100.077196253</t>
  </si>
  <si>
    <t>170019.485483388</t>
  </si>
  <si>
    <t>-172119.562679641</t>
  </si>
  <si>
    <t>11084.3368189207</t>
  </si>
  <si>
    <t>162081.369963655</t>
  </si>
  <si>
    <t>-150997.033144734</t>
  </si>
  <si>
    <t>114968506.161715</t>
  </si>
  <si>
    <t>1018819817.45363</t>
  </si>
  <si>
    <t>126716612.16682</t>
  </si>
  <si>
    <t>-11748106.0051051</t>
  </si>
  <si>
    <t>1.20055983711313</t>
  </si>
  <si>
    <t>6.38481273044797</t>
  </si>
  <si>
    <t>1.26794387670822</t>
  </si>
  <si>
    <t>-0.0673840395950922</t>
  </si>
  <si>
    <t>82273.2054</t>
  </si>
  <si>
    <t>-434633.2825</t>
  </si>
  <si>
    <t>0.000471897421412414</t>
  </si>
  <si>
    <t>0.00276591577462092</t>
  </si>
  <si>
    <t>-0.00249294195205579</t>
  </si>
  <si>
    <t>174345528.64000000</t>
  </si>
  <si>
    <t>FR0011697028</t>
  </si>
  <si>
    <t>EDF 5 PERP</t>
  </si>
  <si>
    <t>1/22/2026 12:00:00 AM</t>
  </si>
  <si>
    <t>pricing source</t>
  </si>
  <si>
    <t>pcs range#</t>
  </si>
  <si>
    <t>PnL - snap1</t>
  </si>
  <si>
    <t>PnL - snap2</t>
  </si>
  <si>
    <t>change from snap1</t>
  </si>
  <si>
    <t>change from snap2</t>
  </si>
  <si>
    <t>total</t>
  </si>
  <si>
    <t>by trader:</t>
  </si>
  <si>
    <t>security type:</t>
  </si>
  <si>
    <t>last update</t>
  </si>
  <si>
    <t>snap 1 time</t>
  </si>
  <si>
    <t>snap 2 time</t>
  </si>
  <si>
    <t>calc type:</t>
  </si>
  <si>
    <t>FR0013425170</t>
  </si>
  <si>
    <t>AKEFP 2 3/4 PERP</t>
  </si>
  <si>
    <t>9/17/2024 12:00:00 AM</t>
  </si>
  <si>
    <t>ARKEMA FLT PERP SR:EMTN</t>
  </si>
  <si>
    <t>XS0943370543</t>
  </si>
  <si>
    <t>ORSTED 6 1/4 06/26/13</t>
  </si>
  <si>
    <t>USF2893TAM83</t>
  </si>
  <si>
    <t>EDF 5 5/8 PERP</t>
  </si>
  <si>
    <t>1/22/2024 12:00:00 AM</t>
  </si>
  <si>
    <t>XS1294343337EURJP</t>
  </si>
  <si>
    <t>XS1028599287EURJP</t>
  </si>
  <si>
    <t>XS2195190520EURJP</t>
  </si>
  <si>
    <t>XS1721422902EURJP</t>
  </si>
  <si>
    <t>XS2102355588EURJP</t>
  </si>
  <si>
    <t>FR0013382348EURJP</t>
  </si>
  <si>
    <t>FR0013396512EURJP</t>
  </si>
  <si>
    <t>FR0013519071EURJP</t>
  </si>
  <si>
    <t>time since snap</t>
  </si>
  <si>
    <t>XS1634523754USDJP</t>
  </si>
  <si>
    <t>USF2893TAM83USDJP</t>
  </si>
  <si>
    <t>XS2185997884EURJP</t>
  </si>
  <si>
    <t>XS2187689380EURJP</t>
  </si>
  <si>
    <t>XS2056730679</t>
  </si>
  <si>
    <t>IFXGR 3 5/8 PERP</t>
  </si>
  <si>
    <t>FR0013330529</t>
  </si>
  <si>
    <t>ULFP 2 1/8 PERP</t>
  </si>
  <si>
    <t>ITXEB534 Curncy</t>
  </si>
  <si>
    <t>px_last</t>
  </si>
  <si>
    <t>last_price</t>
  </si>
  <si>
    <t>px_eval</t>
  </si>
  <si>
    <t>&lt;&lt;&lt; real time</t>
  </si>
  <si>
    <t>&lt;&lt;&lt; not real time</t>
  </si>
  <si>
    <t>&lt;&lt;&lt; not realtime</t>
  </si>
  <si>
    <t>upfront_last_realtime</t>
  </si>
  <si>
    <t>realtime price testing</t>
  </si>
  <si>
    <t>ITXEB534 CBBT Curncy</t>
  </si>
  <si>
    <t>DE0001102515</t>
  </si>
  <si>
    <t>DBR 0 05/15/35</t>
  </si>
  <si>
    <t>XS1652866002</t>
  </si>
  <si>
    <t>TRNIM 1 3/8 07/26/27</t>
  </si>
  <si>
    <t>RH_ISIN</t>
  </si>
  <si>
    <t>Security Symbol</t>
  </si>
  <si>
    <t>Security Ticker</t>
  </si>
  <si>
    <t>Security Issuer Ticker</t>
  </si>
  <si>
    <t>Ccy</t>
  </si>
  <si>
    <t>Security Workout Date</t>
  </si>
  <si>
    <t>Security Type Name</t>
  </si>
  <si>
    <t>Strategy Portfolio Name</t>
  </si>
  <si>
    <t>Position</t>
  </si>
  <si>
    <t>Market Price</t>
  </si>
  <si>
    <t>Security Spread (Z Spread) (bps)</t>
  </si>
  <si>
    <t>DTD Carry Price G/L</t>
  </si>
  <si>
    <t>RH_Seniority</t>
  </si>
  <si>
    <t>RH_DV01 Exp</t>
  </si>
  <si>
    <t>RH_CR01 Exp</t>
  </si>
  <si>
    <t>CR01 %</t>
  </si>
  <si>
    <t>CR01%Norm</t>
  </si>
  <si>
    <t>Security PRICING_SOURCE</t>
  </si>
  <si>
    <t>DTD Begin Price</t>
  </si>
  <si>
    <t>DTD Begin Position</t>
  </si>
  <si>
    <t>Risk Category Name</t>
  </si>
  <si>
    <t>Fund Name</t>
  </si>
  <si>
    <t>RH_CommitmentExposure</t>
  </si>
  <si>
    <t>RH_GrossExposure</t>
  </si>
  <si>
    <t>Security IsDelayed</t>
  </si>
  <si>
    <t xml:space="preserve">BGN </t>
  </si>
  <si>
    <t>XS2199351375</t>
  </si>
  <si>
    <t>FCAIM 4 1/2 07/07/28</t>
  </si>
  <si>
    <t>FCAIM</t>
  </si>
  <si>
    <t>ES0205032040</t>
  </si>
  <si>
    <t>FERSM 0.54 11/12/28</t>
  </si>
  <si>
    <t>FIAT CHRYSLER AUTOMOBILE 4.500% 07/07/28</t>
  </si>
  <si>
    <t>FERSM</t>
  </si>
  <si>
    <t>XS2178832379</t>
  </si>
  <si>
    <t>FCAIM 3 3/8 07/07/23</t>
  </si>
  <si>
    <t>XS1716945586</t>
  </si>
  <si>
    <t>ERFFP 3 1/4 PERP</t>
  </si>
  <si>
    <t>FR0013425170EURJP</t>
  </si>
  <si>
    <t>XS1788973573EURJP</t>
  </si>
  <si>
    <t>4/7/2023 12:00:00 AM</t>
  </si>
  <si>
    <t>7/26/2027 12:00:00 AM</t>
  </si>
  <si>
    <t>XS2114413565</t>
  </si>
  <si>
    <t>AT&amp;T INC FLT PERP SR:B</t>
  </si>
  <si>
    <t>T 2 7/8 PERP</t>
  </si>
  <si>
    <t>3/2/2025 12:00:00 AM</t>
  </si>
  <si>
    <t>T</t>
  </si>
  <si>
    <t>XS2218405772</t>
  </si>
  <si>
    <t>MRKGR 1 5/8 09/09/80</t>
  </si>
  <si>
    <t>3/9/2026 12:00:00 AM</t>
  </si>
  <si>
    <t>'DTD Realized'</t>
  </si>
  <si>
    <t>'DTD Local Realized'</t>
  </si>
  <si>
    <t>0.00</t>
  </si>
  <si>
    <t>XS2251736646</t>
  </si>
  <si>
    <t>HSBC 0.309 11/13/26</t>
  </si>
  <si>
    <t>HSBC</t>
  </si>
  <si>
    <t>XS2251736992</t>
  </si>
  <si>
    <t>HSBC 0.77 11/13/31</t>
  </si>
  <si>
    <t>XS2193662728EURJP</t>
  </si>
  <si>
    <t>XS2056730679EURJP</t>
  </si>
  <si>
    <t>FR0014000D56EURJP</t>
  </si>
  <si>
    <t>XS2152058868EURJP</t>
  </si>
  <si>
    <t>FR0014000D49</t>
  </si>
  <si>
    <t>MLFP 0 1/4 11/02/32</t>
  </si>
  <si>
    <t>XS1115502988</t>
  </si>
  <si>
    <t>ORAFP 5 3/4 PERP</t>
  </si>
  <si>
    <t>4/1/2023 12:00:00 AM</t>
  </si>
  <si>
    <t>ORANGE SA FLT PERP SR:eMTN</t>
  </si>
  <si>
    <t xml:space="preserve">LN  </t>
  </si>
  <si>
    <t>BVAL</t>
  </si>
  <si>
    <t>BMRK</t>
  </si>
  <si>
    <t xml:space="preserve">ID  </t>
  </si>
  <si>
    <t>DE0001102424</t>
  </si>
  <si>
    <t>DBR 0 1/2 08/15/27</t>
  </si>
  <si>
    <t>FR0013283140</t>
  </si>
  <si>
    <t>SEVFP 1 5/8 09/21/32</t>
  </si>
  <si>
    <t>6/21/2032 12:00:00 AM</t>
  </si>
  <si>
    <t>XS2035564629</t>
  </si>
  <si>
    <t>ENBW 1 5/8 08/05/79</t>
  </si>
  <si>
    <t>5/5/2027 12:00:00 AM</t>
  </si>
  <si>
    <t>USH3698DCP71</t>
  </si>
  <si>
    <t>CS 6 3/8 PERP</t>
  </si>
  <si>
    <t>CS</t>
  </si>
  <si>
    <t>8/21/2026 12:00:00 AM</t>
  </si>
  <si>
    <t>CREDIT SUISSE GROUP AG FLT PERP SR:REGS</t>
  </si>
  <si>
    <t>SUEZ 1.625% 09/21/32 SR:EMTN</t>
  </si>
  <si>
    <t>XS2114413565EURJP</t>
  </si>
  <si>
    <t>XS1713463716</t>
  </si>
  <si>
    <t>ENELIM 2 1/2 11/24/78</t>
  </si>
  <si>
    <t>11/24/2023 12:00:00 AM</t>
  </si>
  <si>
    <t>FR0013457157</t>
  </si>
  <si>
    <t>ACCOR SA FLT PERP</t>
  </si>
  <si>
    <t>ACFP 2 5/8 PERP</t>
  </si>
  <si>
    <t>1/30/2025 12:00:00 AM</t>
  </si>
  <si>
    <t>ACFP</t>
  </si>
  <si>
    <t>8/2/2032 12:00:00 AM</t>
  </si>
  <si>
    <t>XS1141810991</t>
  </si>
  <si>
    <t>STEDIN HOLDING NV FLT PERP</t>
  </si>
  <si>
    <t>STEDIN 3 1/4 PERP</t>
  </si>
  <si>
    <t>12/1/2021 12:00:00 AM</t>
  </si>
  <si>
    <t>XS1591694481</t>
  </si>
  <si>
    <t>TENN 2.995 PERP</t>
  </si>
  <si>
    <t>6/1/2024 12:00:00 AM</t>
  </si>
  <si>
    <t>XS2156787090</t>
  </si>
  <si>
    <t>SSELN 1 1/4 04/16/25</t>
  </si>
  <si>
    <t>SSE PLC 1.250% 04/16/25 SR:EMTN</t>
  </si>
  <si>
    <t>DE0001135325</t>
  </si>
  <si>
    <t>DBR 4 1/4 07/04/39</t>
  </si>
  <si>
    <t>XS2004381245</t>
  </si>
  <si>
    <t>TOTAL 1.535 05/31/39</t>
  </si>
  <si>
    <t>2/28/2039 12:00:00 AM</t>
  </si>
  <si>
    <t>XS1992931508</t>
  </si>
  <si>
    <t>BP CAPITAL MARKETS PLC 0.831% 11/08/27 SR:EMTN</t>
  </si>
  <si>
    <t>BPLN 0.831 11/08/27</t>
  </si>
  <si>
    <t>11/8/2027 12:00:00 AM</t>
  </si>
  <si>
    <t>TOTAL CAPITAL INTL SA 1.535% 05/31/39 SR:EMTN</t>
  </si>
  <si>
    <t>FR0013457157EURJP</t>
  </si>
  <si>
    <t>FR0013283140EURJP</t>
  </si>
  <si>
    <t>FR0013245859</t>
  </si>
  <si>
    <t>ENGIE SA 0.875% 03/27/24 SR:EMTN</t>
  </si>
  <si>
    <t>ENGIFP 0 7/8 03/27/24</t>
  </si>
  <si>
    <t>12/27/2023 12:00:00 AM</t>
  </si>
  <si>
    <t>1/16/2025 12:00:00 AM</t>
  </si>
  <si>
    <t>XS1550134602EURJP</t>
  </si>
  <si>
    <t>US05565QDV77</t>
  </si>
  <si>
    <t>BPLN 4 7/8 PERP</t>
  </si>
  <si>
    <t>3/22/2030 12:00:00 AM</t>
  </si>
  <si>
    <t>US05565QDV77USDJP</t>
  </si>
  <si>
    <t>CENTRICA PLC FLT 04/10/75</t>
  </si>
  <si>
    <t>USH3698DCP71USDJP</t>
  </si>
  <si>
    <t>DE000A289QR9</t>
  </si>
  <si>
    <t>DAIGR 0 3/4 09/10/30</t>
  </si>
  <si>
    <t>9/10/2030 12:00:00 AM</t>
  </si>
  <si>
    <t>XS1829217428</t>
  </si>
  <si>
    <t>E.ON INTL FINANCE BV 0.750% 11/30/22 SR:EMTN</t>
  </si>
  <si>
    <t>EOANGR 0 3/4 11/30/22</t>
  </si>
  <si>
    <t>8/30/2022 12:00:00 AM</t>
  </si>
  <si>
    <t>XS2047500769EURJP</t>
  </si>
  <si>
    <t>XS2251626896EURJP</t>
  </si>
  <si>
    <t>XS1044811591EURJP</t>
  </si>
  <si>
    <t>FR0013428489</t>
  </si>
  <si>
    <t>ENGIE SA 0.375% 06/21/27 SR:EMTN</t>
  </si>
  <si>
    <t>ENGIFP 0 3/8 06/21/27</t>
  </si>
  <si>
    <t>3/20/2027 12:00:00 AM</t>
  </si>
  <si>
    <t>XS1493322355</t>
  </si>
  <si>
    <t>ENI SPA 0.625% 09/19/24 SR:EMTN</t>
  </si>
  <si>
    <t>ENIIM 0 5/8 09/19/24</t>
  </si>
  <si>
    <t>9/19/2024 12:00:00 AM</t>
  </si>
  <si>
    <t>XS2178832379EURJP</t>
  </si>
  <si>
    <t>XS2199351375EURJP</t>
  </si>
  <si>
    <t>XS2115092012</t>
  </si>
  <si>
    <t>IBM CORP 1.200% 02/11/40</t>
  </si>
  <si>
    <t>IBM 1.2 02/11/40</t>
  </si>
  <si>
    <t>2/11/2040 12:00:00 AM</t>
  </si>
  <si>
    <t>XS2197356186</t>
  </si>
  <si>
    <t>IREN SPA 1.000% 07/01/30 SR:EMTN</t>
  </si>
  <si>
    <t>IREIM 1 07/01/30</t>
  </si>
  <si>
    <t>4/1/2030 12:00:00 AM</t>
  </si>
  <si>
    <t>XS2238783422</t>
  </si>
  <si>
    <t>JT INTL FIN SERVICES BV FLT 04/07/81</t>
  </si>
  <si>
    <t>JAPTOB 2 3/8 04/07/81</t>
  </si>
  <si>
    <t>1/7/2026 12:00:00 AM</t>
  </si>
  <si>
    <t>XS2218405772EURJP</t>
  </si>
  <si>
    <t>XS1115502988GBPJP</t>
  </si>
  <si>
    <t>ORSTED A/S FLT 12/09/19</t>
  </si>
  <si>
    <t>USF8500RAA08</t>
  </si>
  <si>
    <t>SOCGEN 5 3/8 PERP</t>
  </si>
  <si>
    <t>XS2156787090EURJP</t>
  </si>
  <si>
    <t>XS2195190876</t>
  </si>
  <si>
    <t>SSE PLC FLT PERP SR:.</t>
  </si>
  <si>
    <t>SSELN 3.74 PERP</t>
  </si>
  <si>
    <t>4/14/2026 12:00:00 AM</t>
  </si>
  <si>
    <t>XS1141810991EURJP</t>
  </si>
  <si>
    <t>XS1756296965</t>
  </si>
  <si>
    <t>TELEFONICA EMISIONES SAU 1.447% 01/22/27 SR:EMTN</t>
  </si>
  <si>
    <t>TELEFO 1.447 01/22/27</t>
  </si>
  <si>
    <t>10/22/2026 12:00:00 AM</t>
  </si>
  <si>
    <t>XS0162869076</t>
  </si>
  <si>
    <t>TELEFONICA EUROPE BV 5.875% 02/14/33 SR:EMTN</t>
  </si>
  <si>
    <t>TELEFO 5 7/8 02/14/33</t>
  </si>
  <si>
    <t>2/14/2033 12:00:00 AM</t>
  </si>
  <si>
    <t>XS2033351995</t>
  </si>
  <si>
    <t>TERNA SPA 0.125% 07/25/25 SR:EMTN</t>
  </si>
  <si>
    <t>TRNIM 0 1/8 07/25/25</t>
  </si>
  <si>
    <t>7/25/2025 12:00:00 AM</t>
  </si>
  <si>
    <t>XS1652866002EURJP</t>
  </si>
  <si>
    <t>XS1413581205</t>
  </si>
  <si>
    <t>TOTAL 3 7/8 PERP</t>
  </si>
  <si>
    <t>5/18/2022 12:00:00 AM</t>
  </si>
  <si>
    <t>FR0013476595</t>
  </si>
  <si>
    <t>VEOLIA ENVIRONNEMENT SA 0.664% 01/15/31 SR:EMTN</t>
  </si>
  <si>
    <t>VIEFP 0.664 01/15/31</t>
  </si>
  <si>
    <t>10/15/2030 12:00:00 AM</t>
  </si>
  <si>
    <t>FR0013476595EURJP</t>
  </si>
  <si>
    <t>FR0012663169</t>
  </si>
  <si>
    <t>VEOLIA ENVIRONNEMENT SA 1.590% 01/10/28 SR:EMTN</t>
  </si>
  <si>
    <t>VIEFP 1.59 01/10/28</t>
  </si>
  <si>
    <t>10/10/2027 12:00:00 AM</t>
  </si>
  <si>
    <t>VODAFONE GROUP PLC FLT 08/27/80 SR:NC10</t>
  </si>
  <si>
    <t>XS1910948675</t>
  </si>
  <si>
    <t>VOLKSWAGEN INTL FIN NV 4.125% 11/16/38</t>
  </si>
  <si>
    <t>VW 4 1/8 11/16/38</t>
  </si>
  <si>
    <t>11/16/2038 12:00:00 AM</t>
  </si>
  <si>
    <t>DAIGR</t>
  </si>
  <si>
    <t>DE0001102416</t>
  </si>
  <si>
    <t>DBR 0 1/4 02/15/27</t>
  </si>
  <si>
    <t>IBM</t>
  </si>
  <si>
    <t>IREIM</t>
  </si>
  <si>
    <t>USX10001AA78</t>
  </si>
  <si>
    <t>ALVGR 3 1/2 PERP</t>
  </si>
  <si>
    <t>ALVGR</t>
  </si>
  <si>
    <t>11/17/2025 12:00:00 AM</t>
  </si>
  <si>
    <t>TRAC</t>
  </si>
  <si>
    <t>DE000A289FK7</t>
  </si>
  <si>
    <t>ALVGR 2 5/8 PERP</t>
  </si>
  <si>
    <t>SOCGEN</t>
  </si>
  <si>
    <t>Trade Date</t>
  </si>
  <si>
    <t>TradeTime</t>
  </si>
  <si>
    <t>Security Isin</t>
  </si>
  <si>
    <t>Transaction Type Name</t>
  </si>
  <si>
    <t>Quantity</t>
  </si>
  <si>
    <t>Trade Price</t>
  </si>
  <si>
    <t>Broker Name</t>
  </si>
  <si>
    <t>Strategy Code</t>
  </si>
  <si>
    <t>Security Currency</t>
  </si>
  <si>
    <t>Trade Total Commission</t>
  </si>
  <si>
    <t>End Price</t>
  </si>
  <si>
    <t>Buy</t>
  </si>
  <si>
    <t>BANOR SIM SPA</t>
  </si>
  <si>
    <t>CDSI Swap - Sell Protection</t>
  </si>
  <si>
    <t>JP Morgan</t>
  </si>
  <si>
    <t>Sell</t>
  </si>
  <si>
    <t>'DTD Trading P/L'</t>
  </si>
  <si>
    <t>Column1</t>
  </si>
  <si>
    <t>_5</t>
  </si>
  <si>
    <t>Credit Suisse</t>
  </si>
  <si>
    <t>-500000</t>
  </si>
  <si>
    <t>-700000</t>
  </si>
  <si>
    <t>945000</t>
  </si>
  <si>
    <t>3000000</t>
  </si>
  <si>
    <t>-1500000</t>
  </si>
  <si>
    <t>1000000</t>
  </si>
  <si>
    <t>-400000</t>
  </si>
  <si>
    <t>-1000000</t>
  </si>
  <si>
    <t>-200000</t>
  </si>
  <si>
    <t>200000</t>
  </si>
  <si>
    <t>6700000</t>
  </si>
  <si>
    <t>-2850000</t>
  </si>
  <si>
    <t>-4560000</t>
  </si>
  <si>
    <t>250000</t>
  </si>
  <si>
    <t>-3850000</t>
  </si>
  <si>
    <t>-5000000</t>
  </si>
  <si>
    <t>-127000</t>
  </si>
  <si>
    <t>-4</t>
  </si>
  <si>
    <t>-2</t>
  </si>
  <si>
    <t>-50</t>
  </si>
  <si>
    <t>-1600000</t>
  </si>
  <si>
    <t>-9960000</t>
  </si>
  <si>
    <t>16558000</t>
  </si>
  <si>
    <t>2000000</t>
  </si>
  <si>
    <t>-2916000</t>
  </si>
  <si>
    <t>2194000</t>
  </si>
  <si>
    <t>-1300000</t>
  </si>
  <si>
    <t>-12600000</t>
  </si>
  <si>
    <t>6369000</t>
  </si>
  <si>
    <t>4484000</t>
  </si>
  <si>
    <t>-2000000</t>
  </si>
  <si>
    <t>-4500000</t>
  </si>
  <si>
    <t>700000</t>
  </si>
  <si>
    <t>-3025000</t>
  </si>
  <si>
    <t>-3000000</t>
  </si>
  <si>
    <t>1500000</t>
  </si>
  <si>
    <t>1800000</t>
  </si>
  <si>
    <t>-2300000</t>
  </si>
  <si>
    <t>1004000</t>
  </si>
  <si>
    <t>850000</t>
  </si>
  <si>
    <t>11000000</t>
  </si>
  <si>
    <t>-1200000</t>
  </si>
  <si>
    <t>1419000</t>
  </si>
  <si>
    <t>5394000</t>
  </si>
  <si>
    <t>500000</t>
  </si>
  <si>
    <t>-1100000</t>
  </si>
  <si>
    <t>2400000</t>
  </si>
  <si>
    <t>1400000</t>
  </si>
  <si>
    <t>5000000</t>
  </si>
  <si>
    <t>6000000</t>
  </si>
  <si>
    <t>-1380000</t>
  </si>
  <si>
    <t>-18471000</t>
  </si>
  <si>
    <t>11426000</t>
  </si>
  <si>
    <t>-1400000</t>
  </si>
  <si>
    <t>-1515000</t>
  </si>
  <si>
    <t>-5381000</t>
  </si>
  <si>
    <t>3376240</t>
  </si>
  <si>
    <t>19338</t>
  </si>
  <si>
    <t>-254189</t>
  </si>
  <si>
    <t>-48</t>
  </si>
  <si>
    <t>-2500004</t>
  </si>
  <si>
    <t>10519214</t>
  </si>
  <si>
    <t>76</t>
  </si>
  <si>
    <t>42</t>
  </si>
  <si>
    <t>177000</t>
  </si>
  <si>
    <t>-7669</t>
  </si>
  <si>
    <t>32161</t>
  </si>
  <si>
    <t>-376668</t>
  </si>
  <si>
    <t>-8167000</t>
  </si>
  <si>
    <t>2700000</t>
  </si>
  <si>
    <t>3700000</t>
  </si>
  <si>
    <t>50000</t>
  </si>
  <si>
    <t>20000000</t>
  </si>
  <si>
    <t>-1345000</t>
  </si>
  <si>
    <t>2200000</t>
  </si>
  <si>
    <t>1859000</t>
  </si>
  <si>
    <t>2300000</t>
  </si>
  <si>
    <t>-2381000</t>
  </si>
  <si>
    <t>-800000</t>
  </si>
  <si>
    <t>3181000</t>
  </si>
  <si>
    <t>21028</t>
  </si>
  <si>
    <t>2348</t>
  </si>
  <si>
    <t>-434000</t>
  </si>
  <si>
    <t>1750000</t>
  </si>
  <si>
    <t>3398000</t>
  </si>
  <si>
    <t>-2600000</t>
  </si>
  <si>
    <t>-1535000</t>
  </si>
  <si>
    <t>9019000</t>
  </si>
  <si>
    <t>-5651000</t>
  </si>
  <si>
    <t>3615000</t>
  </si>
  <si>
    <t>1650000</t>
  </si>
  <si>
    <t>-354000</t>
  </si>
  <si>
    <t>-554000</t>
  </si>
  <si>
    <t>-174000</t>
  </si>
  <si>
    <t>-1285000</t>
  </si>
  <si>
    <t>-5300000</t>
  </si>
  <si>
    <t>-3300000</t>
  </si>
  <si>
    <t>50500</t>
  </si>
  <si>
    <t>-2700000</t>
  </si>
  <si>
    <t>4000000</t>
  </si>
  <si>
    <t>5800000</t>
  </si>
  <si>
    <t>-1800000</t>
  </si>
  <si>
    <t>-1840000</t>
  </si>
  <si>
    <t>-1565000</t>
  </si>
  <si>
    <t>0</t>
  </si>
  <si>
    <t>1900000</t>
  </si>
  <si>
    <t>-317000</t>
  </si>
  <si>
    <t>-900000</t>
  </si>
  <si>
    <t>593000</t>
  </si>
  <si>
    <t>-748000</t>
  </si>
  <si>
    <t>5950000</t>
  </si>
  <si>
    <t>-29124</t>
  </si>
  <si>
    <t>4000</t>
  </si>
  <si>
    <t>13711</t>
  </si>
  <si>
    <t>900000</t>
  </si>
  <si>
    <t>-4000000</t>
  </si>
  <si>
    <t>6200000</t>
  </si>
  <si>
    <t>600000</t>
  </si>
  <si>
    <t>7400000</t>
  </si>
  <si>
    <t>-300000</t>
  </si>
  <si>
    <t>-8000000</t>
  </si>
  <si>
    <t>3080000</t>
  </si>
  <si>
    <t>-9689000</t>
  </si>
  <si>
    <t>5300000</t>
  </si>
  <si>
    <t>3300000</t>
  </si>
  <si>
    <t>dtd begin position</t>
  </si>
  <si>
    <t>US05565QDU94</t>
  </si>
  <si>
    <t>BPLN 4 3/8 PERP</t>
  </si>
  <si>
    <t>6/22/2025 12:00:00 AM</t>
  </si>
  <si>
    <t>XS2115092012EURJP</t>
  </si>
  <si>
    <t>XS2225204010EURJP</t>
  </si>
  <si>
    <t>XS1756296965EURJP</t>
  </si>
  <si>
    <t>Risk category</t>
  </si>
  <si>
    <t>unique lookup</t>
  </si>
  <si>
    <t>begin position</t>
  </si>
  <si>
    <t>current position</t>
  </si>
  <si>
    <t>position change</t>
  </si>
  <si>
    <t>begin price</t>
  </si>
  <si>
    <t>px source</t>
  </si>
  <si>
    <t>GFI Securities</t>
  </si>
  <si>
    <t>Barclays</t>
  </si>
  <si>
    <t>ccy</t>
  </si>
  <si>
    <t>-448.00</t>
  </si>
  <si>
    <t>420.00</t>
  </si>
  <si>
    <t>-159.00</t>
  </si>
  <si>
    <t>-200.00</t>
  </si>
  <si>
    <t>XS1992931508EURJP</t>
  </si>
  <si>
    <t>FR0013428489EURJP</t>
  </si>
  <si>
    <t>FR0013245859EURJP</t>
  </si>
  <si>
    <t>XS1493322355EURJP</t>
  </si>
  <si>
    <t>FR0014000NZ4</t>
  </si>
  <si>
    <t>XS2195190876GBPJP</t>
  </si>
  <si>
    <t>FR0012663169EURJP</t>
  </si>
  <si>
    <t>RENAUL</t>
  </si>
  <si>
    <t>XS2262065159</t>
  </si>
  <si>
    <t>TENN 0 1/8 11/30/32</t>
  </si>
  <si>
    <t>XS2262065233</t>
  </si>
  <si>
    <t>TENN 0 1/2 11/30/40</t>
  </si>
  <si>
    <t>isin</t>
  </si>
  <si>
    <t>amount</t>
  </si>
  <si>
    <t>buy/sell</t>
  </si>
  <si>
    <t>bool px</t>
  </si>
  <si>
    <t>TENNET HOLDING BV 0.125% 11/30/32 SR:EMTN</t>
  </si>
  <si>
    <t>TENNET HOLDING BV 0.500% 11/30/40 SR:EMTN</t>
  </si>
  <si>
    <t>pnl</t>
  </si>
  <si>
    <t>trade price</t>
  </si>
  <si>
    <t>SEMINARA_TRS1</t>
  </si>
  <si>
    <t>BANCA AKROS SPA</t>
  </si>
  <si>
    <t>1700000</t>
  </si>
  <si>
    <t>1110000</t>
  </si>
  <si>
    <t>-90</t>
  </si>
  <si>
    <t>-70</t>
  </si>
  <si>
    <t>-17</t>
  </si>
  <si>
    <t>1200000</t>
  </si>
  <si>
    <t>-2275000</t>
  </si>
  <si>
    <t>7000000</t>
  </si>
  <si>
    <t>-15471000</t>
  </si>
  <si>
    <t>12426000</t>
  </si>
  <si>
    <t>-38725666</t>
  </si>
  <si>
    <t>-88454</t>
  </si>
  <si>
    <t>480217</t>
  </si>
  <si>
    <t>682348</t>
  </si>
  <si>
    <t>1878376</t>
  </si>
  <si>
    <t>20761384</t>
  </si>
  <si>
    <t>-5809459</t>
  </si>
  <si>
    <t>7260000</t>
  </si>
  <si>
    <t>2100000</t>
  </si>
  <si>
    <t>416000</t>
  </si>
  <si>
    <t>719000</t>
  </si>
  <si>
    <t>RENAUL 2 3/8 05/25/26</t>
  </si>
  <si>
    <t>-3500000</t>
  </si>
  <si>
    <t>4300000</t>
  </si>
  <si>
    <t>21683463</t>
  </si>
  <si>
    <t>3167167</t>
  </si>
  <si>
    <t>-22745290</t>
  </si>
  <si>
    <t>456000</t>
  </si>
  <si>
    <t>19377000</t>
  </si>
  <si>
    <t>-8689000</t>
  </si>
  <si>
    <t>calc type</t>
  </si>
  <si>
    <t>FR0013394681</t>
  </si>
  <si>
    <t>VIEFP 0.892 01/14/24</t>
  </si>
  <si>
    <t>security types</t>
  </si>
  <si>
    <t>calc method</t>
  </si>
  <si>
    <t>unknown</t>
  </si>
  <si>
    <t>10/14/2023 12:00:00 AM</t>
  </si>
  <si>
    <t>-34351120</t>
  </si>
  <si>
    <t>42394.74</t>
  </si>
  <si>
    <t>VEOLIA ENVIRONNEMENT SA 0.892% 01/14/24 SR:EMTN</t>
  </si>
  <si>
    <t>case example</t>
  </si>
  <si>
    <t xml:space="preserve">Total Trading PnL </t>
  </si>
  <si>
    <t>existing posns</t>
  </si>
  <si>
    <t>new trade posns</t>
  </si>
  <si>
    <t>existing positions</t>
  </si>
  <si>
    <t>new positions</t>
  </si>
  <si>
    <t>655.99</t>
  </si>
  <si>
    <t>-7730.23</t>
  </si>
  <si>
    <t>-5841.07</t>
  </si>
  <si>
    <t>IBERDROLA INTL BV FLT PERP SR:NC8</t>
  </si>
  <si>
    <t>-49353.97</t>
  </si>
  <si>
    <t>new trades</t>
  </si>
  <si>
    <t>unique types</t>
  </si>
  <si>
    <t>current price NR</t>
  </si>
  <si>
    <t>300.00</t>
  </si>
  <si>
    <t>risk category name</t>
  </si>
  <si>
    <t>isin and risk categort</t>
  </si>
  <si>
    <t>-38294681</t>
  </si>
  <si>
    <t>1230.00</t>
  </si>
  <si>
    <t>FR0013444775</t>
  </si>
  <si>
    <t>ENGIFP 0 03/04/27</t>
  </si>
  <si>
    <t>DZ BANK</t>
  </si>
  <si>
    <t>-464.00</t>
  </si>
  <si>
    <t>-1906.37</t>
  </si>
  <si>
    <t>ENGIE SA 0.000% 03/04/27 SR:EMTN</t>
  </si>
  <si>
    <t>-2875.84</t>
  </si>
  <si>
    <t>370.00</t>
  </si>
  <si>
    <t>750.29</t>
  </si>
  <si>
    <t>1757.39</t>
  </si>
  <si>
    <t>-13209.17</t>
  </si>
  <si>
    <t>actual amount</t>
  </si>
  <si>
    <t>volume traded</t>
  </si>
  <si>
    <t>currency translator</t>
  </si>
  <si>
    <t>security currency</t>
  </si>
  <si>
    <t>eur</t>
  </si>
  <si>
    <t>gbp</t>
  </si>
  <si>
    <t>usd</t>
  </si>
  <si>
    <t>ccy PnL</t>
  </si>
  <si>
    <t>eur PnL</t>
  </si>
  <si>
    <t>rate</t>
  </si>
  <si>
    <t>XS2193663619</t>
  </si>
  <si>
    <t>BPLN 4 1/4 PERP</t>
  </si>
  <si>
    <t>3/22/2027 12:00:00 AM</t>
  </si>
  <si>
    <t>US05565QDU94USDJP</t>
  </si>
  <si>
    <t>'Security Currency'</t>
  </si>
  <si>
    <t>35</t>
  </si>
  <si>
    <t>112</t>
  </si>
  <si>
    <t>-7596.66</t>
  </si>
  <si>
    <t>113</t>
  </si>
  <si>
    <t>25303.28</t>
  </si>
  <si>
    <t>30000.00</t>
  </si>
  <si>
    <t>18484.78</t>
  </si>
  <si>
    <t>MINT BGC</t>
  </si>
  <si>
    <t>-7890.00</t>
  </si>
  <si>
    <t>-18520.00</t>
  </si>
  <si>
    <t>2816.00</t>
  </si>
  <si>
    <t>-240.00</t>
  </si>
  <si>
    <t>8150.60</t>
  </si>
  <si>
    <t>-146758.636582459</t>
  </si>
  <si>
    <t>-122827.744347171</t>
  </si>
  <si>
    <t>-838555.641855842</t>
  </si>
  <si>
    <t>-234624.1502</t>
  </si>
  <si>
    <t>138805454.63</t>
  </si>
  <si>
    <t>-838555.64</t>
  </si>
  <si>
    <t>65307406.23</t>
  </si>
  <si>
    <t>-72659492.76</t>
  </si>
  <si>
    <t>206507.78</t>
  </si>
  <si>
    <t>-240121.58</t>
  </si>
  <si>
    <t>-11728.12</t>
  </si>
  <si>
    <t>0.15</t>
  </si>
  <si>
    <t>-40.12</t>
  </si>
  <si>
    <t>-0.02</t>
  </si>
  <si>
    <t>-20.42</t>
  </si>
  <si>
    <t>38682.38</t>
  </si>
  <si>
    <t>-15921.05</t>
  </si>
  <si>
    <t>85.63</t>
  </si>
  <si>
    <t>-1002.94</t>
  </si>
  <si>
    <t>41.48</t>
  </si>
  <si>
    <t>-19257.96</t>
  </si>
  <si>
    <t>-5.70</t>
  </si>
  <si>
    <t>-4510.91</t>
  </si>
  <si>
    <t>23814.68</t>
  </si>
  <si>
    <t>-19.53</t>
  </si>
  <si>
    <t>297.92</t>
  </si>
  <si>
    <t>4045.44</t>
  </si>
  <si>
    <t>-11331.29</t>
  </si>
  <si>
    <t>-13865.44</t>
  </si>
  <si>
    <t>976.31</t>
  </si>
  <si>
    <t>3525.15</t>
  </si>
  <si>
    <t>2911.65</t>
  </si>
  <si>
    <t>-13953.90</t>
  </si>
  <si>
    <t>29223.51</t>
  </si>
  <si>
    <t>465.19</t>
  </si>
  <si>
    <t>285.23</t>
  </si>
  <si>
    <t>-7195.94</t>
  </si>
  <si>
    <t>-3557.47</t>
  </si>
  <si>
    <t>-7986.55</t>
  </si>
  <si>
    <t>-1515.00</t>
  </si>
  <si>
    <t>-416.16</t>
  </si>
  <si>
    <t>13766.09</t>
  </si>
  <si>
    <t>4584.30</t>
  </si>
  <si>
    <t>-2334.53</t>
  </si>
  <si>
    <t>-24250.00</t>
  </si>
  <si>
    <t>-1080.00</t>
  </si>
  <si>
    <t>-4690.00</t>
  </si>
  <si>
    <t>-140.00</t>
  </si>
  <si>
    <t>-16060.00</t>
  </si>
  <si>
    <t>-1368.99</t>
  </si>
  <si>
    <t>7591.62</t>
  </si>
  <si>
    <t>-4900.39</t>
  </si>
  <si>
    <t>3271.62</t>
  </si>
  <si>
    <t>817.91</t>
  </si>
  <si>
    <t>1031.71</t>
  </si>
  <si>
    <t>-1163.41</t>
  </si>
  <si>
    <t>-250.00</t>
  </si>
  <si>
    <t>-3403.83</t>
  </si>
  <si>
    <t>582.11</t>
  </si>
  <si>
    <t>-4530.00</t>
  </si>
  <si>
    <t>-475.00</t>
  </si>
  <si>
    <t>-882.00</t>
  </si>
  <si>
    <t>774.90</t>
  </si>
  <si>
    <t>-891.22</t>
  </si>
  <si>
    <t>668.36</t>
  </si>
  <si>
    <t>56.64</t>
  </si>
  <si>
    <t>901.00</t>
  </si>
  <si>
    <t>-199.50</t>
  </si>
  <si>
    <t>-364.80</t>
  </si>
  <si>
    <t>-531.09</t>
  </si>
  <si>
    <t>1198.80</t>
  </si>
  <si>
    <t>2039.48</t>
  </si>
  <si>
    <t>-10971.85</t>
  </si>
  <si>
    <t>111.73</t>
  </si>
  <si>
    <t>-8932.00</t>
  </si>
  <si>
    <t>-1920.00</t>
  </si>
  <si>
    <t>662.32</t>
  </si>
  <si>
    <t>-44174.27</t>
  </si>
  <si>
    <t>-5423.76</t>
  </si>
  <si>
    <t>-324.30</t>
  </si>
  <si>
    <t>-1235.00</t>
  </si>
  <si>
    <t>-4032.00</t>
  </si>
  <si>
    <t>-518.00</t>
  </si>
  <si>
    <t>2232.00</t>
  </si>
  <si>
    <t>-2877.23</t>
  </si>
  <si>
    <t>34.14</t>
  </si>
  <si>
    <t>4620.00</t>
  </si>
  <si>
    <t>10482.00</t>
  </si>
  <si>
    <t>336.00</t>
  </si>
  <si>
    <t>952.00</t>
  </si>
  <si>
    <t>1719.63</t>
  </si>
  <si>
    <t>-4642.00</t>
  </si>
  <si>
    <t>2680.00</t>
  </si>
  <si>
    <t>-1294.00</t>
  </si>
  <si>
    <t>-331.32</t>
  </si>
  <si>
    <t>27940.00</t>
  </si>
  <si>
    <t>156.00</t>
  </si>
  <si>
    <t>14868.19</t>
  </si>
  <si>
    <t>-2739.00</t>
  </si>
  <si>
    <t>468.27</t>
  </si>
  <si>
    <t>322.00</t>
  </si>
  <si>
    <t>70.00</t>
  </si>
  <si>
    <t>2100.00</t>
  </si>
  <si>
    <t>360.00</t>
  </si>
  <si>
    <t>30.00</t>
  </si>
  <si>
    <t>8500.00</t>
  </si>
  <si>
    <t>288.00</t>
  </si>
  <si>
    <t>-3657.00</t>
  </si>
  <si>
    <t>-1435.20</t>
  </si>
  <si>
    <t>25349.04</t>
  </si>
  <si>
    <t>-15424.42</t>
  </si>
  <si>
    <t>2040.00</t>
  </si>
  <si>
    <t>240.00</t>
  </si>
  <si>
    <t>20.00</t>
  </si>
  <si>
    <t>-1134.00</t>
  </si>
  <si>
    <t>-590.85</t>
  </si>
  <si>
    <t>-2959.55</t>
  </si>
  <si>
    <t>540.00</t>
  </si>
  <si>
    <t>120.00</t>
  </si>
  <si>
    <t>-6206.92</t>
  </si>
  <si>
    <t>729.00</t>
  </si>
  <si>
    <t>5112.00</t>
  </si>
  <si>
    <t>-14880.00</t>
  </si>
  <si>
    <t>-802.66</t>
  </si>
  <si>
    <t>-59.72</t>
  </si>
  <si>
    <t>12414.60</t>
  </si>
  <si>
    <t>-610.00</t>
  </si>
  <si>
    <t>-2663.10</t>
  </si>
  <si>
    <t>850.00</t>
  </si>
  <si>
    <t>546.00</t>
  </si>
  <si>
    <t>799.37</t>
  </si>
  <si>
    <t>-580.00</t>
  </si>
  <si>
    <t>-3547.69</t>
  </si>
  <si>
    <t>4327.65</t>
  </si>
  <si>
    <t>-1380.00</t>
  </si>
  <si>
    <t>1748.00</t>
  </si>
  <si>
    <t>17.61</t>
  </si>
  <si>
    <t>-1528.00</t>
  </si>
  <si>
    <t>1540.00</t>
  </si>
  <si>
    <t>-1780.00</t>
  </si>
  <si>
    <t>1908.00</t>
  </si>
  <si>
    <t>158.18</t>
  </si>
  <si>
    <t>12253.32</t>
  </si>
  <si>
    <t>-70.00</t>
  </si>
  <si>
    <t>2740.00</t>
  </si>
  <si>
    <t>1020.00</t>
  </si>
  <si>
    <t>-9600.00</t>
  </si>
  <si>
    <t>-1181.95</t>
  </si>
  <si>
    <t>-670.00</t>
  </si>
  <si>
    <t>168.86</t>
  </si>
  <si>
    <t>3000.00</t>
  </si>
  <si>
    <t>339.80</t>
  </si>
  <si>
    <t>-3172.00</t>
  </si>
  <si>
    <t>-1280.00</t>
  </si>
  <si>
    <t>-1288.00</t>
  </si>
  <si>
    <t>-2079.00</t>
  </si>
  <si>
    <t>-2756.00</t>
  </si>
  <si>
    <t>4380.00</t>
  </si>
  <si>
    <t>3938.00</t>
  </si>
  <si>
    <t>22908.26</t>
  </si>
  <si>
    <t>-2712.48</t>
  </si>
  <si>
    <t>-5995.62</t>
  </si>
  <si>
    <t>-46.02</t>
  </si>
  <si>
    <t>-3815.00</t>
  </si>
  <si>
    <t>8142.71</t>
  </si>
  <si>
    <t>4173.61</t>
  </si>
  <si>
    <t>-1036.00</t>
  </si>
  <si>
    <t>-17.40</t>
  </si>
  <si>
    <t>-629.65</t>
  </si>
  <si>
    <t>450.00</t>
  </si>
  <si>
    <t>-546.00</t>
  </si>
  <si>
    <t>-1368.00</t>
  </si>
  <si>
    <t>11992.00</t>
  </si>
  <si>
    <t>-5954.00</t>
  </si>
  <si>
    <t>-440.00</t>
  </si>
  <si>
    <t>-2835.00</t>
  </si>
  <si>
    <t>8370.00</t>
  </si>
  <si>
    <t>-1815.40</t>
  </si>
  <si>
    <t>-2042.40</t>
  </si>
  <si>
    <t>2085.00</t>
  </si>
  <si>
    <t>4160.00</t>
  </si>
  <si>
    <t>4091.52</t>
  </si>
  <si>
    <t>1234.20</t>
  </si>
  <si>
    <t>4590.00</t>
  </si>
  <si>
    <t>-1428.00</t>
  </si>
  <si>
    <t>-1100.00</t>
  </si>
  <si>
    <t>-306.00</t>
  </si>
  <si>
    <t>836.00</t>
  </si>
  <si>
    <t>-893.94</t>
  </si>
  <si>
    <t>-274.00</t>
  </si>
  <si>
    <t>-5520.00</t>
  </si>
  <si>
    <t>1596.00</t>
  </si>
  <si>
    <t>-7880.00</t>
  </si>
  <si>
    <t>-3220.00</t>
  </si>
  <si>
    <t>-385.00</t>
  </si>
  <si>
    <t>189.00</t>
  </si>
  <si>
    <t>-9546.00</t>
  </si>
  <si>
    <t>1956.00</t>
  </si>
  <si>
    <t>6200.00</t>
  </si>
  <si>
    <t>-4646.25</t>
  </si>
  <si>
    <t>-220.00</t>
  </si>
  <si>
    <t>2658.04</t>
  </si>
  <si>
    <t>6720.90</t>
  </si>
  <si>
    <t>3425.00</t>
  </si>
  <si>
    <t>-7696.96</t>
  </si>
  <si>
    <t>-1338.00</t>
  </si>
  <si>
    <t>3660.00</t>
  </si>
  <si>
    <t>-4927.00</t>
  </si>
  <si>
    <t>953.04</t>
  </si>
  <si>
    <t>-4622.38482697086</t>
  </si>
  <si>
    <t>288920.286620451</t>
  </si>
  <si>
    <t>142136.251755488</t>
  </si>
  <si>
    <t>6089.93325811315</t>
  </si>
  <si>
    <t>284295.993448618</t>
  </si>
  <si>
    <t>128917.677605284</t>
  </si>
  <si>
    <t>137966898.990213</t>
  </si>
  <si>
    <t>833327447.651366</t>
  </si>
  <si>
    <t>138805454.632069</t>
  </si>
  <si>
    <t>1.32318154681349</t>
  </si>
  <si>
    <t>5.25280328357747</t>
  </si>
  <si>
    <t>1.32792039270296</t>
  </si>
  <si>
    <t>-0.00473884588947053</t>
  </si>
  <si>
    <t>-46004.7801</t>
  </si>
  <si>
    <t>186648.6569</t>
  </si>
  <si>
    <t>-0.000259982226808931</t>
  </si>
  <si>
    <t>0.0010547889446766</t>
  </si>
  <si>
    <t>-0.00132590806650001</t>
  </si>
  <si>
    <t>176953558.19000000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</si>
</sst>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[Red]\-#,##0\ "/>
    <numFmt numFmtId="165" formatCode="#,##0.00_ ;[Red]\-#,##0.00\ "/>
    <numFmt numFmtId="166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NumberFormat="1"/>
    <xf numFmtId="1" fontId="0" fillId="0" borderId="1" xfId="0" applyNumberFormat="1" applyBorder="1"/>
    <xf numFmtId="1" fontId="0" fillId="0" borderId="0" xfId="0" applyNumberFormat="1"/>
    <xf numFmtId="0" fontId="0" fillId="0" borderId="0" xfId="0" applyBorder="1"/>
    <xf numFmtId="22" fontId="0" fillId="0" borderId="0" xfId="0" applyNumberFormat="1" applyBorder="1"/>
    <xf numFmtId="0" fontId="0" fillId="0" borderId="10" xfId="0" applyBorder="1"/>
    <xf numFmtId="0" fontId="0" fillId="0" borderId="11" xfId="0" applyBorder="1"/>
    <xf numFmtId="1" fontId="0" fillId="0" borderId="11" xfId="0" applyNumberFormat="1" applyBorder="1"/>
    <xf numFmtId="0" fontId="0" fillId="0" borderId="12" xfId="0" applyBorder="1"/>
    <xf numFmtId="0" fontId="0" fillId="0" borderId="13" xfId="0" applyBorder="1"/>
    <xf numFmtId="1" fontId="0" fillId="0" borderId="0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" fontId="0" fillId="0" borderId="16" xfId="0" applyNumberFormat="1" applyBorder="1"/>
    <xf numFmtId="0" fontId="0" fillId="0" borderId="17" xfId="0" applyBorder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22" fontId="0" fillId="0" borderId="0" xfId="0" applyNumberForma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0" fontId="1" fillId="0" borderId="0" xfId="0" applyFont="1" applyAlignment="1">
      <alignment horizontal="left" wrapText="1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0" xfId="0" applyNumberFormat="1" applyBorder="1" applyAlignment="1">
      <alignment horizontal="left"/>
    </xf>
    <xf numFmtId="2" fontId="1" fillId="0" borderId="0" xfId="0" applyNumberFormat="1" applyFon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1" fillId="0" borderId="0" xfId="0" applyNumberFormat="1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164" fontId="1" fillId="0" borderId="19" xfId="0" applyNumberFormat="1" applyFont="1" applyBorder="1" applyAlignment="1">
      <alignment horizontal="left"/>
    </xf>
    <xf numFmtId="0" fontId="1" fillId="0" borderId="19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164" fontId="1" fillId="0" borderId="19" xfId="0" applyNumberFormat="1" applyFont="1" applyBorder="1" applyAlignment="1">
      <alignment horizontal="left" wrapText="1"/>
    </xf>
    <xf numFmtId="2" fontId="1" fillId="0" borderId="19" xfId="0" applyNumberFormat="1" applyFont="1" applyBorder="1" applyAlignment="1">
      <alignment horizontal="left" wrapText="1"/>
    </xf>
    <xf numFmtId="165" fontId="1" fillId="0" borderId="19" xfId="0" applyNumberFormat="1" applyFont="1" applyBorder="1" applyAlignment="1">
      <alignment horizontal="left"/>
    </xf>
    <xf numFmtId="3" fontId="0" fillId="0" borderId="0" xfId="0" applyNumberFormat="1" applyAlignment="1">
      <alignment horizontal="left"/>
    </xf>
    <xf numFmtId="3" fontId="1" fillId="0" borderId="19" xfId="0" applyNumberFormat="1" applyFont="1" applyBorder="1" applyAlignment="1">
      <alignment horizontal="left" wrapText="1"/>
    </xf>
    <xf numFmtId="0" fontId="1" fillId="0" borderId="20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2" borderId="0" xfId="0" applyFont="1" applyFill="1" applyAlignment="1">
      <alignment horizontal="right"/>
    </xf>
    <xf numFmtId="3" fontId="0" fillId="0" borderId="3" xfId="0" applyNumberFormat="1" applyBorder="1" applyAlignment="1">
      <alignment horizontal="right"/>
    </xf>
    <xf numFmtId="0" fontId="0" fillId="0" borderId="3" xfId="0" applyBorder="1" applyAlignment="1">
      <alignment horizontal="right"/>
    </xf>
    <xf numFmtId="3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8" xfId="0" applyNumberFormat="1" applyBorder="1" applyAlignment="1">
      <alignment horizontal="right"/>
    </xf>
    <xf numFmtId="0" fontId="0" fillId="0" borderId="8" xfId="0" applyBorder="1" applyAlignment="1">
      <alignment horizontal="right"/>
    </xf>
    <xf numFmtId="3" fontId="2" fillId="2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2" fillId="2" borderId="0" xfId="0" applyNumberFormat="1" applyFont="1" applyFill="1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3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165" fontId="0" fillId="0" borderId="8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165" fontId="2" fillId="2" borderId="0" xfId="0" applyNumberFormat="1" applyFont="1" applyFill="1" applyAlignment="1">
      <alignment horizontal="right"/>
    </xf>
    <xf numFmtId="2" fontId="2" fillId="2" borderId="0" xfId="0" applyNumberFormat="1" applyFont="1" applyFill="1" applyAlignment="1">
      <alignment horizontal="right"/>
    </xf>
    <xf numFmtId="165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2" fontId="0" fillId="0" borderId="0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1" fontId="0" fillId="0" borderId="24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1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>
      <alignment horizontal="right"/>
    </xf>
    <xf numFmtId="164" fontId="0" fillId="0" borderId="29" xfId="0" applyNumberFormat="1" applyBorder="1" applyAlignment="1">
      <alignment horizontal="right"/>
    </xf>
    <xf numFmtId="164" fontId="1" fillId="3" borderId="1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20" fontId="0" fillId="0" borderId="0" xfId="0" applyNumberFormat="1" applyBorder="1" applyAlignment="1">
      <alignment horizontal="left"/>
    </xf>
    <xf numFmtId="164" fontId="0" fillId="0" borderId="27" xfId="0" applyNumberFormat="1" applyFont="1" applyBorder="1" applyAlignment="1">
      <alignment horizontal="right"/>
    </xf>
    <xf numFmtId="164" fontId="0" fillId="0" borderId="29" xfId="0" applyNumberFormat="1" applyFont="1" applyBorder="1" applyAlignment="1">
      <alignment horizontal="right"/>
    </xf>
    <xf numFmtId="164" fontId="0" fillId="0" borderId="28" xfId="0" applyNumberFormat="1" applyFont="1" applyBorder="1" applyAlignment="1">
      <alignment horizontal="righ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3" fontId="0" fillId="0" borderId="0" xfId="0" applyNumberFormat="1"/>
    <xf numFmtId="14" fontId="0" fillId="0" borderId="0" xfId="0" applyNumberFormat="1"/>
    <xf numFmtId="166" fontId="0" fillId="0" borderId="0" xfId="0" applyNumberFormat="1"/>
    <xf numFmtId="1" fontId="1" fillId="0" borderId="19" xfId="0" applyNumberFormat="1" applyFont="1" applyBorder="1" applyAlignment="1">
      <alignment horizontal="left" wrapText="1"/>
    </xf>
    <xf numFmtId="1" fontId="0" fillId="0" borderId="0" xfId="0" applyNumberFormat="1" applyBorder="1" applyAlignment="1">
      <alignment horizontal="left"/>
    </xf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wrapText="1"/>
    </xf>
    <xf numFmtId="164" fontId="1" fillId="0" borderId="0" xfId="0" applyNumberFormat="1" applyFont="1" applyAlignment="1">
      <alignment wrapText="1"/>
    </xf>
    <xf numFmtId="0" fontId="0" fillId="0" borderId="0" xfId="0" applyAlignment="1">
      <alignment wrapText="1"/>
    </xf>
    <xf numFmtId="3" fontId="1" fillId="0" borderId="0" xfId="0" applyNumberFormat="1" applyFont="1"/>
    <xf numFmtId="164" fontId="0" fillId="0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1" fontId="0" fillId="0" borderId="0" xfId="0" applyNumberFormat="1" applyFill="1" applyBorder="1" applyAlignment="1">
      <alignment horizontal="left"/>
    </xf>
    <xf numFmtId="1" fontId="0" fillId="0" borderId="0" xfId="0" applyNumberFormat="1" applyFill="1" applyAlignment="1">
      <alignment horizontal="left"/>
    </xf>
  </cellXfs>
  <cellStyles count="1">
    <cellStyle name="Normal" xfId="0" builtinId="0"/>
  </cellStyles>
  <dxfs count="8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##V3_BDPV12</stp>
        <stp>MRKGR 3 3/8 12/12/74 equity</stp>
        <stp>last_price</stp>
        <stp>[P&amp;l movement_R.xlsm]newResult!R42C25</stp>
        <tr r="Y42" s="11"/>
      </tp>
      <tp t="s">
        <v>#N/A Invalid Security</v>
        <stp/>
        <stp>##V3_BDPV12</stp>
        <stp>TENN 0 1/8 11/30/32</stp>
        <stp>last_price</stp>
        <stp>[P&amp;l movement_R.xlsm]newResult!R42C25</stp>
        <tr r="Y42" s="11"/>
      </tp>
      <tp t="s">
        <v>#N/A Invalid Security</v>
        <stp/>
        <stp>##V3_BDPV12</stp>
        <stp>TOTAL 3 7/8 PERP</stp>
        <stp>last_price</stp>
        <stp>[P&amp;l movement_R.xlsm]newResult!R42C25</stp>
        <tr r="Y42" s="11"/>
      </tp>
      <tp>
        <v>104.107</v>
        <stp/>
        <stp>##V3_BDPV12</stp>
        <stp>FR0013252061@BGN corp</stp>
        <stp>last_price</stp>
        <stp>[P&amp;l movement_R.xlsm]newResult!R42C14</stp>
        <tr r="N42" s="11"/>
      </tp>
      <tp>
        <v>104.107</v>
        <stp/>
        <stp>##V3_BDPV12</stp>
        <stp>FR0013252061@BGN corp</stp>
        <stp>last_price</stp>
        <stp>[P&amp;l movement_R.xlsm]newResult!R42C25</stp>
        <tr r="Y42" s="11"/>
      </tp>
      <tp>
        <v>108.462</v>
        <stp/>
        <stp>##V3_BDPV12</stp>
        <stp>FR0013507704@BGN corp</stp>
        <stp>last_price</stp>
        <stp>[P&amp;l movement_R.xlsm]newResult!R42C14</stp>
        <tr r="N42" s="11"/>
      </tp>
      <tp>
        <v>108.462</v>
        <stp/>
        <stp>##V3_BDPV12</stp>
        <stp>FR0013507704@BGN corp</stp>
        <stp>last_price</stp>
        <stp>[P&amp;l movement_R.xlsm]newResult!R42C25</stp>
        <tr r="Y42" s="11"/>
      </tp>
      <tp>
        <v>101.226</v>
        <stp/>
        <stp>##V3_BDPV12</stp>
        <stp>XS1658012023@BGN corp</stp>
        <stp>last_price</stp>
        <stp>[P&amp;l movement_R.xlsm]newResult!R42C25</stp>
        <tr r="Y42" s="11"/>
      </tp>
      <tp>
        <v>100.345</v>
        <stp/>
        <stp>##V3_BDPV12</stp>
        <stp>XS2077670003@BGN corp</stp>
        <stp>last_price</stp>
        <stp>[P&amp;l movement_R.xlsm]newResult!R42C25</stp>
        <tr r="Y42" s="11"/>
      </tp>
      <tp>
        <v>101.226</v>
        <stp/>
        <stp>##V3_BDPV12</stp>
        <stp>XS1658012023@BGN corp</stp>
        <stp>last_price</stp>
        <stp>[P&amp;l movement_R.xlsm]newResult!R42C14</stp>
        <tr r="N42" s="11"/>
      </tp>
      <tp>
        <v>100.345</v>
        <stp/>
        <stp>##V3_BDPV12</stp>
        <stp>XS2077670003@BGN corp</stp>
        <stp>last_price</stp>
        <stp>[P&amp;l movement_R.xlsm]newResult!R42C14</stp>
        <tr r="N42" s="11"/>
      </tp>
      <tp>
        <v>105.592</v>
        <stp/>
        <stp>##V3_BDPV12</stp>
        <stp>XS1797138960@BGN corp</stp>
        <stp>last_price</stp>
        <stp>[P&amp;l movement_R.xlsm]newResult!R42C14</stp>
        <tr r="N42" s="11"/>
      </tp>
      <tp>
        <v>102.807</v>
        <stp/>
        <stp>##V3_BDPV12</stp>
        <stp>XS1550134602@BGN corp</stp>
        <stp>last_price</stp>
        <stp>[P&amp;l movement_R.xlsm]newResult!R42C14</stp>
        <tr r="N42" s="11"/>
      </tp>
      <tp>
        <v>105.592</v>
        <stp/>
        <stp>##V3_BDPV12</stp>
        <stp>XS1797138960@BGN corp</stp>
        <stp>last_price</stp>
        <stp>[P&amp;l movement_R.xlsm]newResult!R42C25</stp>
        <tr r="Y42" s="11"/>
      </tp>
      <tp>
        <v>102.807</v>
        <stp/>
        <stp>##V3_BDPV12</stp>
        <stp>XS1550134602@BGN corp</stp>
        <stp>last_price</stp>
        <stp>[P&amp;l movement_R.xlsm]newResult!R42C25</stp>
        <tr r="Y42" s="11"/>
      </tp>
      <tp>
        <v>102.94799999999999</v>
        <stp/>
        <stp>##V3_BDPV12</stp>
        <stp>XS1572349865@BGN corp</stp>
        <stp>last_price</stp>
        <stp>[P&amp;l movement_R.xlsm]newResult!R42C25</stp>
        <tr r="Y42" s="11"/>
      </tp>
      <tp>
        <v>105.473</v>
        <stp/>
        <stp>##V3_BDPV12</stp>
        <stp>XS1396367911@BGN corp</stp>
        <stp>last_price</stp>
        <stp>[P&amp;l movement_R.xlsm]newResult!R42C25</stp>
        <tr r="Y42" s="11"/>
      </tp>
      <tp>
        <v>105.36499999999999</v>
        <stp/>
        <stp>##V3_BDPV12</stp>
        <stp>XS1590787799@BGN corp</stp>
        <stp>last_price</stp>
        <stp>[P&amp;l movement_R.xlsm]newResult!R42C25</stp>
        <tr r="Y42" s="11"/>
      </tp>
      <tp>
        <v>102.94799999999999</v>
        <stp/>
        <stp>##V3_BDPV12</stp>
        <stp>XS1572349865@BGN corp</stp>
        <stp>last_price</stp>
        <stp>[P&amp;l movement_R.xlsm]newResult!R42C14</stp>
        <tr r="N42" s="11"/>
      </tp>
      <tp>
        <v>105.473</v>
        <stp/>
        <stp>##V3_BDPV12</stp>
        <stp>XS1396367911@BGN corp</stp>
        <stp>last_price</stp>
        <stp>[P&amp;l movement_R.xlsm]newResult!R42C14</stp>
        <tr r="N42" s="11"/>
      </tp>
      <tp>
        <v>105.36499999999999</v>
        <stp/>
        <stp>##V3_BDPV12</stp>
        <stp>XS1590787799@BGN corp</stp>
        <stp>last_price</stp>
        <stp>[P&amp;l movement_R.xlsm]newResult!R42C14</stp>
        <tr r="N42" s="11"/>
      </tp>
      <tp t="s">
        <v>#N/A Invalid Security</v>
        <stp/>
        <stp>##V3_BDPV12</stp>
        <stp>ITXEB534_JP_2025-12-20</stp>
        <stp>last_price</stp>
        <stp>[P&amp;l movement_R.xlsm]pnl!R13C15</stp>
        <tr r="O13" s="24"/>
        <tr r="O13" s="24"/>
      </tp>
      <tp t="s">
        <v>#N/A Invalid Security</v>
        <stp/>
        <stp>##V3_BDPV12</stp>
        <stp>ITXEU534_JP_2025-12-20</stp>
        <stp>last_price</stp>
        <stp>[P&amp;l movement_R.xlsm]pnl!R13C15</stp>
        <tr r="O13" s="24"/>
      </tp>
      <tp t="s">
        <v>#N/A Invalid Security</v>
        <stp/>
        <stp>##V3_BDPV12</stp>
        <stp>ITXES534_JP_2025-12-20</stp>
        <stp>last_price</stp>
        <stp>[P&amp;l movement_R.xlsm]pnl!R13C15</stp>
        <tr r="O13" s="24"/>
      </tp>
      <tp t="s">
        <v>#N/A Invalid Security</v>
        <stp/>
        <stp>##V3_BDPV12</stp>
        <stp>VIEFP 0.664 01/15/31 equity</stp>
        <stp>last_price</stp>
        <stp>[P&amp;l movement_R.xlsm]newResult!R42C25</stp>
        <tr r="Y42" s="11"/>
      </tp>
      <tp t="s">
        <v>#N/A Invalid Security</v>
        <stp/>
        <stp>##V3_BDPV12</stp>
        <stp>TOTAL 1.023 03/04/27 equity</stp>
        <stp>last_price</stp>
        <stp>[P&amp;l movement_R.xlsm]newResult!R42C25</stp>
        <tr r="Y42" s="11"/>
      </tp>
      <tp>
        <v>101.387</v>
        <stp/>
        <stp>##V3_BDPV12</stp>
        <stp>FR0013452620@BGN corp</stp>
        <stp>last_price</stp>
        <stp>[P&amp;l movement_R.xlsm]newResult!R42C14</stp>
        <tr r="N42" s="11"/>
      </tp>
      <tp t="s">
        <v>#N/A Invalid Security</v>
        <stp/>
        <stp>##V3_BDPV12</stp>
        <stp>VOD 4 7/8 10/03/78</stp>
        <stp>last_price</stp>
        <stp>[P&amp;l movement_R.xlsm]newResult!R42C25</stp>
        <tr r="Y42" s="11"/>
      </tp>
      <tp>
        <v>101.387</v>
        <stp/>
        <stp>##V3_BDPV12</stp>
        <stp>FR0013452620@BGN corp</stp>
        <stp>last_price</stp>
        <stp>[P&amp;l movement_R.xlsm]newResult!R42C25</stp>
        <tr r="Y42" s="11"/>
      </tp>
      <tp>
        <v>104.735</v>
        <stp/>
        <stp>##V3_BDPV12</stp>
        <stp>FR0013534336@BGN corp</stp>
        <stp>last_price</stp>
        <stp>[P&amp;l movement_R.xlsm]newResult!R42C25</stp>
        <tr r="Y42" s="11"/>
      </tp>
      <tp>
        <v>104.735</v>
        <stp/>
        <stp>##V3_BDPV12</stp>
        <stp>FR0013534336@BGN corp</stp>
        <stp>last_price</stp>
        <stp>[P&amp;l movement_R.xlsm]newResult!R42C14</stp>
        <tr r="N42" s="11"/>
      </tp>
      <tp>
        <v>104</v>
        <stp/>
        <stp>##V3_BDPV12</stp>
        <stp>XS1572343744@BGN corp</stp>
        <stp>last_price</stp>
        <stp>[P&amp;l movement_R.xlsm]newResult!R42C14</stp>
        <tr r="N42" s="11"/>
      </tp>
      <tp>
        <v>102.402</v>
        <stp/>
        <stp>##V3_BDPV12</stp>
        <stp>XS2010045511@BGN corp</stp>
        <stp>last_price</stp>
        <stp>[P&amp;l movement_R.xlsm]newResult!R42C14</stp>
        <tr r="N42" s="11"/>
      </tp>
      <tp>
        <v>102.35599999999999</v>
        <stp/>
        <stp>##V3_BDPV12</stp>
        <stp>XS2077670342@BGN corp</stp>
        <stp>last_price</stp>
        <stp>[P&amp;l movement_R.xlsm]newResult!R42C25</stp>
        <tr r="Y42" s="11"/>
      </tp>
      <tp>
        <v>104</v>
        <stp/>
        <stp>##V3_BDPV12</stp>
        <stp>XS1572343744@BGN corp</stp>
        <stp>last_price</stp>
        <stp>[P&amp;l movement_R.xlsm]newResult!R42C25</stp>
        <tr r="Y42" s="11"/>
      </tp>
      <tp>
        <v>102.402</v>
        <stp/>
        <stp>##V3_BDPV12</stp>
        <stp>XS2010045511@BGN corp</stp>
        <stp>last_price</stp>
        <stp>[P&amp;l movement_R.xlsm]newResult!R42C25</stp>
        <tr r="Y42" s="11"/>
      </tp>
      <tp>
        <v>102.35599999999999</v>
        <stp/>
        <stp>##V3_BDPV12</stp>
        <stp>XS2077670342@BGN corp</stp>
        <stp>last_price</stp>
        <stp>[P&amp;l movement_R.xlsm]newResult!R42C14</stp>
        <tr r="N42" s="11"/>
      </tp>
      <tp>
        <v>106.295</v>
        <stp/>
        <stp>##V3_BDPV12</stp>
        <stp>XS2156506854@BGN corp</stp>
        <stp>last_price</stp>
        <stp>[P&amp;l movement_R.xlsm]newResult!R42C25</stp>
        <tr r="Y42" s="11"/>
      </tp>
      <tp t="s">
        <v>#N/A Invalid Security</v>
        <stp/>
        <stp>##V3_BDPV12</stp>
        <stp>IE00BL6XZW69@LN corp</stp>
        <stp>last_price</stp>
        <stp>[P&amp;l movement_R.xlsm]newResult!R42C25</stp>
        <tr r="Y42" s="11"/>
      </tp>
      <tp>
        <v>99.37</v>
        <stp/>
        <stp>##V3_BDPV12</stp>
        <stp>XS2114413565@BGN corp</stp>
        <stp>last_price</stp>
        <stp>[P&amp;l movement_R.xlsm]newResult!R42C25</stp>
        <tr r="Y42" s="11"/>
      </tp>
      <tp>
        <v>99.37</v>
        <stp/>
        <stp>##V3_BDPV12</stp>
        <stp>XS2114413565@BGN corp</stp>
        <stp>last_price</stp>
        <stp>[P&amp;l movement_R.xlsm]newResult!R42C14</stp>
        <tr r="N42" s="11"/>
      </tp>
      <tp>
        <v>106.295</v>
        <stp/>
        <stp>##V3_BDPV12</stp>
        <stp>XS2156506854@BGN corp</stp>
        <stp>last_price</stp>
        <stp>[P&amp;l movement_R.xlsm]newResult!R42C14</stp>
        <tr r="N42" s="11"/>
      </tp>
      <tp t="s">
        <v>#N/A Invalid Security</v>
        <stp/>
        <stp>##V3_BDPV12</stp>
        <stp>IE00BL6XZW69@LN corp</stp>
        <stp>last_price</stp>
        <stp>[P&amp;l movement_R.xlsm]newResult!R42C14</stp>
        <tr r="N42" s="11"/>
      </tp>
      <tp>
        <v>106.12</v>
        <stp/>
        <stp>##V3_BDPV12</stp>
        <stp>XS1177459531@BGN corp</stp>
        <stp>last_price</stp>
        <stp>[P&amp;l movement_R.xlsm]newResult!R42C25</stp>
        <tr r="Y42" s="11"/>
      </tp>
      <tp>
        <v>106.12</v>
        <stp/>
        <stp>##V3_BDPV12</stp>
        <stp>XS1177459531@BGN corp</stp>
        <stp>last_price</stp>
        <stp>[P&amp;l movement_R.xlsm]newResult!R42C14</stp>
        <tr r="N42" s="11"/>
      </tp>
      <tp t="s">
        <v>#N/A Invalid Security</v>
        <stp/>
        <stp>##V3_BDPV12</stp>
        <stp>RWE 3 1/2 04/21/75 equity</stp>
        <stp>last_price</stp>
        <stp>[P&amp;l movement_R.xlsm]newResult!R42C25</stp>
        <tr r="Y42" s="11"/>
      </tp>
      <tp>
        <v>108.94199999999999</v>
        <stp/>
        <stp>##V3_BDPV12</stp>
        <stp>XS1615079974@BGN corp</stp>
        <stp>last_price</stp>
        <stp>[P&amp;l movement_R.xlsm]newResult!R42C14</stp>
        <tr r="N42" s="11"/>
      </tp>
      <tp>
        <v>106.80200000000001</v>
        <stp/>
        <stp>##V3_BDPV12</stp>
        <stp>XS2186001314@BGN corp</stp>
        <stp>last_price</stp>
        <stp>[P&amp;l movement_R.xlsm]newResult!R42C14</stp>
        <tr r="N42" s="11"/>
      </tp>
      <tp>
        <v>103.764</v>
        <stp/>
        <stp>##V3_BDPV12</stp>
        <stp>XS1527758145@BGN corp</stp>
        <stp>last_price</stp>
        <stp>[P&amp;l movement_R.xlsm]newResult!R42C25</stp>
        <tr r="Y42" s="11"/>
      </tp>
      <tp>
        <v>106.80200000000001</v>
        <stp/>
        <stp>##V3_BDPV12</stp>
        <stp>XS2186001314@BGN corp</stp>
        <stp>last_price</stp>
        <stp>[P&amp;l movement_R.xlsm]newResult!R42C25</stp>
        <tr r="Y42" s="11"/>
      </tp>
      <tp>
        <v>103.764</v>
        <stp/>
        <stp>##V3_BDPV12</stp>
        <stp>XS1527758145@BGN corp</stp>
        <stp>last_price</stp>
        <stp>[P&amp;l movement_R.xlsm]newResult!R42C14</stp>
        <tr r="N42" s="11"/>
      </tp>
      <tp>
        <v>108.94199999999999</v>
        <stp/>
        <stp>##V3_BDPV12</stp>
        <stp>XS1615079974@BGN corp</stp>
        <stp>last_price</stp>
        <stp>[P&amp;l movement_R.xlsm]newResult!R42C25</stp>
        <tr r="Y42" s="11"/>
      </tp>
      <tp>
        <v>107.58</v>
        <stp/>
        <stp>##V3_BDPV12</stp>
        <stp>US456837AR44@BGN corp</stp>
        <stp>last_price</stp>
        <stp>[P&amp;l movement_R.xlsm]newResult!R42C25</stp>
        <tr r="Y42" s="11"/>
      </tp>
      <tp>
        <v>107.58</v>
        <stp/>
        <stp>##V3_BDPV12</stp>
        <stp>US456837AR44@BGN corp</stp>
        <stp>last_price</stp>
        <stp>[P&amp;l movement_R.xlsm]newResult!R42C14</stp>
        <tr r="N42" s="11"/>
      </tp>
      <tp t="s">
        <v>#N/A Invalid Security</v>
        <stp/>
        <stp>##V3_BDPV12</stp>
        <stp>VZ 0 7/8 03/19/32</stp>
        <stp>last_price</stp>
        <stp>[P&amp;l movement_R.xlsm]pnl!R13C15</stp>
        <tr r="O13" s="24"/>
      </tp>
      <tp>
        <v>106.29900000000001</v>
        <stp/>
        <stp>##V3_BDPV12</stp>
        <stp>DE0001102416@BGN corp</stp>
        <stp>last_price</stp>
        <stp>[P&amp;l movement_R.xlsm]newResult!R42C25</stp>
        <tr r="Y42" s="11"/>
      </tp>
      <tp>
        <v>106.29900000000001</v>
        <stp/>
        <stp>##V3_BDPV12</stp>
        <stp>DE0001102416@BGN corp</stp>
        <stp>last_price</stp>
        <stp>[P&amp;l movement_R.xlsm]newResult!R42C14</stp>
        <tr r="N42" s="11"/>
      </tp>
      <tp t="s">
        <v>#N/A Invalid Security</v>
        <stp/>
        <stp>##V3_BDPV12</stp>
        <stp>CPIPGR 4 7/8 PERP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INTNED 5 3/4 PERP equity</stp>
        <stp>last_price</stp>
        <stp>[P&amp;l movement_R.xlsm]newResult!R42C25</stp>
        <tr r="Y42" s="11"/>
      </tp>
      <tp>
        <v>189.24199999999999</v>
        <stp/>
        <stp>##V3_BDPV12</stp>
        <stp>DE0001135325@BGN corp</stp>
        <stp>last_price</stp>
        <stp>[P&amp;l movement_R.xlsm]newResult!R42C14</stp>
        <tr r="N42" s="11"/>
      </tp>
      <tp>
        <v>189.24199999999999</v>
        <stp/>
        <stp>##V3_BDPV12</stp>
        <stp>DE0001135325@BGN corp</stp>
        <stp>last_price</stp>
        <stp>[P&amp;l movement_R.xlsm]newResult!R42C25</stp>
        <tr r="Y42" s="11"/>
      </tp>
      <tp t="s">
        <v>#N/A Invalid Security</v>
        <stp/>
        <stp>##V3_BDPV12</stp>
        <stp>INTNED 6 3/4 PERP equity</stp>
        <stp>last_price</stp>
        <stp>[P&amp;l movement_R.xlsm]newResult!R42C25</stp>
        <tr r="Y42" s="11"/>
      </tp>
      <tp t="s">
        <v>#N/A Invalid Security</v>
        <stp/>
        <stp>##V3_BDPV12</stp>
        <stp>DBR 4 1/4 07/04/39 equity</stp>
        <stp>last_price</stp>
        <stp>[P&amp;l movement_R.xlsm]newResult!R42C25</stp>
        <tr r="Y42" s="11"/>
      </tp>
      <tp>
        <v>103.855</v>
        <stp/>
        <stp>##V3_BDPV12</stp>
        <stp>XS2052320954@BGN corp</stp>
        <stp>last_price</stp>
        <stp>[P&amp;l movement_R.xlsm]newResult!R42C14</stp>
        <tr r="N42" s="11"/>
      </tp>
      <tp>
        <v>103.855</v>
        <stp/>
        <stp>##V3_BDPV12</stp>
        <stp>XS2052320954@BGN corp</stp>
        <stp>last_price</stp>
        <stp>[P&amp;l movement_R.xlsm]newResult!R42C25</stp>
        <tr r="Y42" s="11"/>
      </tp>
      <tp>
        <v>100.754</v>
        <stp/>
        <stp>##V3_BDPV12</stp>
        <stp>XS2251626896@BGN corp</stp>
        <stp>last_price</stp>
        <stp>[P&amp;l movement_R.xlsm]newResult!R42C25</stp>
        <tr r="Y42" s="11"/>
      </tp>
      <tp>
        <v>105.69799999999999</v>
        <stp/>
        <stp>##V3_BDPV12</stp>
        <stp>XS2154347293@BGN corp</stp>
        <stp>last_price</stp>
        <stp>[P&amp;l movement_R.xlsm]newResult!R42C25</stp>
        <tr r="Y42" s="11"/>
      </tp>
      <tp>
        <v>105.69799999999999</v>
        <stp/>
        <stp>##V3_BDPV12</stp>
        <stp>XS2154347293@BGN corp</stp>
        <stp>last_price</stp>
        <stp>[P&amp;l movement_R.xlsm]newResult!R42C14</stp>
        <tr r="N42" s="11"/>
      </tp>
      <tp>
        <v>100.754</v>
        <stp/>
        <stp>##V3_BDPV12</stp>
        <stp>XS2251626896@BGN corp</stp>
        <stp>last_price</stp>
        <stp>[P&amp;l movement_R.xlsm]newResult!R42C14</stp>
        <tr r="N42" s="11"/>
      </tp>
      <tp>
        <v>108.417</v>
        <stp/>
        <stp>##V3_BDPV12</stp>
        <stp>XS1888180996@BGN corp</stp>
        <stp>last_price</stp>
        <stp>[P&amp;l movement_R.xlsm]newResult!R42C14</stp>
        <tr r="N42" s="11"/>
      </tp>
      <tp>
        <v>106.70099999999999</v>
        <stp/>
        <stp>##V3_BDPV12</stp>
        <stp>XS1216019585@BGN corp</stp>
        <stp>last_price</stp>
        <stp>[P&amp;l movement_R.xlsm]newResult!R42C14</stp>
        <tr r="N42" s="11"/>
      </tp>
      <tp>
        <v>108.417</v>
        <stp/>
        <stp>##V3_BDPV12</stp>
        <stp>XS1888180996@BGN corp</stp>
        <stp>last_price</stp>
        <stp>[P&amp;l movement_R.xlsm]newResult!R42C25</stp>
        <tr r="Y42" s="11"/>
      </tp>
      <tp>
        <v>106.70099999999999</v>
        <stp/>
        <stp>##V3_BDPV12</stp>
        <stp>XS1216019585@BGN corp</stp>
        <stp>last_price</stp>
        <stp>[P&amp;l movement_R.xlsm]newResult!R42C25</stp>
        <tr r="Y42" s="11"/>
      </tp>
      <tp t="s">
        <v>#N/A Invalid Security</v>
        <stp/>
        <stp>##V3_BDPV12</stp>
        <stp>CPIPGR 4 7/8 PERP</stp>
        <stp>last_price</stp>
        <stp>[P&amp;l movement_R.xlsm]pnl!R13C15</stp>
        <tr r="O13" s="24"/>
      </tp>
      <tp t="s">
        <v>#N/A Invalid Security</v>
        <stp/>
        <stp>##V3_BDPV12</stp>
        <stp>ARRFP 1 1/2 01/25/30 equity</stp>
        <stp>last_price</stp>
        <stp>[P&amp;l movement_R.xlsm]newResult!R42C25</stp>
        <tr r="Y42" s="11"/>
      </tp>
      <tp>
        <v>110.569</v>
        <stp/>
        <stp>##V3_BDPV12</stp>
        <stp>FR0013248523@BGN corp</stp>
        <stp>last_price</stp>
        <stp>[P&amp;l movement_R.xlsm]newResult!R42C25</stp>
        <tr r="Y42" s="11"/>
      </tp>
      <tp t="s">
        <v>#N/A Invalid Security</v>
        <stp/>
        <stp>##V3_BDPV12</stp>
        <stp>OMVAV 2 7/8 PERP</stp>
        <stp>last_price</stp>
        <stp>[P&amp;l movement_R.xlsm]newResult!R42C25</stp>
        <tr r="Y42" s="11"/>
        <tr r="Y42" s="11"/>
      </tp>
      <tp>
        <v>108.294</v>
        <stp/>
        <stp>##V3_BDPV12</stp>
        <stp>FR0012949923@BGN corp</stp>
        <stp>last_price</stp>
        <stp>[P&amp;l movement_R.xlsm]newResult!R42C25</stp>
        <tr r="Y42" s="11"/>
      </tp>
      <tp>
        <v>108.294</v>
        <stp/>
        <stp>##V3_BDPV12</stp>
        <stp>FR0012949923@BGN corp</stp>
        <stp>last_price</stp>
        <stp>[P&amp;l movement_R.xlsm]newResult!R42C14</stp>
        <tr r="N42" s="11"/>
      </tp>
      <tp>
        <v>110.569</v>
        <stp/>
        <stp>##V3_BDPV12</stp>
        <stp>FR0013248523@BGN corp</stp>
        <stp>last_price</stp>
        <stp>[P&amp;l movement_R.xlsm]newResult!R42C14</stp>
        <tr r="N42" s="11"/>
      </tp>
      <tp>
        <v>105.771</v>
        <stp/>
        <stp>##V3_BDPV12</stp>
        <stp>BE6321529396@BGN corp</stp>
        <stp>last_price</stp>
        <stp>[P&amp;l movement_R.xlsm]newResult!R42C14</stp>
        <tr r="N42" s="11"/>
      </tp>
      <tp>
        <v>105.771</v>
        <stp/>
        <stp>##V3_BDPV12</stp>
        <stp>BE6321529396@BGN corp</stp>
        <stp>last_price</stp>
        <stp>[P&amp;l movement_R.xlsm]newResult!R42C25</stp>
        <tr r="Y42" s="11"/>
      </tp>
      <tp t="s">
        <v>#N/A Invalid Security</v>
        <stp/>
        <stp>##V3_BDPV12</stp>
        <stp>ALVGR 2 5/8 PERP</stp>
        <stp>last_price</stp>
        <stp>[P&amp;l movement_R.xlsm]newResult!R42C25</stp>
        <tr r="Y42" s="11"/>
      </tp>
      <tp t="s">
        <v>#N/A Invalid Security</v>
        <stp/>
        <stp>##V3_BDPV12</stp>
        <stp>VOD 2 7/8 11/20/37</stp>
        <stp>last_price</stp>
        <stp>[P&amp;l movement_R.xlsm]newResult!R42C25</stp>
        <tr r="Y42" s="11"/>
      </tp>
      <tp t="s">
        <v>#N/A Invalid Security</v>
        <stp/>
        <stp>##V3_BDPV12</stp>
        <stp>SEVFP 2 7/8 PERP</stp>
        <stp>last_price</stp>
        <stp>[P&amp;l movement_R.xlsm]newResult!R42C25</stp>
        <tr r="Y42" s="11"/>
      </tp>
      <tp>
        <v>101.235</v>
        <stp/>
        <stp>##V3_BDPV12</stp>
        <stp>FR0013431244@BGN corp</stp>
        <stp>last_price</stp>
        <stp>[P&amp;l movement_R.xlsm]newResult!R42C25</stp>
        <tr r="Y42" s="11"/>
      </tp>
      <tp>
        <v>105.655</v>
        <stp/>
        <stp>##V3_BDPV12</stp>
        <stp>DE0001102507@BGN corp</stp>
        <stp>last_price</stp>
        <stp>[P&amp;l movement_R.xlsm]newResult!R42C25</stp>
        <tr r="Y42" s="11"/>
      </tp>
      <tp>
        <v>138.846</v>
        <stp/>
        <stp>##V3_BDPV12</stp>
        <stp>BE6320936287@BGN corp</stp>
        <stp>last_price</stp>
        <stp>[P&amp;l movement_R.xlsm]newResult!R42C25</stp>
        <tr r="Y42" s="11"/>
      </tp>
      <tp>
        <v>101.235</v>
        <stp/>
        <stp>##V3_BDPV12</stp>
        <stp>FR0013431244@BGN corp</stp>
        <stp>last_price</stp>
        <stp>[P&amp;l movement_R.xlsm]newResult!R42C14</stp>
        <tr r="N42" s="11"/>
      </tp>
      <tp>
        <v>105.655</v>
        <stp/>
        <stp>##V3_BDPV12</stp>
        <stp>DE0001102507@BGN corp</stp>
        <stp>last_price</stp>
        <stp>[P&amp;l movement_R.xlsm]newResult!R42C14</stp>
        <tr r="N42" s="11"/>
      </tp>
      <tp>
        <v>138.846</v>
        <stp/>
        <stp>##V3_BDPV12</stp>
        <stp>BE6320936287@BGN corp</stp>
        <stp>last_price</stp>
        <stp>[P&amp;l movement_R.xlsm]newResult!R42C14</stp>
        <tr r="N42" s="11"/>
      </tp>
      <tp>
        <v>112.83199999999999</v>
        <stp/>
        <stp>##V3_BDPV12</stp>
        <stp>FR0013504677@BGN corp</stp>
        <stp>last_price</stp>
        <stp>[P&amp;l movement_R.xlsm]newResult!R42C25</stp>
        <tr r="Y42" s="11"/>
      </tp>
      <tp>
        <v>109.643</v>
        <stp/>
        <stp>##V3_BDPV12</stp>
        <stp>FR0013246733@BGN corp</stp>
        <stp>last_price</stp>
        <stp>[P&amp;l movement_R.xlsm]newResult!R42C14</stp>
        <tr r="N42" s="11"/>
      </tp>
      <tp>
        <v>109.643</v>
        <stp/>
        <stp>##V3_BDPV12</stp>
        <stp>FR0013246733@BGN corp</stp>
        <stp>last_price</stp>
        <stp>[P&amp;l movement_R.xlsm]newResult!R42C25</stp>
        <tr r="Y42" s="11"/>
      </tp>
      <tp>
        <v>112.83199999999999</v>
        <stp/>
        <stp>##V3_BDPV12</stp>
        <stp>FR0013504677@BGN corp</stp>
        <stp>last_price</stp>
        <stp>[P&amp;l movement_R.xlsm]newResult!R42C14</stp>
        <tr r="N42" s="11"/>
      </tp>
      <tp>
        <v>101.873</v>
        <stp/>
        <stp>##V3_BDPV12</stp>
        <stp>XS2010036874@BGN corp</stp>
        <stp>last_price</stp>
        <stp>[P&amp;l movement_R.xlsm]newResult!R42C25</stp>
        <tr r="Y42" s="11"/>
      </tp>
      <tp>
        <v>106.64100000000001</v>
        <stp/>
        <stp>##V3_BDPV12</stp>
        <stp>XS1571333811@BGN corp</stp>
        <stp>last_price</stp>
        <stp>[P&amp;l movement_R.xlsm]newResult!R42C14</stp>
        <tr r="N42" s="11"/>
      </tp>
      <tp>
        <v>101.873</v>
        <stp/>
        <stp>##V3_BDPV12</stp>
        <stp>XS2010036874@BGN corp</stp>
        <stp>last_price</stp>
        <stp>[P&amp;l movement_R.xlsm]newResult!R42C14</stp>
        <tr r="N42" s="11"/>
      </tp>
      <tp>
        <v>106.64100000000001</v>
        <stp/>
        <stp>##V3_BDPV12</stp>
        <stp>XS1571333811@BGN corp</stp>
        <stp>last_price</stp>
        <stp>[P&amp;l movement_R.xlsm]newResult!R42C25</stp>
        <tr r="Y42" s="11"/>
      </tp>
      <tp>
        <v>127.78700000000001</v>
        <stp/>
        <stp>##V3_BDPV12</stp>
        <stp>XS1721422902@BGN corp</stp>
        <stp>last_price</stp>
        <stp>[P&amp;l movement_R.xlsm]newResult!R42C14</stp>
        <tr r="N42" s="11"/>
      </tp>
      <tp t="s">
        <v>#N/A Real Time</v>
        <stp/>
        <stp>##V3_BDPV12</stp>
        <stp>XS2262065233@BGN corp</stp>
        <stp>last_price</stp>
        <stp>[P&amp;l movement_R.xlsm]newResult!R42C25</stp>
        <tr r="Y42" s="11"/>
      </tp>
      <tp>
        <v>109.423</v>
        <stp/>
        <stp>##V3_BDPV12</stp>
        <stp>XS1411401083@BGN corp</stp>
        <stp>last_price</stp>
        <stp>[P&amp;l movement_R.xlsm]newResult!R42C14</stp>
        <tr r="N42" s="11"/>
      </tp>
      <tp>
        <v>112.31699999999999</v>
        <stp/>
        <stp>##V3_BDPV12</stp>
        <stp>XS0954675129@BGN corp</stp>
        <stp>last_price</stp>
        <stp>[P&amp;l movement_R.xlsm]newResult!R42C14</stp>
        <tr r="N42" s="11"/>
      </tp>
      <tp>
        <v>103.377</v>
        <stp/>
        <stp>##V3_BDPV12</stp>
        <stp>XS1713463716@BGN corp</stp>
        <stp>last_price</stp>
        <stp>[P&amp;l movement_R.xlsm]newResult!R42C25</stp>
        <tr r="Y42" s="11"/>
      </tp>
      <tp>
        <v>103.377</v>
        <stp/>
        <stp>##V3_BDPV12</stp>
        <stp>XS1713463716@BGN corp</stp>
        <stp>last_price</stp>
        <stp>[P&amp;l movement_R.xlsm]newResult!R42C14</stp>
        <tr r="N42" s="11"/>
      </tp>
      <tp>
        <v>127.78700000000001</v>
        <stp/>
        <stp>##V3_BDPV12</stp>
        <stp>XS1721422902@BGN corp</stp>
        <stp>last_price</stp>
        <stp>[P&amp;l movement_R.xlsm]newResult!R42C25</stp>
        <tr r="Y42" s="11"/>
      </tp>
      <tp t="s">
        <v>#N/A Real Time</v>
        <stp/>
        <stp>##V3_BDPV12</stp>
        <stp>XS2262065233@BGN corp</stp>
        <stp>last_price</stp>
        <stp>[P&amp;l movement_R.xlsm]newResult!R42C14</stp>
        <tr r="N42" s="11"/>
      </tp>
      <tp>
        <v>109.423</v>
        <stp/>
        <stp>##V3_BDPV12</stp>
        <stp>XS1411401083@BGN corp</stp>
        <stp>last_price</stp>
        <stp>[P&amp;l movement_R.xlsm]newResult!R42C25</stp>
        <tr r="Y42" s="11"/>
      </tp>
      <tp>
        <v>112.31699999999999</v>
        <stp/>
        <stp>##V3_BDPV12</stp>
        <stp>XS0954675129@BGN corp</stp>
        <stp>last_price</stp>
        <stp>[P&amp;l movement_R.xlsm]newResult!R42C25</stp>
        <tr r="Y42" s="11"/>
      </tp>
      <tp t="s">
        <v>#N/A Invalid Security</v>
        <stp/>
        <stp>##V3_BDPV12</stp>
        <stp>ENBW 3 5/8 04/02/76 equity</stp>
        <stp>last_price</stp>
        <stp>[P&amp;l movement_R.xlsm]newResult!R42C25</stp>
        <tr r="Y42" s="11"/>
      </tp>
      <tp t="s">
        <v>#N/A Invalid Security</v>
        <stp/>
        <stp>##V3_BDPV12</stp>
        <stp>ENBW 5 1/8 04/05/77 equity</stp>
        <stp>last_price</stp>
        <stp>[P&amp;l movement_R.xlsm]newResult!R42C25</stp>
        <tr r="Y42" s="11"/>
      </tp>
      <tp t="s">
        <v>#N/A Invalid Security</v>
        <stp/>
        <stp>##V3_BDPV12</stp>
        <stp>VZ 1 1/2 09/19/39</stp>
        <stp>last_price</stp>
        <stp>[P&amp;l movement_R.xlsm]pnl!R13C15</stp>
        <tr r="O13" s="24"/>
      </tp>
      <tp>
        <v>108.503</v>
        <stp/>
        <stp>##V3_BDPV12</stp>
        <stp>FR0013398229@BGN corp</stp>
        <stp>last_price</stp>
        <stp>[P&amp;l movement_R.xlsm]newResult!R42C25</stp>
        <tr r="Y42" s="11"/>
      </tp>
      <tp>
        <v>106.128</v>
        <stp/>
        <stp>##V3_BDPV12</stp>
        <stp>FR0013519071@BGN corp</stp>
        <stp>last_price</stp>
        <stp>[P&amp;l movement_R.xlsm]newResult!R42C25</stp>
        <tr r="Y42" s="11"/>
      </tp>
      <tp>
        <v>101.583</v>
        <stp/>
        <stp>##V3_BDPV12</stp>
        <stp>DE000A289N78@BGN corp</stp>
        <stp>last_price</stp>
        <stp>[P&amp;l movement_R.xlsm]newResult!R42C14</stp>
        <tr r="N42" s="11"/>
      </tp>
      <tp>
        <v>106.128</v>
        <stp/>
        <stp>##V3_BDPV12</stp>
        <stp>FR0013519071@BGN corp</stp>
        <stp>last_price</stp>
        <stp>[P&amp;l movement_R.xlsm]newResult!R42C14</stp>
        <tr r="N42" s="11"/>
      </tp>
      <tp>
        <v>101.583</v>
        <stp/>
        <stp>##V3_BDPV12</stp>
        <stp>DE000A289N78@BGN corp</stp>
        <stp>last_price</stp>
        <stp>[P&amp;l movement_R.xlsm]newResult!R42C25</stp>
        <tr r="Y42" s="11"/>
      </tp>
      <tp>
        <v>108.503</v>
        <stp/>
        <stp>##V3_BDPV12</stp>
        <stp>FR0013398229@BGN corp</stp>
        <stp>last_price</stp>
        <stp>[P&amp;l movement_R.xlsm]newResult!R42C14</stp>
        <tr r="N42" s="11"/>
      </tp>
      <tp>
        <v>123.50700000000001</v>
        <stp/>
        <stp>##V3_BDPV12</stp>
        <stp>BE0002466416@BGN corp</stp>
        <stp>last_price</stp>
        <stp>[P&amp;l movement_R.xlsm]newResult!R42C14</stp>
        <tr r="N42" s="11"/>
      </tp>
      <tp>
        <v>113.517</v>
        <stp/>
        <stp>##V3_BDPV12</stp>
        <stp>FR0013382348@BGN corp</stp>
        <stp>last_price</stp>
        <stp>[P&amp;l movement_R.xlsm]newResult!R42C14</stp>
        <tr r="N42" s="11"/>
      </tp>
      <tp t="s">
        <v>#N/A Invalid Security</v>
        <stp/>
        <stp>##V3_BDPV12</stp>
        <stp>USF2893T Curncy</stp>
        <stp>px_eval</stp>
        <stp>[P&amp;l movement_R.xlsm]newResult!R42C25</stp>
        <stp>cds_5y</stp>
        <stp>-</stp>
        <tr r="Y42" s="11"/>
        <tr r="Y42" s="11"/>
      </tp>
      <tp>
        <v>113.517</v>
        <stp/>
        <stp>##V3_BDPV12</stp>
        <stp>FR0013382348@BGN corp</stp>
        <stp>last_price</stp>
        <stp>[P&amp;l movement_R.xlsm]newResult!R42C25</stp>
        <tr r="Y42" s="11"/>
      </tp>
      <tp>
        <v>123.50700000000001</v>
        <stp/>
        <stp>##V3_BDPV12</stp>
        <stp>BE0002466416@BGN corp</stp>
        <stp>last_price</stp>
        <stp>[P&amp;l movement_R.xlsm]newResult!R42C25</stp>
        <tr r="Y42" s="11"/>
      </tp>
      <tp>
        <v>101.5</v>
        <stp/>
        <stp>##V3_BDPV12</stp>
        <stp>XS2218405772@BGN corp</stp>
        <stp>last_price</stp>
        <stp>[P&amp;l movement_R.xlsm]newResult!R42C14</stp>
        <tr r="N42" s="11"/>
      </tp>
      <tp>
        <v>101.214</v>
        <stp/>
        <stp>##V3_BDPV12</stp>
        <stp>XS1044811591@BGN corp</stp>
        <stp>last_price</stp>
        <stp>[P&amp;l movement_R.xlsm]newResult!R42C14</stp>
        <tr r="N42" s="11"/>
      </tp>
      <tp>
        <v>103.505</v>
        <stp/>
        <stp>##V3_BDPV12</stp>
        <stp>XS2107315470@BGN corp</stp>
        <stp>last_price</stp>
        <stp>[P&amp;l movement_R.xlsm]newResult!R42C14</stp>
        <tr r="N42" s="11"/>
      </tp>
      <tp>
        <v>101.214</v>
        <stp/>
        <stp>##V3_BDPV12</stp>
        <stp>XS1044811591@BGN corp</stp>
        <stp>last_price</stp>
        <stp>[P&amp;l movement_R.xlsm]newResult!R42C25</stp>
        <tr r="Y42" s="11"/>
      </tp>
      <tp>
        <v>103.505</v>
        <stp/>
        <stp>##V3_BDPV12</stp>
        <stp>XS2107315470@BGN corp</stp>
        <stp>last_price</stp>
        <stp>[P&amp;l movement_R.xlsm]newResult!R42C25</stp>
        <tr r="Y42" s="11"/>
      </tp>
      <tp>
        <v>101.5</v>
        <stp/>
        <stp>##V3_BDPV12</stp>
        <stp>XS2218405772@BGN corp</stp>
        <stp>last_price</stp>
        <stp>[P&amp;l movement_R.xlsm]newResult!R42C25</stp>
        <tr r="Y42" s="11"/>
      </tp>
      <tp>
        <v>101.59</v>
        <stp/>
        <stp>##V3_BDPV12</stp>
        <stp>XS2033351995@BGN corp</stp>
        <stp>last_price</stp>
        <stp>[P&amp;l movement_R.xlsm]newResult!R42C25</stp>
        <tr r="Y42" s="11"/>
      </tp>
      <tp t="s">
        <v>#N/A Invalid Security</v>
        <stp/>
        <stp>##V3_BDPV12</stp>
        <stp>FRPTT 3 1/8 PERP</stp>
        <stp>last_price</stp>
        <stp>[P&amp;l movement_R.xlsm]newResult!R42C25</stp>
        <tr r="Y42" s="11"/>
      </tp>
      <tp>
        <v>101.59</v>
        <stp/>
        <stp>##V3_BDPV12</stp>
        <stp>XS2033351995@BGN corp</stp>
        <stp>last_price</stp>
        <stp>[P&amp;l movement_R.xlsm]newResult!R42C14</stp>
        <tr r="N42" s="11"/>
      </tp>
      <tp t="s">
        <v>#N/A Invalid Security</v>
        <stp/>
        <stp>##V3_BDPV12</stp>
        <stp>VOD 2 7/8 11/20/37 equity</stp>
        <stp>last_price</stp>
        <stp>[P&amp;l movement_R.xlsm]newResult!R42C25</stp>
        <tr r="Y42" s="11"/>
      </tp>
      <tp>
        <v>100.518</v>
        <stp/>
        <stp>##V3_BDPV12</stp>
        <stp>XS1195201931@BGN corp</stp>
        <stp>last_price</stp>
        <stp>[P&amp;l movement_R.xlsm]newResult!R42C14</stp>
        <tr r="N42" s="11"/>
      </tp>
      <tp>
        <v>101.873</v>
        <stp/>
        <stp>##V3_BDPV12</stp>
        <stp>XS2224439971@BGN corp</stp>
        <stp>last_price</stp>
        <stp>[P&amp;l movement_R.xlsm]newResult!R42C25</stp>
        <tr r="Y42" s="11"/>
      </tp>
      <tp>
        <v>110.068</v>
        <stp/>
        <stp>##V3_BDPV12</stp>
        <stp>XS1888180640@BGN corp</stp>
        <stp>last_price</stp>
        <stp>[P&amp;l movement_R.xlsm]newResult!R42C14</stp>
        <tr r="N42" s="11"/>
      </tp>
      <tp>
        <v>104.506</v>
        <stp/>
        <stp>##V3_BDPV12</stp>
        <stp>XS1693822634@BGN corp</stp>
        <stp>last_price</stp>
        <stp>[P&amp;l movement_R.xlsm]newResult!R42C25</stp>
        <tr r="Y42" s="11"/>
      </tp>
      <tp>
        <v>104.371</v>
        <stp/>
        <stp>##V3_BDPV12</stp>
        <stp>XS1293571425@BGN corp</stp>
        <stp>last_price</stp>
        <stp>[P&amp;l movement_R.xlsm]newResult!R42C14</stp>
        <tr r="N42" s="11"/>
      </tp>
      <tp>
        <v>103.01</v>
        <stp/>
        <stp>##V3_BDPV12</stp>
        <stp>XS1490960942@BGN corp</stp>
        <stp>last_price</stp>
        <stp>[P&amp;l movement_R.xlsm]newResult!R42C14</stp>
        <tr r="N42" s="11"/>
      </tp>
      <tp>
        <v>102.979</v>
        <stp/>
        <stp>##V3_BDPV12</stp>
        <stp>XS1493320656@BGN corp</stp>
        <stp>last_price</stp>
        <stp>[P&amp;l movement_R.xlsm]newResult!R42C14</stp>
        <tr r="N42" s="11"/>
      </tp>
      <tp>
        <v>103.01</v>
        <stp/>
        <stp>##V3_BDPV12</stp>
        <stp>XS1490960942@BGN corp</stp>
        <stp>last_price</stp>
        <stp>[P&amp;l movement_R.xlsm]newResult!R42C25</stp>
        <tr r="Y42" s="11"/>
      </tp>
      <tp>
        <v>102.979</v>
        <stp/>
        <stp>##V3_BDPV12</stp>
        <stp>XS1493320656@BGN corp</stp>
        <stp>last_price</stp>
        <stp>[P&amp;l movement_R.xlsm]newResult!R42C25</stp>
        <tr r="Y42" s="11"/>
      </tp>
      <tp>
        <v>100.518</v>
        <stp/>
        <stp>##V3_BDPV12</stp>
        <stp>XS1195201931@BGN corp</stp>
        <stp>last_price</stp>
        <stp>[P&amp;l movement_R.xlsm]newResult!R42C25</stp>
        <tr r="Y42" s="11"/>
      </tp>
      <tp>
        <v>101.873</v>
        <stp/>
        <stp>##V3_BDPV12</stp>
        <stp>XS2224439971@BGN corp</stp>
        <stp>last_price</stp>
        <stp>[P&amp;l movement_R.xlsm]newResult!R42C14</stp>
        <tr r="N42" s="11"/>
      </tp>
      <tp>
        <v>110.068</v>
        <stp/>
        <stp>##V3_BDPV12</stp>
        <stp>XS1888180640@BGN corp</stp>
        <stp>last_price</stp>
        <stp>[P&amp;l movement_R.xlsm]newResult!R42C25</stp>
        <tr r="Y42" s="11"/>
      </tp>
      <tp>
        <v>104.506</v>
        <stp/>
        <stp>##V3_BDPV12</stp>
        <stp>XS1693822634@BGN corp</stp>
        <stp>last_price</stp>
        <stp>[P&amp;l movement_R.xlsm]newResult!R42C14</stp>
        <tr r="N42" s="11"/>
      </tp>
      <tp>
        <v>104.371</v>
        <stp/>
        <stp>##V3_BDPV12</stp>
        <stp>XS1293571425@BGN corp</stp>
        <stp>last_price</stp>
        <stp>[P&amp;l movement_R.xlsm]newResult!R42C25</stp>
        <tr r="Y42" s="11"/>
      </tp>
      <tp t="s">
        <v>#N/A Invalid Security</v>
        <stp/>
        <stp>##V3_BDPV12</stp>
        <stp>IE00BD3W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TRNIM 0 1/8 07/25/25 equity</stp>
        <stp>last_price</stp>
        <stp>[P&amp;l movement_R.xlsm]newResult!R42C25</stp>
        <tr r="Y42" s="11"/>
      </tp>
      <tp t="s">
        <v>#N/A Invalid Security</v>
        <stp/>
        <stp>##V3_BDPV12</stp>
        <stp>TRNIM 1 3/8 07/26/27 equity</stp>
        <stp>last_price</stp>
        <stp>[P&amp;l movement_R.xlsm]newResult!R42C25</stp>
        <tr r="Y42" s="11"/>
      </tp>
      <tp t="s">
        <v>#N/A Invalid Security</v>
        <stp/>
        <stp>##V3_BDPV12</stp>
        <stp>ORAFP 1 1/8 07/15/24 equity</stp>
        <stp>last_price</stp>
        <stp>[P&amp;l movement_R.xlsm]newResult!R42C25</stp>
        <tr r="Y42" s="11"/>
      </tp>
      <tp t="s">
        <v>#N/A Invalid Security</v>
        <stp/>
        <stp>##V3_BDPV12</stp>
        <stp>TRNIM 0 3/4 07/24/32 equity</stp>
        <stp>last_price</stp>
        <stp>[P&amp;l movement_R.xlsm]newResult!R42C25</stp>
        <tr r="Y42" s="11"/>
      </tp>
      <tp t="s">
        <v>#N/A Invalid Security</v>
        <stp/>
        <stp>##V3_BDPV12</stp>
        <stp>MLFP 0 1/4 11/02/32</stp>
        <stp>last_price</stp>
        <stp>[P&amp;l movement_R.xlsm]newResult!R42C25</stp>
        <tr r="Y42" s="11"/>
      </tp>
      <tp>
        <v>103.176</v>
        <stp/>
        <stp>##V3_BDPV12</stp>
        <stp>DE000A289QR9@BGN corp</stp>
        <stp>last_price</stp>
        <stp>[P&amp;l movement_R.xlsm]newResult!R42C14</stp>
        <tr r="N42" s="11"/>
      </tp>
      <tp>
        <v>103.176</v>
        <stp/>
        <stp>##V3_BDPV12</stp>
        <stp>DE000A289QR9@BGN corp</stp>
        <stp>last_price</stp>
        <stp>[P&amp;l movement_R.xlsm]newResult!R42C25</stp>
        <tr r="Y42" s="11"/>
      </tp>
      <tp>
        <v>106.125</v>
        <stp/>
        <stp>##V3_BDPV12</stp>
        <stp>FR0012602761@BGN corp</stp>
        <stp>last_price</stp>
        <stp>[P&amp;l movement_R.xlsm]newResult!R42C14</stp>
        <tr r="N42" s="11"/>
      </tp>
      <tp>
        <v>113.78</v>
        <stp/>
        <stp>##V3_BDPV12</stp>
        <stp>FR0011401751@BGN corp</stp>
        <stp>last_price</stp>
        <stp>[P&amp;l movement_R.xlsm]newResult!R42C25</stp>
        <tr r="Y42" s="11"/>
      </tp>
      <tp>
        <v>124.919</v>
        <stp/>
        <stp>##V3_BDPV12</stp>
        <stp>BE6320935271@BGN corp</stp>
        <stp>last_price</stp>
        <stp>[P&amp;l movement_R.xlsm]newResult!R42C14</stp>
        <tr r="N42" s="11"/>
      </tp>
      <tp>
        <v>106.125</v>
        <stp/>
        <stp>##V3_BDPV12</stp>
        <stp>FR0012602761@BGN corp</stp>
        <stp>last_price</stp>
        <stp>[P&amp;l movement_R.xlsm]newResult!R42C25</stp>
        <tr r="Y42" s="11"/>
      </tp>
      <tp>
        <v>113.78</v>
        <stp/>
        <stp>##V3_BDPV12</stp>
        <stp>FR0011401751@BGN corp</stp>
        <stp>last_price</stp>
        <stp>[P&amp;l movement_R.xlsm]newResult!R42C14</stp>
        <tr r="N42" s="11"/>
      </tp>
      <tp>
        <v>124.919</v>
        <stp/>
        <stp>##V3_BDPV12</stp>
        <stp>BE6320935271@BGN corp</stp>
        <stp>last_price</stp>
        <stp>[P&amp;l movement_R.xlsm]newResult!R42C25</stp>
        <tr r="Y42" s="11"/>
      </tp>
      <tp>
        <v>129.70500000000001</v>
        <stp/>
        <stp>##V3_BDPV12</stp>
        <stp>FR0011224963@BGN corp</stp>
        <stp>last_price</stp>
        <stp>[P&amp;l movement_R.xlsm]newResult!R42C25</stp>
        <tr r="Y42" s="11"/>
      </tp>
      <tp>
        <v>113.815</v>
        <stp/>
        <stp>##V3_BDPV12</stp>
        <stp>FR0011697028@BGN corp</stp>
        <stp>last_price</stp>
        <stp>[P&amp;l movement_R.xlsm]newResult!R42C14</stp>
        <tr r="N42" s="11"/>
      </tp>
      <tp>
        <v>100.857</v>
        <stp/>
        <stp>##V3_BDPV12</stp>
        <stp>FR0013444775@BGN corp</stp>
        <stp>last_price</stp>
        <stp>[P&amp;l movement_R.xlsm]newResult!R42C25</stp>
        <tr r="Y42" s="11"/>
      </tp>
      <tp t="s">
        <v>#N/A Invalid Security</v>
        <stp/>
        <stp>##V3_BDPV12</stp>
        <stp>EQNR 1 1/4 02/17/27 equity</stp>
        <stp>last_price</stp>
        <stp>[P&amp;l movement_R.xlsm]newResult!R42C25</stp>
        <tr r="Y42" s="11"/>
      </tp>
      <tp t="s">
        <v>#N/A Invalid Security</v>
        <stp/>
        <stp>##V3_BDPV12</stp>
        <stp>VZ 1 1/2 09/19/39 equity</stp>
        <stp>last_price</stp>
        <stp>[P&amp;l movement_R.xlsm]newResult!R42C25</stp>
        <tr r="Y42" s="11"/>
      </tp>
      <tp>
        <v>129.70500000000001</v>
        <stp/>
        <stp>##V3_BDPV12</stp>
        <stp>FR0011224963@BGN corp</stp>
        <stp>last_price</stp>
        <stp>[P&amp;l movement_R.xlsm]newResult!R42C14</stp>
        <tr r="N42" s="11"/>
      </tp>
      <tp>
        <v>113.815</v>
        <stp/>
        <stp>##V3_BDPV12</stp>
        <stp>FR0011697028@BGN corp</stp>
        <stp>last_price</stp>
        <stp>[P&amp;l movement_R.xlsm]newResult!R42C25</stp>
        <tr r="Y42" s="11"/>
      </tp>
      <tp>
        <v>100.857</v>
        <stp/>
        <stp>##V3_BDPV12</stp>
        <stp>FR0013444775@BGN corp</stp>
        <stp>last_price</stp>
        <stp>[P&amp;l movement_R.xlsm]newResult!R42C14</stp>
        <tr r="N42" s="11"/>
      </tp>
      <tp>
        <v>102.748</v>
        <stp/>
        <stp>##V3_BDPV12</stp>
        <stp>XS1141810991@BGN corp</stp>
        <stp>last_price</stp>
        <stp>[P&amp;l movement_R.xlsm]newResult!R42C14</stp>
        <tr r="N42" s="11"/>
      </tp>
      <tp>
        <v>108.721</v>
        <stp/>
        <stp>##V3_BDPV12</stp>
        <stp>XS2052321093@BGN corp</stp>
        <stp>last_price</stp>
        <stp>[P&amp;l movement_R.xlsm]newResult!R42C14</stp>
        <tr r="N42" s="11"/>
      </tp>
      <tp>
        <v>106.944</v>
        <stp/>
        <stp>##V3_BDPV12</stp>
        <stp>XS2177580508@BGN corp</stp>
        <stp>last_price</stp>
        <stp>[P&amp;l movement_R.xlsm]newResult!R42C25</stp>
        <tr r="Y42" s="11"/>
      </tp>
      <tp>
        <v>101.84399999999999</v>
        <stp/>
        <stp>##V3_BDPV12</stp>
        <stp>XS1829217428@BGN corp</stp>
        <stp>last_price</stp>
        <stp>[P&amp;l movement_R.xlsm]newResult!R42C14</stp>
        <tr r="N42" s="11"/>
      </tp>
      <tp>
        <v>107.59</v>
        <stp/>
        <stp>##V3_BDPV12</stp>
        <stp>XS1139315581@BGN corp</stp>
        <stp>last_price</stp>
        <stp>[P&amp;l movement_R.xlsm]newResult!R42C25</stp>
        <tr r="Y42" s="11"/>
      </tp>
      <tp>
        <v>103.096</v>
        <stp/>
        <stp>##V3_BDPV12</stp>
        <stp>XS2244941147@BGN corp</stp>
        <stp>last_price</stp>
        <stp>[P&amp;l movement_R.xlsm]newResult!R42C14</stp>
        <tr r="N42" s="11"/>
      </tp>
      <tp>
        <v>101.84399999999999</v>
        <stp/>
        <stp>##V3_BDPV12</stp>
        <stp>XS1829217428@BGN corp</stp>
        <stp>last_price</stp>
        <stp>[P&amp;l movement_R.xlsm]newResult!R42C25</stp>
        <tr r="Y42" s="11"/>
      </tp>
      <tp>
        <v>107.59</v>
        <stp/>
        <stp>##V3_BDPV12</stp>
        <stp>XS1139315581@BGN corp</stp>
        <stp>last_price</stp>
        <stp>[P&amp;l movement_R.xlsm]newResult!R42C14</stp>
        <tr r="N42" s="11"/>
      </tp>
      <tp>
        <v>103.096</v>
        <stp/>
        <stp>##V3_BDPV12</stp>
        <stp>XS2244941147@BGN corp</stp>
        <stp>last_price</stp>
        <stp>[P&amp;l movement_R.xlsm]newResult!R42C25</stp>
        <tr r="Y42" s="11"/>
      </tp>
      <tp>
        <v>102.748</v>
        <stp/>
        <stp>##V3_BDPV12</stp>
        <stp>XS1141810991@BGN corp</stp>
        <stp>last_price</stp>
        <stp>[P&amp;l movement_R.xlsm]newResult!R42C25</stp>
        <tr r="Y42" s="11"/>
      </tp>
      <tp>
        <v>106.944</v>
        <stp/>
        <stp>##V3_BDPV12</stp>
        <stp>XS2177580508@BGN corp</stp>
        <stp>last_price</stp>
        <stp>[P&amp;l movement_R.xlsm]newResult!R42C14</stp>
        <tr r="N42" s="11"/>
      </tp>
      <tp>
        <v>108.721</v>
        <stp/>
        <stp>##V3_BDPV12</stp>
        <stp>XS2052321093@BGN corp</stp>
        <stp>last_price</stp>
        <stp>[P&amp;l movement_R.xlsm]newResult!R42C25</stp>
        <tr r="Y42" s="11"/>
      </tp>
      <tp>
        <v>101.979</v>
        <stp/>
        <stp>##V3_BDPV12</stp>
        <stp>XS1974787480@BGN corp</stp>
        <stp>last_price</stp>
        <stp>[P&amp;l movement_R.xlsm]newResult!R42C14</stp>
        <tr r="N42" s="11"/>
      </tp>
      <tp t="s">
        <v>#N/A Invalid Security</v>
        <stp/>
        <stp>##V3_BDPV12</stp>
        <stp>VOD 4 7/8 10/03/78 equity</stp>
        <stp>last_price</stp>
        <stp>[P&amp;l movement_R.xlsm]newResult!R42C25</stp>
        <tr r="Y42" s="11"/>
      </tp>
      <tp>
        <v>100.65600000000001</v>
        <stp/>
        <stp>##V3_BDPV12</stp>
        <stp>XS1216020161@BGN corp</stp>
        <stp>last_price</stp>
        <stp>[P&amp;l movement_R.xlsm]newResult!R42C14</stp>
        <tr r="N42" s="11"/>
      </tp>
      <tp>
        <v>107.506</v>
        <stp/>
        <stp>##V3_BDPV12</stp>
        <stp>XS1493328477@BGN corp</stp>
        <stp>last_price</stp>
        <stp>[P&amp;l movement_R.xlsm]newResult!R42C14</stp>
        <tr r="N42" s="11"/>
      </tp>
      <tp>
        <v>100.65600000000001</v>
        <stp/>
        <stp>##V3_BDPV12</stp>
        <stp>XS1216020161@BGN corp</stp>
        <stp>last_price</stp>
        <stp>[P&amp;l movement_R.xlsm]newResult!R42C25</stp>
        <tr r="Y42" s="11"/>
      </tp>
      <tp>
        <v>107.506</v>
        <stp/>
        <stp>##V3_BDPV12</stp>
        <stp>XS1493328477@BGN corp</stp>
        <stp>last_price</stp>
        <stp>[P&amp;l movement_R.xlsm]newResult!R42C25</stp>
        <tr r="Y42" s="11"/>
      </tp>
      <tp>
        <v>101.979</v>
        <stp/>
        <stp>##V3_BDPV12</stp>
        <stp>XS1974787480@BGN corp</stp>
        <stp>last_price</stp>
        <stp>[P&amp;l movement_R.xlsm]newResult!R42C25</stp>
        <tr r="Y42" s="11"/>
      </tp>
      <tp>
        <v>101.667</v>
        <stp/>
        <stp>##V3_BDPV12</stp>
        <stp>XS2242728041@BGN corp</stp>
        <stp>last_price</stp>
        <stp>[P&amp;l movement_R.xlsm]newResult!R42C14</stp>
        <tr r="N42" s="11"/>
      </tp>
      <tp>
        <v>160.82400000000001</v>
        <stp/>
        <stp>##V3_BDPV12</stp>
        <stp>XS0162869076@BGN corp</stp>
        <stp>last_price</stp>
        <stp>[P&amp;l movement_R.xlsm]newResult!R42C25</stp>
        <tr r="Y42" s="11"/>
      </tp>
      <tp>
        <v>106.337</v>
        <stp/>
        <stp>##V3_BDPV12</stp>
        <stp>XS1396767854@BGN corp</stp>
        <stp>last_price</stp>
        <stp>[P&amp;l movement_R.xlsm]newResult!R42C25</stp>
        <tr r="Y42" s="11"/>
      </tp>
      <tp>
        <v>106.337</v>
        <stp/>
        <stp>##V3_BDPV12</stp>
        <stp>XS1396767854@BGN corp</stp>
        <stp>last_price</stp>
        <stp>[P&amp;l movement_R.xlsm]newResult!R42C14</stp>
        <tr r="N42" s="11"/>
      </tp>
      <tp t="s">
        <v>#N/A Invalid Security</v>
        <stp/>
        <stp>##V3_BDPV12</stp>
        <stp>VOD 6 1/4 10/03/78 equity</stp>
        <stp>last_price</stp>
        <stp>[P&amp;l movement_R.xlsm]newResult!R42C25</stp>
        <tr r="Y42" s="11"/>
      </tp>
      <tp>
        <v>160.82400000000001</v>
        <stp/>
        <stp>##V3_BDPV12</stp>
        <stp>XS0162869076@BGN corp</stp>
        <stp>last_price</stp>
        <stp>[P&amp;l movement_R.xlsm]newResult!R42C14</stp>
        <tr r="N42" s="11"/>
      </tp>
      <tp>
        <v>101.667</v>
        <stp/>
        <stp>##V3_BDPV12</stp>
        <stp>XS2242728041@BGN corp</stp>
        <stp>last_price</stp>
        <stp>[P&amp;l movement_R.xlsm]newResult!R42C25</stp>
        <tr r="Y42" s="11"/>
      </tp>
      <tp>
        <v>119.824</v>
        <stp/>
        <stp>##V3_BDPV12</stp>
        <stp>XS2199351375@BGN corp</stp>
        <stp>last_price</stp>
        <stp>[P&amp;l movement_R.xlsm]newResult!R42C14</stp>
        <tr r="N42" s="11"/>
      </tp>
      <tp>
        <v>102.455</v>
        <stp/>
        <stp>##V3_BDPV12</stp>
        <stp>XS1139688268@BGN corp</stp>
        <stp>last_price</stp>
        <stp>[P&amp;l movement_R.xlsm]newResult!R42C25</stp>
        <tr r="Y42" s="11"/>
      </tp>
      <tp>
        <v>104.514</v>
        <stp/>
        <stp>##V3_BDPV12</stp>
        <stp>XS1498442521@BGN corp</stp>
        <stp>last_price</stp>
        <stp>[P&amp;l movement_R.xlsm]newResult!R42C25</stp>
        <tr r="Y42" s="11"/>
      </tp>
      <tp t="s">
        <v>#N/A Invalid Security</v>
        <stp/>
        <stp>##V3_BDPV12</stp>
        <stp>IE00BD3WYB25@ID corp</stp>
        <stp>px_last</stp>
        <stp>[P&amp;l movement_R.xlsm]pnl!R13C15</stp>
        <tr r="O13" s="24"/>
      </tp>
      <tp>
        <v>121.328</v>
        <stp/>
        <stp>##V3_BDPV12</stp>
        <stp>XS1294343337@BGN corp</stp>
        <stp>last_price</stp>
        <stp>[P&amp;l movement_R.xlsm]newResult!R42C25</stp>
        <tr r="Y42" s="11"/>
      </tp>
      <tp>
        <v>121.328</v>
        <stp/>
        <stp>##V3_BDPV12</stp>
        <stp>XS1294343337@BGN corp</stp>
        <stp>last_price</stp>
        <stp>[P&amp;l movement_R.xlsm]newResult!R42C14</stp>
        <tr r="N42" s="11"/>
      </tp>
      <tp>
        <v>119.824</v>
        <stp/>
        <stp>##V3_BDPV12</stp>
        <stp>XS2199351375@BGN corp</stp>
        <stp>last_price</stp>
        <stp>[P&amp;l movement_R.xlsm]newResult!R42C25</stp>
        <tr r="Y42" s="11"/>
      </tp>
      <tp>
        <v>102.455</v>
        <stp/>
        <stp>##V3_BDPV12</stp>
        <stp>XS1139688268@BGN corp</stp>
        <stp>last_price</stp>
        <stp>[P&amp;l movement_R.xlsm]newResult!R42C14</stp>
        <tr r="N42" s="11"/>
      </tp>
      <tp>
        <v>104.514</v>
        <stp/>
        <stp>##V3_BDPV12</stp>
        <stp>XS1498442521@BGN corp</stp>
        <stp>last_price</stp>
        <stp>[P&amp;l movement_R.xlsm]newResult!R42C14</stp>
        <tr r="N42" s="11"/>
      </tp>
      <tp t="s">
        <v>#N/A Invalid Security</v>
        <stp/>
        <stp>##V3_BDPV12</stp>
        <stp>MRDGF 1 3/8 04/11/25 equity</stp>
        <stp>last_price</stp>
        <stp>[P&amp;l movement_R.xlsm]newResult!R42C25</stp>
        <tr r="Y42" s="11"/>
      </tp>
      <tp t="s">
        <v>#N/A Invalid Security</v>
        <stp/>
        <stp>##V3_BDPV12</stp>
        <stp>ERGIM 1 7/8 04/11/25 equity</stp>
        <stp>last_price</stp>
        <stp>[P&amp;l movement_R.xlsm]newResult!R42C25</stp>
        <tr r="Y42" s="11"/>
      </tp>
      <tp t="s">
        <v>#N/A Invalid Security</v>
        <stp/>
        <stp>##V3_BDPV12</stp>
        <stp>HNDA 0 3/4 01/17/24</stp>
        <stp>last_price</stp>
        <stp>[P&amp;l movement_R.xlsm]newResult!R42C25</stp>
        <tr r="Y42" s="11"/>
      </tp>
      <tp t="s">
        <v>#N/A Invalid Security</v>
        <stp/>
        <stp>##V3_BDPV12</stp>
        <stp>EDPPL 4.496 04/30/79 equity</stp>
        <stp>last_price</stp>
        <stp>[P&amp;l movement_R.xlsm]newResult!R42C25</stp>
        <tr r="Y42" s="11"/>
      </tp>
      <tp t="s">
        <v>#N/A Invalid Security</v>
        <stp/>
        <stp>##V3_BDPV12</stp>
        <stp>VW 2 1/2 04/06/23</stp>
        <stp>last_price</stp>
        <stp>[P&amp;l movement_R.xlsm]pnl!R13C15</stp>
        <tr r="O13" s="24"/>
      </tp>
      <tp t="s">
        <v>#N/A Invalid Security</v>
        <stp/>
        <stp>##V3_BDPV12</stp>
        <stp>TOTAL 1.535 05/31/39 equity</stp>
        <stp>last_price</stp>
        <stp>[P&amp;l movement_R.xlsm]newResult!R42C25</stp>
        <tr r="Y42" s="11"/>
      </tp>
      <tp t="s">
        <v>#N/A Invalid Security</v>
        <stp/>
        <stp>##V3_BDPV12</stp>
        <stp>US05565Q Curncy</stp>
        <stp>px_eval</stp>
        <stp>[P&amp;l movement_R.xlsm]newResult!R42C25</stp>
        <stp>cds_5y</stp>
        <stp>-</stp>
        <tr r="Y42" s="11"/>
        <tr r="Y42" s="11"/>
      </tp>
      <tp>
        <v>171.03100000000001</v>
        <stp/>
        <stp>##V3_BDPV12</stp>
        <stp>FR0010033381@BGN corp</stp>
        <stp>last_price</stp>
        <stp>[P&amp;l movement_R.xlsm]newResult!R42C14</stp>
        <tr r="N42" s="11"/>
      </tp>
      <tp>
        <v>171.03100000000001</v>
        <stp/>
        <stp>##V3_BDPV12</stp>
        <stp>FR0010033381@BGN corp</stp>
        <stp>last_price</stp>
        <stp>[P&amp;l movement_R.xlsm]newResult!R42C25</stp>
        <tr r="Y42" s="11"/>
      </tp>
      <tp>
        <v>103.679</v>
        <stp/>
        <stp>##V3_BDPV12</stp>
        <stp>FR0013534351@BGN corp</stp>
        <stp>last_price</stp>
        <stp>[P&amp;l movement_R.xlsm]newResult!R42C25</stp>
        <tr r="Y42" s="11"/>
      </tp>
      <tp>
        <v>91.284000000000006</v>
        <stp/>
        <stp>##V3_BDPV12</stp>
        <stp>FR0013457157@BGN corp</stp>
        <stp>last_price</stp>
        <stp>[P&amp;l movement_R.xlsm]newResult!R42C14</stp>
        <tr r="N42" s="11"/>
      </tp>
      <tp>
        <v>105.205</v>
        <stp/>
        <stp>##V3_BDPV12</stp>
        <stp>FR0013425170@BGN corp</stp>
        <stp>last_price</stp>
        <stp>[P&amp;l movement_R.xlsm]newResult!R42C25</stp>
        <tr r="Y42" s="11"/>
      </tp>
      <tp>
        <v>103.80800000000001</v>
        <stp/>
        <stp>##V3_BDPV12</stp>
        <stp>FR0013476595@BGN corp</stp>
        <stp>last_price</stp>
        <stp>[P&amp;l movement_R.xlsm]newResult!R42C14</stp>
        <tr r="N42" s="11"/>
      </tp>
      <tp>
        <v>105.205</v>
        <stp/>
        <stp>##V3_BDPV12</stp>
        <stp>FR0013425170@BGN corp</stp>
        <stp>last_price</stp>
        <stp>[P&amp;l movement_R.xlsm]newResult!R42C14</stp>
        <tr r="N42" s="11"/>
      </tp>
      <tp>
        <v>103.80800000000001</v>
        <stp/>
        <stp>##V3_BDPV12</stp>
        <stp>FR0013476595@BGN corp</stp>
        <stp>last_price</stp>
        <stp>[P&amp;l movement_R.xlsm]newResult!R42C25</stp>
        <tr r="Y42" s="11"/>
      </tp>
      <tp>
        <v>103.679</v>
        <stp/>
        <stp>##V3_BDPV12</stp>
        <stp>FR0013534351@BGN corp</stp>
        <stp>last_price</stp>
        <stp>[P&amp;l movement_R.xlsm]newResult!R42C14</stp>
        <tr r="N42" s="11"/>
      </tp>
      <tp>
        <v>91.284000000000006</v>
        <stp/>
        <stp>##V3_BDPV12</stp>
        <stp>FR0013457157@BGN corp</stp>
        <stp>last_price</stp>
        <stp>[P&amp;l movement_R.xlsm]newResult!R42C25</stp>
        <tr r="Y42" s="11"/>
      </tp>
      <tp>
        <v>111.562</v>
        <stp/>
        <stp>##V3_BDPV12</stp>
        <stp>XS1050461034@BGN corp</stp>
        <stp>last_price</stp>
        <stp>[P&amp;l movement_R.xlsm]newResult!R42C14</stp>
        <tr r="N42" s="11"/>
      </tp>
      <tp>
        <v>100.29600000000001</v>
        <stp/>
        <stp>##V3_BDPV12</stp>
        <stp>XS1677911825@BGN corp</stp>
        <stp>last_price</stp>
        <stp>[P&amp;l movement_R.xlsm]newResult!R42C25</stp>
        <tr r="Y42" s="11"/>
      </tp>
      <tp>
        <v>108.964</v>
        <stp/>
        <stp>##V3_BDPV12</stp>
        <stp>XS1243251375@BGN corp</stp>
        <stp>last_price</stp>
        <stp>[P&amp;l movement_R.xlsm]newResult!R42C14</stp>
        <tr r="N42" s="11"/>
      </tp>
      <tp>
        <v>102.244</v>
        <stp/>
        <stp>##V3_BDPV12</stp>
        <stp>XS2225204010@BGN corp</stp>
        <stp>last_price</stp>
        <stp>[P&amp;l movement_R.xlsm]newResult!R42C25</stp>
        <tr r="Y42" s="11"/>
      </tp>
      <tp>
        <v>100.29600000000001</v>
        <stp/>
        <stp>##V3_BDPV12</stp>
        <stp>XS1677911825@BGN corp</stp>
        <stp>last_price</stp>
        <stp>[P&amp;l movement_R.xlsm]newResult!R42C14</stp>
        <tr r="N42" s="11"/>
      </tp>
      <tp>
        <v>108.964</v>
        <stp/>
        <stp>##V3_BDPV12</stp>
        <stp>XS1243251375@BGN corp</stp>
        <stp>last_price</stp>
        <stp>[P&amp;l movement_R.xlsm]newResult!R42C25</stp>
        <tr r="Y42" s="11"/>
      </tp>
      <tp>
        <v>102.244</v>
        <stp/>
        <stp>##V3_BDPV12</stp>
        <stp>XS2225204010@BGN corp</stp>
        <stp>last_price</stp>
        <stp>[P&amp;l movement_R.xlsm]newResult!R42C14</stp>
        <tr r="N42" s="11"/>
      </tp>
      <tp>
        <v>111.562</v>
        <stp/>
        <stp>##V3_BDPV12</stp>
        <stp>XS1050461034@BGN corp</stp>
        <stp>last_price</stp>
        <stp>[P&amp;l movement_R.xlsm]newResult!R42C25</stp>
        <tr r="Y42" s="11"/>
      </tp>
      <tp>
        <v>105.69499999999999</v>
        <stp/>
        <stp>##V3_BDPV12</stp>
        <stp>XS2209023402@BGN corp</stp>
        <stp>last_price</stp>
        <stp>[P&amp;l movement_R.xlsm]newResult!R42C25</stp>
        <tr r="Y42" s="11"/>
      </tp>
      <tp>
        <v>109.136</v>
        <stp/>
        <stp>##V3_BDPV12</stp>
        <stp>XS2238783778@BGN corp</stp>
        <stp>last_price</stp>
        <stp>[P&amp;l movement_R.xlsm]newResult!R42C14</stp>
        <tr r="N42" s="11"/>
      </tp>
      <tp>
        <v>109.76300000000001</v>
        <stp/>
        <stp>##V3_BDPV12</stp>
        <stp>XS1652866002@BGN corp</stp>
        <stp>last_price</stp>
        <stp>[P&amp;l movement_R.xlsm]newResult!R42C25</stp>
        <tr r="Y42" s="11"/>
      </tp>
      <tp>
        <v>103.548</v>
        <stp/>
        <stp>##V3_BDPV12</stp>
        <stp>XS1596739364@BGN corp</stp>
        <stp>last_price</stp>
        <stp>[P&amp;l movement_R.xlsm]newResult!R42C14</stp>
        <tr r="N42" s="11"/>
      </tp>
      <tp>
        <v>103.723</v>
        <stp/>
        <stp>##V3_BDPV12</stp>
        <stp>XS1713462403@BGN corp</stp>
        <stp>last_price</stp>
        <stp>[P&amp;l movement_R.xlsm]newResult!R42C25</stp>
        <tr r="Y42" s="11"/>
      </tp>
      <tp>
        <v>104.815</v>
        <stp/>
        <stp>##V3_BDPV12</stp>
        <stp>XS1705553250@BGN corp</stp>
        <stp>last_price</stp>
        <stp>[P&amp;l movement_R.xlsm]newResult!R42C25</stp>
        <tr r="Y42" s="11"/>
      </tp>
      <tp>
        <v>100.274</v>
        <stp/>
        <stp>##V3_BDPV12</stp>
        <stp>XS2082429890@BGN corp</stp>
        <stp>last_price</stp>
        <stp>[P&amp;l movement_R.xlsm]newResult!R42C14</stp>
        <tr r="N42" s="11"/>
      </tp>
      <tp>
        <v>100.274</v>
        <stp/>
        <stp>##V3_BDPV12</stp>
        <stp>XS2082429890@BGN corp</stp>
        <stp>last_price</stp>
        <stp>[P&amp;l movement_R.xlsm]newResult!R42C25</stp>
        <tr r="Y42" s="11"/>
      </tp>
      <tp>
        <v>105.69499999999999</v>
        <stp/>
        <stp>##V3_BDPV12</stp>
        <stp>XS2209023402@BGN corp</stp>
        <stp>last_price</stp>
        <stp>[P&amp;l movement_R.xlsm]newResult!R42C14</stp>
        <tr r="N42" s="11"/>
      </tp>
      <tp>
        <v>109.136</v>
        <stp/>
        <stp>##V3_BDPV12</stp>
        <stp>XS2238783778@BGN corp</stp>
        <stp>last_price</stp>
        <stp>[P&amp;l movement_R.xlsm]newResult!R42C25</stp>
        <tr r="Y42" s="11"/>
      </tp>
      <tp>
        <v>109.76300000000001</v>
        <stp/>
        <stp>##V3_BDPV12</stp>
        <stp>XS1652866002@BGN corp</stp>
        <stp>last_price</stp>
        <stp>[P&amp;l movement_R.xlsm]newResult!R42C14</stp>
        <tr r="N42" s="11"/>
      </tp>
      <tp>
        <v>103.548</v>
        <stp/>
        <stp>##V3_BDPV12</stp>
        <stp>XS1596739364@BGN corp</stp>
        <stp>last_price</stp>
        <stp>[P&amp;l movement_R.xlsm]newResult!R42C25</stp>
        <tr r="Y42" s="11"/>
      </tp>
      <tp>
        <v>103.723</v>
        <stp/>
        <stp>##V3_BDPV12</stp>
        <stp>XS1713462403@BGN corp</stp>
        <stp>last_price</stp>
        <stp>[P&amp;l movement_R.xlsm]newResult!R42C14</stp>
        <tr r="N42" s="11"/>
      </tp>
      <tp>
        <v>104.815</v>
        <stp/>
        <stp>##V3_BDPV12</stp>
        <stp>XS1705553250@BGN corp</stp>
        <stp>last_price</stp>
        <stp>[P&amp;l movement_R.xlsm]newResult!R42C14</stp>
        <tr r="N42" s="11"/>
      </tp>
      <tp>
        <v>101.982</v>
        <stp/>
        <stp>##V3_BDPV12</stp>
        <stp>XS1795406575@BGN corp</stp>
        <stp>last_price</stp>
        <stp>[P&amp;l movement_R.xlsm]newResult!R42C25</stp>
        <tr r="Y42" s="11"/>
      </tp>
      <tp>
        <v>105.90900000000001</v>
        <stp/>
        <stp>##V3_BDPV12</stp>
        <stp>XS2197356186@BGN corp</stp>
        <stp>last_price</stp>
        <stp>[P&amp;l movement_R.xlsm]newResult!R42C25</stp>
        <tr r="Y42" s="11"/>
      </tp>
      <tp>
        <v>106.46899999999999</v>
        <stp/>
        <stp>##V3_BDPV12</stp>
        <stp>XS2196317742@BGN corp</stp>
        <stp>last_price</stp>
        <stp>[P&amp;l movement_R.xlsm]newResult!R42C25</stp>
        <tr r="Y42" s="11"/>
      </tp>
      <tp>
        <v>106.46899999999999</v>
        <stp/>
        <stp>##V3_BDPV12</stp>
        <stp>XS2196317742@BGN corp</stp>
        <stp>last_price</stp>
        <stp>[P&amp;l movement_R.xlsm]newResult!R42C14</stp>
        <tr r="N42" s="11"/>
      </tp>
      <tp>
        <v>101.982</v>
        <stp/>
        <stp>##V3_BDPV12</stp>
        <stp>XS1795406575@BGN corp</stp>
        <stp>last_price</stp>
        <stp>[P&amp;l movement_R.xlsm]newResult!R42C14</stp>
        <tr r="N42" s="11"/>
      </tp>
      <tp>
        <v>105.90900000000001</v>
        <stp/>
        <stp>##V3_BDPV12</stp>
        <stp>XS2197356186@BGN corp</stp>
        <stp>last_price</stp>
        <stp>[P&amp;l movement_R.xlsm]newResult!R42C14</stp>
        <tr r="N42" s="11"/>
      </tp>
      <tp>
        <v>104.66</v>
        <stp/>
        <stp>##V3_BDPV12</stp>
        <stp>XS1992931508@BGN corp</stp>
        <stp>last_price</stp>
        <stp>[P&amp;l movement_R.xlsm]newResult!R42C14</stp>
        <tr r="N42" s="11"/>
      </tp>
      <tp t="s">
        <v>#N/A Invalid Security</v>
        <stp/>
        <stp>##V3_BDPV12</stp>
        <stp>AKEFP 2 3/4 PERP</stp>
        <stp>last_price</stp>
        <stp>[P&amp;l movement_R.xlsm]pnl!R13C15</stp>
        <tr r="O13" s="24"/>
      </tp>
      <tp>
        <v>112.093</v>
        <stp/>
        <stp>##V3_BDPV12</stp>
        <stp>XS1882681452@BGN corp</stp>
        <stp>last_price</stp>
        <stp>[P&amp;l movement_R.xlsm]newResult!R42C14</stp>
        <tr r="N42" s="11"/>
      </tp>
      <tp>
        <v>112.093</v>
        <stp/>
        <stp>##V3_BDPV12</stp>
        <stp>XS1882681452@BGN corp</stp>
        <stp>last_price</stp>
        <stp>[P&amp;l movement_R.xlsm]newResult!R42C25</stp>
        <tr r="Y42" s="11"/>
      </tp>
      <tp>
        <v>104.66</v>
        <stp/>
        <stp>##V3_BDPV12</stp>
        <stp>XS1992931508@BGN corp</stp>
        <stp>last_price</stp>
        <stp>[P&amp;l movement_R.xlsm]newResult!R42C25</stp>
        <tr r="Y42" s="11"/>
      </tp>
      <tp t="s">
        <v>#N/A Invalid Security</v>
        <stp/>
        <stp>##V3_BDPV12</stp>
        <stp>SSELN 1 1/4 04/16/25 equity</stp>
        <stp>last_price</stp>
        <stp>[P&amp;l movement_R.xlsm]newResult!R42C25</stp>
        <tr r="Y42" s="11"/>
      </tp>
      <tp t="s">
        <v>#N/A Invalid Security</v>
        <stp/>
        <stp>##V3_BDPV12</stp>
        <stp>VIEFP 0.314 10/04/23 equity</stp>
        <stp>last_price</stp>
        <stp>[P&amp;l movement_R.xlsm]newResult!R42C25</stp>
        <tr r="Y42" s="11"/>
      </tp>
      <tp t="s">
        <v>#N/A Invalid Security</v>
        <stp/>
        <stp>##V3_BDPV12</stp>
        <stp>VW 4 1/8 11/16/38</stp>
        <stp>last_price</stp>
        <stp>[P&amp;l movement_R.xlsm]pnl!R13C15</stp>
        <tr r="O13" s="24"/>
      </tp>
      <tp t="s">
        <v>#N/A Invalid Security</v>
        <stp/>
        <stp>##V3_BDPV12</stp>
        <stp>ENBW 0 1/4 10/19/30</stp>
        <stp>last_price</stp>
        <stp>[P&amp;l movement_R.xlsm]newResult!R42C25</stp>
        <tr r="Y42" s="11"/>
      </tp>
      <tp>
        <v>104.408</v>
        <stp/>
        <stp>##V3_BDPV12</stp>
        <stp>FR0013248507@BGN corp</stp>
        <stp>last_price</stp>
        <stp>[P&amp;l movement_R.xlsm]newResult!R42C25</stp>
        <tr r="Y42" s="11"/>
      </tp>
      <tp>
        <v>104.408</v>
        <stp/>
        <stp>##V3_BDPV12</stp>
        <stp>FR0013248507@BGN corp</stp>
        <stp>last_price</stp>
        <stp>[P&amp;l movement_R.xlsm]newResult!R42C14</stp>
        <tr r="N42" s="11"/>
      </tp>
      <tp>
        <v>99.268000000000001</v>
        <stp/>
        <stp>##V3_BDPV12</stp>
        <stp>FR00140007L3@BGN corp</stp>
        <stp>last_price</stp>
        <stp>[P&amp;l movement_R.xlsm]newResult!R42C25</stp>
        <tr r="Y42" s="11"/>
      </tp>
      <tp>
        <v>112.86799999999999</v>
        <stp/>
        <stp>##V3_BDPV12</stp>
        <stp>FR0011700293@BGN corp</stp>
        <stp>last_price</stp>
        <stp>[P&amp;l movement_R.xlsm]newResult!R42C25</stp>
        <tr r="Y42" s="11"/>
      </tp>
      <tp t="s">
        <v>#N/A Invalid Security</v>
        <stp/>
        <stp>##V3_BDPV12</stp>
        <stp>US92857W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DBR 0 1/4 02/15/27 equity</stp>
        <stp>last_price</stp>
        <stp>[P&amp;l movement_R.xlsm]newResult!R42C25</stp>
        <tr r="Y42" s="11"/>
      </tp>
      <tp>
        <v>99.268000000000001</v>
        <stp/>
        <stp>##V3_BDPV12</stp>
        <stp>FR00140007L3@BGN corp</stp>
        <stp>last_price</stp>
        <stp>[P&amp;l movement_R.xlsm]newResult!R42C14</stp>
        <tr r="N42" s="11"/>
      </tp>
      <tp>
        <v>112.86799999999999</v>
        <stp/>
        <stp>##V3_BDPV12</stp>
        <stp>FR0011700293@BGN corp</stp>
        <stp>last_price</stp>
        <stp>[P&amp;l movement_R.xlsm]newResult!R42C14</stp>
        <tr r="N42" s="11"/>
      </tp>
      <tp>
        <v>99.617000000000004</v>
        <stp/>
        <stp>##V3_BDPV12</stp>
        <stp>XS2056371334@BGN corp</stp>
        <stp>last_price</stp>
        <stp>[P&amp;l movement_R.xlsm]newResult!R42C14</stp>
        <tr r="N42" s="11"/>
      </tp>
      <tp>
        <v>101.084</v>
        <stp/>
        <stp>##V3_BDPV12</stp>
        <stp>XS2229434852@BGN corp</stp>
        <stp>last_price</stp>
        <stp>[P&amp;l movement_R.xlsm]newResult!R42C25</stp>
        <tr r="Y42" s="11"/>
      </tp>
      <tp>
        <v>102.155</v>
        <stp/>
        <stp>##V3_BDPV12</stp>
        <stp>XS2225157424@BGN corp</stp>
        <stp>last_price</stp>
        <stp>[P&amp;l movement_R.xlsm]newResult!R42C14</stp>
        <tr r="N42" s="11"/>
      </tp>
      <tp>
        <v>102.155</v>
        <stp/>
        <stp>##V3_BDPV12</stp>
        <stp>XS2225157424@BGN corp</stp>
        <stp>last_price</stp>
        <stp>[P&amp;l movement_R.xlsm]newResult!R42C25</stp>
        <tr r="Y42" s="11"/>
      </tp>
      <tp>
        <v>101.084</v>
        <stp/>
        <stp>##V3_BDPV12</stp>
        <stp>XS2229434852@BGN corp</stp>
        <stp>last_price</stp>
        <stp>[P&amp;l movement_R.xlsm]newResult!R42C14</stp>
        <tr r="N42" s="11"/>
      </tp>
      <tp>
        <v>99.617000000000004</v>
        <stp/>
        <stp>##V3_BDPV12</stp>
        <stp>XS2056371334@BGN corp</stp>
        <stp>last_price</stp>
        <stp>[P&amp;l movement_R.xlsm]newResult!R42C25</stp>
        <tr r="Y42" s="11"/>
      </tp>
      <tp t="s">
        <v>#N/A Invalid Security</v>
        <stp/>
        <stp>##V3_BDPV12</stp>
        <stp>ENBW 0 1/4 10/19/30 equity</stp>
        <stp>last_price</stp>
        <stp>[P&amp;l movement_R.xlsm]newResult!R42C25</stp>
        <tr r="Y42" s="11"/>
      </tp>
      <tp>
        <v>106.529</v>
        <stp/>
        <stp>##V3_BDPV12</stp>
        <stp>XS2178957077@BGN corp</stp>
        <stp>last_price</stp>
        <stp>[P&amp;l movement_R.xlsm]newResult!R42C14</stp>
        <tr r="N42" s="11"/>
      </tp>
      <tp>
        <v>103.26900000000001</v>
        <stp/>
        <stp>##V3_BDPV12</stp>
        <stp>XS2247936342@BGN corp</stp>
        <stp>last_price</stp>
        <stp>[P&amp;l movement_R.xlsm]newResult!R42C25</stp>
        <tr r="Y42" s="11"/>
      </tp>
      <tp>
        <v>99.453000000000003</v>
        <stp/>
        <stp>##V3_BDPV12</stp>
        <stp>XS2231191748@BGN corp</stp>
        <stp>last_price</stp>
        <stp>[P&amp;l movement_R.xlsm]newResult!R42C25</stp>
        <tr r="Y42" s="11"/>
      </tp>
      <tp>
        <v>109.4</v>
        <stp/>
        <stp>##V3_BDPV12</stp>
        <stp>XS1222590488@BGN corp</stp>
        <stp>last_price</stp>
        <stp>[P&amp;l movement_R.xlsm]newResult!R42C25</stp>
        <tr r="Y42" s="11"/>
      </tp>
      <tp>
        <v>103.26900000000001</v>
        <stp/>
        <stp>##V3_BDPV12</stp>
        <stp>XS2247936342@BGN corp</stp>
        <stp>last_price</stp>
        <stp>[P&amp;l movement_R.xlsm]newResult!R42C14</stp>
        <tr r="N42" s="11"/>
      </tp>
      <tp>
        <v>99.453000000000003</v>
        <stp/>
        <stp>##V3_BDPV12</stp>
        <stp>XS2231191748@BGN corp</stp>
        <stp>last_price</stp>
        <stp>[P&amp;l movement_R.xlsm]newResult!R42C14</stp>
        <tr r="N42" s="11"/>
      </tp>
      <tp>
        <v>109.4</v>
        <stp/>
        <stp>##V3_BDPV12</stp>
        <stp>XS1222590488@BGN corp</stp>
        <stp>last_price</stp>
        <stp>[P&amp;l movement_R.xlsm]newResult!R42C14</stp>
        <tr r="N42" s="11"/>
      </tp>
      <tp>
        <v>106.529</v>
        <stp/>
        <stp>##V3_BDPV12</stp>
        <stp>XS2178957077@BGN corp</stp>
        <stp>last_price</stp>
        <stp>[P&amp;l movement_R.xlsm]newResult!R42C25</stp>
        <tr r="Y42" s="11"/>
      </tp>
      <tp>
        <v>114.78100000000001</v>
        <stp/>
        <stp>##V3_BDPV12</stp>
        <stp>XS1048529041@BGN corp</stp>
        <stp>last_price</stp>
        <stp>[P&amp;l movement_R.xlsm]newResult!R42C14</stp>
        <tr r="N42" s="11"/>
      </tp>
      <tp>
        <v>114.78100000000001</v>
        <stp/>
        <stp>##V3_BDPV12</stp>
        <stp>XS1048529041@BGN corp</stp>
        <stp>last_price</stp>
        <stp>[P&amp;l movement_R.xlsm]newResult!R42C25</stp>
        <tr r="Y42" s="11"/>
      </tp>
      <tp>
        <v>105.379</v>
        <stp/>
        <stp>##V3_BDPV12</stp>
        <stp>XS1788973573@BGN corp</stp>
        <stp>last_price</stp>
        <stp>[P&amp;l movement_R.xlsm]newResult!R42C25</stp>
        <tr r="Y42" s="11"/>
      </tp>
      <tp>
        <v>103.081</v>
        <stp/>
        <stp>##V3_BDPV12</stp>
        <stp>XS1493322355@BGN corp</stp>
        <stp>last_price</stp>
        <stp>[P&amp;l movement_R.xlsm]newResult!R42C25</stp>
        <tr r="Y42" s="11"/>
      </tp>
      <tp t="s">
        <v>#N/A Invalid Security</v>
        <stp/>
        <stp>##V3_BDPV12</stp>
        <stp>ENBW 1 7/8 10/31/33 equity</stp>
        <stp>last_price</stp>
        <stp>[P&amp;l movement_R.xlsm]newResult!R42C25</stp>
        <tr r="Y42" s="11"/>
      </tp>
      <tp>
        <v>105.379</v>
        <stp/>
        <stp>##V3_BDPV12</stp>
        <stp>XS1788973573@BGN corp</stp>
        <stp>last_price</stp>
        <stp>[P&amp;l movement_R.xlsm]newResult!R42C14</stp>
        <tr r="N42" s="11"/>
      </tp>
      <tp>
        <v>103.081</v>
        <stp/>
        <stp>##V3_BDPV12</stp>
        <stp>XS1493322355@BGN corp</stp>
        <stp>last_price</stp>
        <stp>[P&amp;l movement_R.xlsm]newResult!R42C14</stp>
        <tr r="N42" s="11"/>
      </tp>
      <tp t="s">
        <v>#N/A Invalid Security</v>
        <stp/>
        <stp>##V3_BDPV12</stp>
        <stp>RBS_JP_2025-12-20 equity</stp>
        <stp>last_price</stp>
        <stp>[P&amp;l movement_R.xlsm]newResult!R42C25</stp>
        <tr r="Y42" s="11"/>
      </tp>
      <tp t="s">
        <v>#N/A Invalid Security</v>
        <stp/>
        <stp>##V3_BDPV12</stp>
        <stp>UBZ0@EX corp</stp>
        <stp>px_last</stp>
        <stp>[P&amp;l movement_R.xlsm]pnl!R13C15</stp>
        <tr r="O13" s="24"/>
      </tp>
      <tp t="s">
        <v>#N/A Invalid Security</v>
        <stp/>
        <stp>##V3_BDPV12</stp>
        <stp>VOD 2 5/8 08/27/80</stp>
        <stp>last_price</stp>
        <stp>[P&amp;l movement_R.xlsm]newResult!R42C25</stp>
        <tr r="Y42" s="11"/>
      </tp>
      <tp t="s">
        <v>#N/A Invalid Security</v>
        <stp/>
        <stp>##V3_BDPV12</stp>
        <stp>ORAFP 5 3/4 PERP</stp>
        <stp>last_price</stp>
        <stp>[P&amp;l movement_R.xlsm]pnl!R13C15</stp>
        <tr r="O13" s="24"/>
      </tp>
      <tp t="s">
        <v>#N/A Invalid Security</v>
        <stp/>
        <stp>##V3_BDPV12</stp>
        <stp>USF8500R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SSELN 3 1/8 PERP</stp>
        <stp>last_price</stp>
        <stp>[P&amp;l movement_R.xlsm]pnl!R13C15</stp>
        <tr r="O13" s="24"/>
      </tp>
      <tp t="s">
        <v>#N/A Invalid Security</v>
        <stp/>
        <stp>##V3_BDPV12</stp>
        <stp>BPLN 4 3/8 PERP</stp>
        <stp>last_price</stp>
        <stp>[P&amp;l movement_R.xlsm]pnl!R13C15</stp>
        <tr r="O13" s="24"/>
      </tp>
      <tp t="s">
        <v>#N/A Invalid Security</v>
        <stp/>
        <stp>##V3_BDPV12</stp>
        <stp>ALVGR 3 1/2 PERP</stp>
        <stp>last_price</stp>
        <stp>[P&amp;l movement_R.xlsm]newResult!R42C25</stp>
        <tr r="Y42" s="11"/>
      </tp>
      <tp>
        <v>106.754</v>
        <stp/>
        <stp>##V3_BDPV12</stp>
        <stp>FR0013152899@BGN corp</stp>
        <stp>last_price</stp>
        <stp>[P&amp;l movement_R.xlsm]newResult!R42C14</stp>
        <tr r="N42" s="11"/>
      </tp>
      <tp>
        <v>106.754</v>
        <stp/>
        <stp>##V3_BDPV12</stp>
        <stp>FR0013152899@BGN corp</stp>
        <stp>last_price</stp>
        <stp>[P&amp;l movement_R.xlsm]newResult!R42C25</stp>
        <tr r="Y42" s="11"/>
      </tp>
      <tp t="s">
        <v>#N/A Invalid Security</v>
        <stp/>
        <stp>##V3_BDPV12</stp>
        <stp>VW 2 1/2 04/06/23 equity</stp>
        <stp>last_price</stp>
        <stp>[P&amp;l movement_R.xlsm]newResult!R42C25</stp>
        <tr r="Y42" s="11"/>
      </tp>
      <tp>
        <v>106.66</v>
        <stp/>
        <stp>##V3_BDPV12</stp>
        <stp>XS1957442541@BGN corp</stp>
        <stp>last_price</stp>
        <stp>[P&amp;l movement_R.xlsm]newResult!R42C25</stp>
        <tr r="Y42" s="11"/>
      </tp>
      <tp>
        <v>100.477</v>
        <stp/>
        <stp>##V3_BDPV12</stp>
        <stp>XS2102355588@BGN corp</stp>
        <stp>last_price</stp>
        <stp>[P&amp;l movement_R.xlsm]newResult!R42C14</stp>
        <tr r="N42" s="11"/>
      </tp>
      <tp>
        <v>100.477</v>
        <stp/>
        <stp>##V3_BDPV12</stp>
        <stp>XS2102355588@BGN corp</stp>
        <stp>last_price</stp>
        <stp>[P&amp;l movement_R.xlsm]newResult!R42C25</stp>
        <tr r="Y42" s="11"/>
      </tp>
      <tp t="s">
        <v>#N/A Invalid Security</v>
        <stp/>
        <stp>##V3_BDPV12</stp>
        <stp>REPSM 3 3/4 PERP</stp>
        <stp>last_price</stp>
        <stp>[P&amp;l movement_R.xlsm]newResult!R42C25</stp>
        <tr r="Y42" s="11"/>
      </tp>
      <tp>
        <v>106.66</v>
        <stp/>
        <stp>##V3_BDPV12</stp>
        <stp>XS1957442541@BGN corp</stp>
        <stp>last_price</stp>
        <stp>[P&amp;l movement_R.xlsm]newResult!R42C14</stp>
        <tr r="N42" s="11"/>
      </tp>
      <tp>
        <v>105.70099999999999</v>
        <stp/>
        <stp>##V3_BDPV12</stp>
        <stp>XS2004381674@BGN corp</stp>
        <stp>last_price</stp>
        <stp>[P&amp;l movement_R.xlsm]newResult!R42C14</stp>
        <tr r="N42" s="11"/>
      </tp>
      <tp>
        <v>105.70099999999999</v>
        <stp/>
        <stp>##V3_BDPV12</stp>
        <stp>XS2004381674@BGN corp</stp>
        <stp>last_price</stp>
        <stp>[P&amp;l movement_R.xlsm]newResult!R42C25</stp>
        <tr r="Y42" s="11"/>
      </tp>
      <tp>
        <v>104.563</v>
        <stp/>
        <stp>##V3_BDPV12</stp>
        <stp>XS2185997884@BGN corp</stp>
        <stp>last_price</stp>
        <stp>[P&amp;l movement_R.xlsm]newResult!R42C25</stp>
        <tr r="Y42" s="11"/>
      </tp>
      <tp>
        <v>103.464</v>
        <stp/>
        <stp>##V3_BDPV12</stp>
        <stp>XS0647298883@BGN corp</stp>
        <stp>last_price</stp>
        <stp>[P&amp;l movement_R.xlsm]newResult!R42C14</stp>
        <tr r="N42" s="11"/>
      </tp>
      <tp>
        <v>105.994</v>
        <stp/>
        <stp>##V3_BDPV12</stp>
        <stp>XS2152058868@BGN corp</stp>
        <stp>last_price</stp>
        <stp>[P&amp;l movement_R.xlsm]newResult!R42C14</stp>
        <tr r="N42" s="11"/>
      </tp>
      <tp>
        <v>105.994</v>
        <stp/>
        <stp>##V3_BDPV12</stp>
        <stp>XS2152058868@BGN corp</stp>
        <stp>last_price</stp>
        <stp>[P&amp;l movement_R.xlsm]newResult!R42C25</stp>
        <tr r="Y42" s="11"/>
      </tp>
      <tp>
        <v>104.563</v>
        <stp/>
        <stp>##V3_BDPV12</stp>
        <stp>XS2185997884@BGN corp</stp>
        <stp>last_price</stp>
        <stp>[P&amp;l movement_R.xlsm]newResult!R42C14</stp>
        <tr r="N42" s="11"/>
      </tp>
      <tp>
        <v>103.464</v>
        <stp/>
        <stp>##V3_BDPV12</stp>
        <stp>XS0647298883@BGN corp</stp>
        <stp>last_price</stp>
        <stp>[P&amp;l movement_R.xlsm]newResult!R42C25</stp>
        <tr r="Y42" s="11"/>
      </tp>
      <tp t="s">
        <v>#N/A Invalid Security</v>
        <stp/>
        <stp>##V3_BDPV12</stp>
        <stp>RWE 3 1/2 04/21/75</stp>
        <stp>last_price</stp>
        <stp>[P&amp;l movement_R.xlsm]newResult!R42C25</stp>
        <tr r="Y42" s="11"/>
      </tp>
      <tp t="s">
        <v>#N/A Invalid Security</v>
        <stp/>
        <stp>##V3_BDPV12</stp>
        <stp>ECZ0@EX corp</stp>
        <stp>px_last</stp>
        <stp>[P&amp;l movement_R.xlsm]pnl!R13C15</stp>
        <tr r="O13" s="24"/>
      </tp>
      <tp>
        <v>109.78</v>
        <stp/>
        <stp>##V3_BDPV12</stp>
        <stp>PTEDPKOM0034@BGN corp</stp>
        <stp>last_price</stp>
        <stp>[P&amp;l movement_R.xlsm]newResult!R42C14</stp>
        <tr r="N42" s="11"/>
      </tp>
      <tp>
        <v>109.78</v>
        <stp/>
        <stp>##V3_BDPV12</stp>
        <stp>PTEDPKOM0034@BGN corp</stp>
        <stp>last_price</stp>
        <stp>[P&amp;l movement_R.xlsm]newResult!R42C25</stp>
        <tr r="Y42" s="11"/>
      </tp>
      <tp t="s">
        <v>#N/A Invalid Security</v>
        <stp/>
        <stp>##V3_BDPV12</stp>
        <stp>REPSM 4.247 PERP</stp>
        <stp>last_price</stp>
        <stp>[P&amp;l movement_R.xlsm]pnl!R13C15</stp>
        <tr r="O13" s="24"/>
      </tp>
      <tp>
        <v>103.715</v>
        <stp/>
        <stp>##V3_BDPV12</stp>
        <stp>FR0013245859@BGN corp</stp>
        <stp>last_price</stp>
        <stp>[P&amp;l movement_R.xlsm]newResult!R42C25</stp>
        <tr r="Y42" s="11"/>
      </tp>
      <tp>
        <v>103.715</v>
        <stp/>
        <stp>##V3_BDPV12</stp>
        <stp>FR0013245859@BGN corp</stp>
        <stp>last_price</stp>
        <stp>[P&amp;l movement_R.xlsm]newResult!R42C14</stp>
        <tr r="N42" s="11"/>
      </tp>
      <tp>
        <v>109.801</v>
        <stp/>
        <stp>##V3_BDPV12</stp>
        <stp>XS1152343668@BGN corp</stp>
        <stp>last_price</stp>
        <stp>[P&amp;l movement_R.xlsm]newResult!R42C25</stp>
        <tr r="Y42" s="11"/>
      </tp>
      <tp>
        <v>104.35899999999999</v>
        <stp/>
        <stp>##V3_BDPV12</stp>
        <stp>XS1014987355@BGN corp</stp>
        <stp>last_price</stp>
        <stp>[P&amp;l movement_R.xlsm]newResult!R42C25</stp>
        <tr r="Y42" s="11"/>
      </tp>
      <tp>
        <v>109.801</v>
        <stp/>
        <stp>##V3_BDPV12</stp>
        <stp>XS1152343668@BGN corp</stp>
        <stp>last_price</stp>
        <stp>[P&amp;l movement_R.xlsm]newResult!R42C14</stp>
        <tr r="N42" s="11"/>
      </tp>
      <tp>
        <v>104.35899999999999</v>
        <stp/>
        <stp>##V3_BDPV12</stp>
        <stp>XS1014987355@BGN corp</stp>
        <stp>last_price</stp>
        <stp>[P&amp;l movement_R.xlsm]newResult!R42C14</stp>
        <tr r="N42" s="11"/>
      </tp>
      <tp t="s">
        <v>#N/A Real Time</v>
        <stp/>
        <stp>##V3_BDPV12</stp>
        <stp>XS2262065159@BGN corp</stp>
        <stp>last_price</stp>
        <stp>[P&amp;l movement_R.xlsm]newResult!R42C25</stp>
        <tr r="Y42" s="11"/>
      </tp>
      <tp>
        <v>116.752</v>
        <stp/>
        <stp>##V3_BDPV12</stp>
        <stp>XS2004381245@BGN corp</stp>
        <stp>last_price</stp>
        <stp>[P&amp;l movement_R.xlsm]newResult!R42C14</stp>
        <tr r="N42" s="11"/>
      </tp>
      <tp>
        <v>116.752</v>
        <stp/>
        <stp>##V3_BDPV12</stp>
        <stp>XS2004381245@BGN corp</stp>
        <stp>last_price</stp>
        <stp>[P&amp;l movement_R.xlsm]newResult!R42C25</stp>
        <tr r="Y42" s="11"/>
      </tp>
      <tp t="s">
        <v>#N/A Real Time</v>
        <stp/>
        <stp>##V3_BDPV12</stp>
        <stp>XS2262065159@BGN corp</stp>
        <stp>last_price</stp>
        <stp>[P&amp;l movement_R.xlsm]newResult!R42C14</stp>
        <tr r="N42" s="11"/>
      </tp>
      <tp>
        <v>100.944</v>
        <stp/>
        <stp>##V3_BDPV12</stp>
        <stp>XS1982704824@BGN corp</stp>
        <stp>last_price</stp>
        <stp>[P&amp;l movement_R.xlsm]newResult!R42C14</stp>
        <tr r="N42" s="11"/>
      </tp>
      <tp>
        <v>105.157</v>
        <stp/>
        <stp>##V3_BDPV12</stp>
        <stp>XS1591694481@BGN corp</stp>
        <stp>last_price</stp>
        <stp>[P&amp;l movement_R.xlsm]newResult!R42C14</stp>
        <tr r="N42" s="11"/>
      </tp>
      <tp>
        <v>105.157</v>
        <stp/>
        <stp>##V3_BDPV12</stp>
        <stp>XS1591694481@BGN corp</stp>
        <stp>last_price</stp>
        <stp>[P&amp;l movement_R.xlsm]newResult!R42C25</stp>
        <tr r="Y42" s="11"/>
      </tp>
      <tp>
        <v>100.944</v>
        <stp/>
        <stp>##V3_BDPV12</stp>
        <stp>XS1982704824@BGN corp</stp>
        <stp>last_price</stp>
        <stp>[P&amp;l movement_R.xlsm]newResult!R42C25</stp>
        <tr r="Y42" s="11"/>
      </tp>
      <tp t="s">
        <v>#N/A Invalid Security</v>
        <stp/>
        <stp>##V3_BDPV12</stp>
        <stp>DBHNGR 1.6 PERP</stp>
        <stp>last_price</stp>
        <stp>[P&amp;l movement_R.xlsm]pnl!R13C15</stp>
        <tr r="O13" s="24"/>
      </tp>
      <tp t="s">
        <v>#N/A Invalid Security</v>
        <stp/>
        <stp>##V3_BDPV12</stp>
        <stp>IE00BL6X Curncy</stp>
        <stp>px_eval</stp>
        <stp>[P&amp;l movement_R.xlsm]newResult!R42C25</stp>
        <stp>cds_5y</stp>
        <stp>-</stp>
        <tr r="Y42" s="11"/>
      </tp>
      <tp>
        <v>99.304000000000002</v>
        <stp/>
        <stp>##V3_BDPV12</stp>
        <stp>PTEDPLOM0017@BGN corp</stp>
        <stp>last_price</stp>
        <stp>[P&amp;l movement_R.xlsm]newResult!R42C14</stp>
        <tr r="N42" s="11"/>
      </tp>
      <tp>
        <v>99.304000000000002</v>
        <stp/>
        <stp>##V3_BDPV12</stp>
        <stp>PTEDPLOM0017@BGN corp</stp>
        <stp>last_price</stp>
        <stp>[P&amp;l movement_R.xlsm]newResult!R42C25</stp>
        <tr r="Y42" s="11"/>
      </tp>
      <tp>
        <v>132.65</v>
        <stp/>
        <stp>##V3_BDPV12</stp>
        <stp>T 2 7/8 PERP equity</stp>
        <stp>last_price</stp>
        <stp>[P&amp;l movement_R.xlsm]newResult!R42C25</stp>
        <tr r="Y42" s="11"/>
      </tp>
      <tp t="s">
        <v>#N/A Invalid Security</v>
        <stp/>
        <stp>##V3_BDPV12</stp>
        <stp>SSELN 4 3/4 09/16/77 equity</stp>
        <stp>last_price</stp>
        <stp>[P&amp;l movement_R.xlsm]newResult!R42C25</stp>
        <tr r="Y42" s="11"/>
      </tp>
      <tp t="s">
        <v>#N/A Invalid Security</v>
        <stp/>
        <stp>##V3_BDPV12</stp>
        <stp>SRGIM 1 1/4 08/28/25 equity</stp>
        <stp>last_price</stp>
        <stp>[P&amp;l movement_R.xlsm]newResult!R42C25</stp>
        <tr r="Y42" s="11"/>
      </tp>
      <tp t="s">
        <v>#N/A Invalid Security</v>
        <stp/>
        <stp>##V3_BDPV12</stp>
        <stp>SSELN 3 5/8 09/16/77 equity</stp>
        <stp>last_price</stp>
        <stp>[P&amp;l movement_R.xlsm]newResult!R42C25</stp>
        <tr r="Y42" s="11"/>
      </tp>
      <tp t="s">
        <v>#N/A Invalid Security</v>
        <stp/>
        <stp>##V3_BDPV12</stp>
        <stp>ENBW 1 7/8 10/31/33</stp>
        <stp>last_price</stp>
        <stp>[P&amp;l movement_R.xlsm]newResult!R42C25</stp>
        <tr r="Y42" s="11"/>
      </tp>
      <tp t="s">
        <v>#N/A Invalid Security</v>
        <stp/>
        <stp>##V3_BDPV12</stp>
        <stp>ENBW 5 1/8 04/05/77</stp>
        <stp>last_price</stp>
        <stp>[P&amp;l movement_R.xlsm]newResult!R42C25</stp>
        <tr r="Y42" s="11"/>
      </tp>
      <tp t="s">
        <v>#N/A Invalid Security</v>
        <stp/>
        <stp>##V3_BDPV12</stp>
        <stp>LXSGR 4 1/2 12/06/76 equity</stp>
        <stp>last_price</stp>
        <stp>[P&amp;l movement_R.xlsm]newResult!R42C25</stp>
        <tr r="Y42" s="11"/>
      </tp>
      <tp t="s">
        <v>#N/A Invalid Security</v>
        <stp/>
        <stp>##V3_BDPV12</stp>
        <stp>SSELN 2 3/8 PERP</stp>
        <stp>last_price</stp>
        <stp>[P&amp;l movement_R.xlsm]pnl!R13C15</stp>
        <tr r="O13" s="24"/>
      </tp>
      <tp t="s">
        <v>#N/A Invalid Security</v>
        <stp/>
        <stp>##V3_BDPV12</stp>
        <stp>BPLN 4 1/4 PERP</stp>
        <stp>last_price</stp>
        <stp>[P&amp;l movement_R.xlsm]pnl!R13C15</stp>
        <tr r="O13" s="24"/>
      </tp>
      <tp>
        <v>121.94199999999999</v>
        <stp/>
        <stp>##V3_BDPV12</stp>
        <stp>XS1901055472@BGN corp</stp>
        <stp>last_price</stp>
        <stp>[P&amp;l movement_R.xlsm]newResult!R42C14</stp>
        <tr r="N42" s="11"/>
      </tp>
      <tp>
        <v>121.94199999999999</v>
        <stp/>
        <stp>##V3_BDPV12</stp>
        <stp>XS1901055472@BGN corp</stp>
        <stp>last_price</stp>
        <stp>[P&amp;l movement_R.xlsm]newResult!R42C25</stp>
        <tr r="Y42" s="11"/>
      </tp>
      <tp t="s">
        <v>#N/A Invalid Security</v>
        <stp/>
        <stp>##V3_BDPV12</stp>
        <stp>IE00BD3WYB25@ID corp</stp>
        <stp>last_price</stp>
        <stp>[P&amp;l movement_R.xlsm]newResult!R42C14</stp>
        <tr r="N42" s="11"/>
      </tp>
      <tp t="s">
        <v>#N/A Invalid Security</v>
        <stp/>
        <stp>##V3_BDPV12</stp>
        <stp>IE00BD3WYB25@ID corp</stp>
        <stp>last_price</stp>
        <stp>[P&amp;l movement_R.xlsm]newResult!R42C25</stp>
        <tr r="Y42" s="11"/>
      </tp>
      <tp t="s">
        <v>#N/A Invalid Security</v>
        <stp/>
        <stp>##V3_BDPV12</stp>
        <stp>OMVAV 2 7/8 PERP</stp>
        <stp>last_price</stp>
        <stp>[P&amp;l movement_R.xlsm]pnl!R13C15</stp>
        <tr r="O13" s="24"/>
        <tr r="O13" s="24"/>
      </tp>
      <tp>
        <v>104.51</v>
        <stp/>
        <stp>##V3_BDPV12</stp>
        <stp>XS2195190876@BGN corp</stp>
        <stp>last_price</stp>
        <stp>[P&amp;l movement_R.xlsm]newResult!R42C14</stp>
        <tr r="N42" s="11"/>
      </tp>
      <tp>
        <v>106.304</v>
        <stp/>
        <stp>##V3_BDPV12</stp>
        <stp>XS2193663619@BGN corp</stp>
        <stp>last_price</stp>
        <stp>[P&amp;l movement_R.xlsm]newResult!R42C25</stp>
        <tr r="Y42" s="11"/>
      </tp>
      <tp>
        <v>104.51</v>
        <stp/>
        <stp>##V3_BDPV12</stp>
        <stp>XS2195190876@BGN corp</stp>
        <stp>last_price</stp>
        <stp>[P&amp;l movement_R.xlsm]newResult!R42C25</stp>
        <tr r="Y42" s="11"/>
      </tp>
      <tp>
        <v>106.304</v>
        <stp/>
        <stp>##V3_BDPV12</stp>
        <stp>XS2193663619@BGN corp</stp>
        <stp>last_price</stp>
        <stp>[P&amp;l movement_R.xlsm]newResult!R42C14</stp>
        <tr r="N42" s="11"/>
      </tp>
      <tp t="s">
        <v>#N/A Invalid Security</v>
        <stp/>
        <stp>##V3_BDPV12</stp>
        <stp>USF1R15X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ERGIM 0 1/2 09/11/27 equity</stp>
        <stp>last_price</stp>
        <stp>[P&amp;l movement_R.xlsm]newResult!R42C25</stp>
        <tr r="Y42" s="11"/>
      </tp>
      <tp t="s">
        <v>#N/A Invalid Security</v>
        <stp/>
        <stp>##V3_BDPV12</stp>
        <stp>TELEFO 5 7/8 PERP</stp>
        <stp>last_price</stp>
        <stp>[P&amp;l movement_R.xlsm]pnl!R13C15</stp>
        <tr r="O13" s="24"/>
      </tp>
      <tp t="s">
        <v>#N/A Invalid Security</v>
        <stp/>
        <stp>##V3_BDPV12</stp>
        <stp>TELEFO 2 7/8 PERP</stp>
        <stp>last_price</stp>
        <stp>[P&amp;l movement_R.xlsm]pnl!R13C15</stp>
        <tr r="O13" s="24"/>
      </tp>
      <tp t="s">
        <v>#N/A Invalid Security</v>
        <stp/>
        <stp>##V3_BDPV12</stp>
        <stp>MRKGR 1 5/8 09/09/80 equity</stp>
        <stp>last_price</stp>
        <stp>[P&amp;l movement_R.xlsm]newResult!R42C25</stp>
        <tr r="Y42" s="11"/>
      </tp>
      <tp t="s">
        <v>#N/A Invalid Security</v>
        <stp/>
        <stp>##V3_BDPV12</stp>
        <stp>OMVAV 6 1/4 PERP</stp>
        <stp>last_price</stp>
        <stp>[P&amp;l movement_R.xlsm]newResult!R42C25</stp>
        <tr r="Y42" s="11"/>
      </tp>
      <tp>
        <v>110.806</v>
        <stp/>
        <stp>##V3_BDPV12</stp>
        <stp>FR0012663169@BGN corp</stp>
        <stp>last_price</stp>
        <stp>[P&amp;l movement_R.xlsm]newResult!R42C14</stp>
        <tr r="N42" s="11"/>
      </tp>
      <tp>
        <v>110.806</v>
        <stp/>
        <stp>##V3_BDPV12</stp>
        <stp>FR0012663169@BGN corp</stp>
        <stp>last_price</stp>
        <stp>[P&amp;l movement_R.xlsm]newResult!R42C25</stp>
        <tr r="Y42" s="11"/>
      </tp>
      <tp>
        <v>100.42</v>
        <stp/>
        <stp>##V3_BDPV12</stp>
        <stp>XS2035564629@BGN corp</stp>
        <stp>last_price</stp>
        <stp>[P&amp;l movement_R.xlsm]newResult!R42C25</stp>
        <tr r="Y42" s="11"/>
      </tp>
      <tp>
        <v>104.298</v>
        <stp/>
        <stp>##V3_BDPV12</stp>
        <stp>XS1504194173@BGN corp</stp>
        <stp>last_price</stp>
        <stp>[P&amp;l movement_R.xlsm]newResult!R42C14</stp>
        <tr r="N42" s="11"/>
      </tp>
      <tp>
        <v>108.354</v>
        <stp/>
        <stp>##V3_BDPV12</stp>
        <stp>XS2051660509@BGN corp</stp>
        <stp>last_price</stp>
        <stp>[P&amp;l movement_R.xlsm]newResult!R42C14</stp>
        <tr r="N42" s="11"/>
      </tp>
      <tp t="s">
        <v>#N/A Invalid Security</v>
        <stp/>
        <stp>##V3_BDPV12</stp>
        <stp>NTGYSM 4 1/8 PERP</stp>
        <stp>last_price</stp>
        <stp>[P&amp;l movement_R.xlsm]newResult!R42C25</stp>
        <tr r="Y42" s="11"/>
      </tp>
      <tp>
        <v>108.354</v>
        <stp/>
        <stp>##V3_BDPV12</stp>
        <stp>XS2051660509@BGN corp</stp>
        <stp>last_price</stp>
        <stp>[P&amp;l movement_R.xlsm]newResult!R42C25</stp>
        <tr r="Y42" s="11"/>
      </tp>
      <tp t="s">
        <v>#N/A Invalid Security</v>
        <stp/>
        <stp>##V3_BDPV12</stp>
        <stp>HNDA 0 3/4 01/17/24 equity</stp>
        <stp>last_price</stp>
        <stp>[P&amp;l movement_R.xlsm]newResult!R42C25</stp>
        <tr r="Y42" s="11"/>
      </tp>
      <tp>
        <v>100.42</v>
        <stp/>
        <stp>##V3_BDPV12</stp>
        <stp>XS2035564629@BGN corp</stp>
        <stp>last_price</stp>
        <stp>[P&amp;l movement_R.xlsm]newResult!R42C14</stp>
        <tr r="N42" s="11"/>
      </tp>
      <tp>
        <v>104.298</v>
        <stp/>
        <stp>##V3_BDPV12</stp>
        <stp>XS1504194173@BGN corp</stp>
        <stp>last_price</stp>
        <stp>[P&amp;l movement_R.xlsm]newResult!R42C25</stp>
        <tr r="Y42" s="11"/>
      </tp>
      <tp t="s">
        <v>#N/A Invalid Security</v>
        <stp/>
        <stp>##V3_BDPV12</stp>
        <stp>UBIIM 5 7/8 PERP</stp>
        <stp>last_price</stp>
        <stp>[P&amp;l movement_R.xlsm]pnl!R13C15</stp>
        <tr r="O13" s="24"/>
      </tp>
      <tp>
        <v>112.95699999999999</v>
        <stp/>
        <stp>##V3_BDPV12</stp>
        <stp>XS1888179550@BGN corp</stp>
        <stp>last_price</stp>
        <stp>[P&amp;l movement_R.xlsm]newResult!R42C14</stp>
        <tr r="N42" s="11"/>
      </tp>
      <tp>
        <v>112.95699999999999</v>
        <stp/>
        <stp>##V3_BDPV12</stp>
        <stp>XS1888179550@BGN corp</stp>
        <stp>last_price</stp>
        <stp>[P&amp;l movement_R.xlsm]newResult!R42C25</stp>
        <tr r="Y42" s="11"/>
      </tp>
      <tp t="s">
        <v>#N/A Invalid Security</v>
        <stp/>
        <stp>##V3_BDPV12</stp>
        <stp>TOTAL 3 7/8 PERP</stp>
        <stp>last_price</stp>
        <stp>[P&amp;l movement_R.xlsm]pnl!R13C15</stp>
        <tr r="O13" s="24"/>
      </tp>
      <tp>
        <v>107.095</v>
        <stp/>
        <stp>##V3_BDPV12</stp>
        <stp>XS2193662728@BGN corp</stp>
        <stp>last_price</stp>
        <stp>[P&amp;l movement_R.xlsm]newResult!R42C25</stp>
        <tr r="Y42" s="11"/>
      </tp>
      <tp>
        <v>107.095</v>
        <stp/>
        <stp>##V3_BDPV12</stp>
        <stp>XS2193662728@BGN corp</stp>
        <stp>last_price</stp>
        <stp>[P&amp;l movement_R.xlsm]newResult!R42C14</stp>
        <tr r="N42" s="11"/>
      </tp>
      <tp t="s">
        <v>#N/A Invalid Security</v>
        <stp/>
        <stp>##V3_BDPV12</stp>
        <stp>ENBW 3 5/8 04/02/76</stp>
        <stp>last_price</stp>
        <stp>[P&amp;l movement_R.xlsm]newResult!R42C25</stp>
        <tr r="Y42" s="11"/>
      </tp>
      <tp t="s">
        <v>#N/A Invalid Security</v>
        <stp/>
        <stp>##V3_BDPV12</stp>
        <stp>TOTAL 0.696 05/31/28 equity</stp>
        <stp>last_price</stp>
        <stp>[P&amp;l movement_R.xlsm]newResult!R42C25</stp>
        <tr r="Y42" s="11"/>
      </tp>
      <tp t="s">
        <v>#N/A Invalid Security</v>
        <stp/>
        <stp>##V3_BDPV12</stp>
        <stp>BPLN 4 7/8 PERP</stp>
        <stp>last_price</stp>
        <stp>[P&amp;l movement_R.xlsm]pnl!R13C15</stp>
        <tr r="O13" s="24"/>
      </tp>
      <tp>
        <v>113.63200000000001</v>
        <stp/>
        <stp>##V3_BDPV12</stp>
        <stp>FR0013283140@BGN corp</stp>
        <stp>last_price</stp>
        <stp>[P&amp;l movement_R.xlsm]newResult!R42C14</stp>
        <tr r="N42" s="11"/>
      </tp>
      <tp t="s">
        <v>#N/A Invalid Security</v>
        <stp/>
        <stp>##V3_BDPV12</stp>
        <stp>ISPIM 7 3/4 PERP</stp>
        <stp>last_price</stp>
        <stp>[P&amp;l movement_R.xlsm]newResult!R42C25</stp>
        <tr r="Y42" s="11"/>
      </tp>
      <tp>
        <v>112.432</v>
        <stp/>
        <stp>##V3_BDPV12</stp>
        <stp>FR0011401728@BGN corp</stp>
        <stp>last_price</stp>
        <stp>[P&amp;l movement_R.xlsm]newResult!R42C25</stp>
        <tr r="Y42" s="11"/>
      </tp>
      <tp>
        <v>112.432</v>
        <stp/>
        <stp>##V3_BDPV12</stp>
        <stp>FR0011401728@BGN corp</stp>
        <stp>last_price</stp>
        <stp>[P&amp;l movement_R.xlsm]newResult!R42C14</stp>
        <tr r="N42" s="11"/>
      </tp>
      <tp>
        <v>113.63200000000001</v>
        <stp/>
        <stp>##V3_BDPV12</stp>
        <stp>FR0013283140@BGN corp</stp>
        <stp>last_price</stp>
        <stp>[P&amp;l movement_R.xlsm]newResult!R42C25</stp>
        <tr r="Y42" s="11"/>
      </tp>
      <tp>
        <v>103.218</v>
        <stp/>
        <stp>##V3_BDPV12</stp>
        <stp>FR0013394681@BGN corp</stp>
        <stp>last_price</stp>
        <stp>[P&amp;l movement_R.xlsm]newResult!R42C25</stp>
        <tr r="Y42" s="11"/>
      </tp>
      <tp>
        <v>103.218</v>
        <stp/>
        <stp>##V3_BDPV12</stp>
        <stp>FR0013394681@BGN corp</stp>
        <stp>last_price</stp>
        <stp>[P&amp;l movement_R.xlsm]newResult!R42C14</stp>
        <tr r="N42" s="11"/>
      </tp>
      <tp>
        <v>99.738</v>
        <stp/>
        <stp>##V3_BDPV12</stp>
        <stp>XS2069101868@BGN corp</stp>
        <stp>last_price</stp>
        <stp>[P&amp;l movement_R.xlsm]newResult!R42C25</stp>
        <tr r="Y42" s="11"/>
      </tp>
      <tp t="s">
        <v>#N/A Invalid Security</v>
        <stp/>
        <stp>##V3_BDPV12</stp>
        <stp>NTGYSM 3 3/8 PERP</stp>
        <stp>last_price</stp>
        <stp>[P&amp;l movement_R.xlsm]newResult!R42C25</stp>
        <tr r="Y42" s="11"/>
      </tp>
      <tp>
        <v>99.738</v>
        <stp/>
        <stp>##V3_BDPV12</stp>
        <stp>XS2069101868@BGN corp</stp>
        <stp>last_price</stp>
        <stp>[P&amp;l movement_R.xlsm]newResult!R42C14</stp>
        <tr r="N42" s="11"/>
      </tp>
      <tp>
        <v>109.476</v>
        <stp/>
        <stp>##V3_BDPV12</stp>
        <stp>XS1713463559@BGN corp</stp>
        <stp>last_price</stp>
        <stp>[P&amp;l movement_R.xlsm]newResult!R42C25</stp>
        <tr r="Y42" s="11"/>
      </tp>
      <tp>
        <v>109.476</v>
        <stp/>
        <stp>##V3_BDPV12</stp>
        <stp>XS1713463559@BGN corp</stp>
        <stp>last_price</stp>
        <stp>[P&amp;l movement_R.xlsm]newResult!R42C14</stp>
        <tr r="N42" s="11"/>
      </tp>
      <tp>
        <v>117.423</v>
        <stp/>
        <stp>##V3_BDPV12</stp>
        <stp>XS2154419118@BGN corp</stp>
        <stp>last_price</stp>
        <stp>[P&amp;l movement_R.xlsm]newResult!R42C14</stp>
        <tr r="N42" s="11"/>
      </tp>
      <tp>
        <v>115.23099999999999</v>
        <stp/>
        <stp>##V3_BDPV12</stp>
        <stp>XS1048519679@BGN corp</stp>
        <stp>last_price</stp>
        <stp>[P&amp;l movement_R.xlsm]newResult!R42C14</stp>
        <tr r="N42" s="11"/>
      </tp>
      <tp>
        <v>115.23099999999999</v>
        <stp/>
        <stp>##V3_BDPV12</stp>
        <stp>XS1048519679@BGN corp</stp>
        <stp>last_price</stp>
        <stp>[P&amp;l movement_R.xlsm]newResult!R42C25</stp>
        <tr r="Y42" s="11"/>
      </tp>
      <tp t="s">
        <v>#N/A Invalid Security</v>
        <stp/>
        <stp>##V3_BDPV12</stp>
        <stp>OMVAV 6 1/4 PERP</stp>
        <stp>last_price</stp>
        <stp>[P&amp;l movement_R.xlsm]pnl!R13C15</stp>
        <tr r="O13" s="24"/>
      </tp>
      <tp>
        <v>117.423</v>
        <stp/>
        <stp>##V3_BDPV12</stp>
        <stp>XS2154419118@BGN corp</stp>
        <stp>last_price</stp>
        <stp>[P&amp;l movement_R.xlsm]newResult!R42C25</stp>
        <tr r="Y42" s="11"/>
      </tp>
      <tp>
        <v>110.898</v>
        <stp/>
        <stp>##V3_BDPV12</stp>
        <stp>XS1403388694@BGN corp</stp>
        <stp>last_price</stp>
        <stp>[P&amp;l movement_R.xlsm]newResult!R42C14</stp>
        <tr r="N42" s="11"/>
      </tp>
      <tp t="s">
        <v>#N/A Invalid Security</v>
        <stp/>
        <stp>##V3_BDPV12</stp>
        <stp>REPSM 4.247 PERP</stp>
        <stp>last_price</stp>
        <stp>[P&amp;l movement_R.xlsm]newResult!R42C25</stp>
        <tr r="Y42" s="11"/>
      </tp>
      <tp>
        <v>105.07299999999999</v>
        <stp/>
        <stp>##V3_BDPV12</stp>
        <stp>XS2195190520@BGN corp</stp>
        <stp>last_price</stp>
        <stp>[P&amp;l movement_R.xlsm]newResult!R42C14</stp>
        <tr r="N42" s="11"/>
      </tp>
      <tp>
        <v>105.071</v>
        <stp/>
        <stp>##V3_BDPV12</stp>
        <stp>XS2020608548@BGN corp</stp>
        <stp>last_price</stp>
        <stp>[P&amp;l movement_R.xlsm]newResult!R42C25</stp>
        <tr r="Y42" s="11"/>
      </tp>
      <tp>
        <v>100.767</v>
        <stp/>
        <stp>##V3_BDPV12</stp>
        <stp>XS1196713298@BGN corp</stp>
        <stp>last_price</stp>
        <stp>[P&amp;l movement_R.xlsm]newResult!R42C25</stp>
        <tr r="Y42" s="11"/>
      </tp>
      <tp>
        <v>143.31200000000001</v>
        <stp/>
        <stp>##V3_BDPV12</stp>
        <stp>XS1910948675@BGN corp</stp>
        <stp>last_price</stp>
        <stp>[P&amp;l movement_R.xlsm]newResult!R42C14</stp>
        <tr r="N42" s="11"/>
      </tp>
      <tp>
        <v>105.07299999999999</v>
        <stp/>
        <stp>##V3_BDPV12</stp>
        <stp>XS2195190520@BGN corp</stp>
        <stp>last_price</stp>
        <stp>[P&amp;l movement_R.xlsm]newResult!R42C25</stp>
        <tr r="Y42" s="11"/>
      </tp>
      <tp>
        <v>100.767</v>
        <stp/>
        <stp>##V3_BDPV12</stp>
        <stp>XS1196713298@BGN corp</stp>
        <stp>last_price</stp>
        <stp>[P&amp;l movement_R.xlsm]newResult!R42C14</stp>
        <tr r="N42" s="11"/>
      </tp>
      <tp>
        <v>105.071</v>
        <stp/>
        <stp>##V3_BDPV12</stp>
        <stp>XS2020608548@BGN corp</stp>
        <stp>last_price</stp>
        <stp>[P&amp;l movement_R.xlsm]newResult!R42C14</stp>
        <tr r="N42" s="11"/>
      </tp>
      <tp>
        <v>143.31200000000001</v>
        <stp/>
        <stp>##V3_BDPV12</stp>
        <stp>XS1910948675@BGN corp</stp>
        <stp>last_price</stp>
        <stp>[P&amp;l movement_R.xlsm]newResult!R42C25</stp>
        <tr r="Y42" s="11"/>
      </tp>
      <tp>
        <v>110.898</v>
        <stp/>
        <stp>##V3_BDPV12</stp>
        <stp>XS1403388694@BGN corp</stp>
        <stp>last_price</stp>
        <stp>[P&amp;l movement_R.xlsm]newResult!R42C25</stp>
        <tr r="Y42" s="11"/>
      </tp>
      <tp t="s">
        <v>#N/A Invalid Security</v>
        <stp/>
        <stp>##V3_BDPV12</stp>
        <stp>IBM 1.2 02/11/40</stp>
        <stp>last_price</stp>
        <stp>[P&amp;l movement_R.xlsm]pnl!R13C15</stp>
        <tr r="O13" s="24"/>
      </tp>
      <tp t="s">
        <v>#N/A Invalid Security</v>
        <stp/>
        <stp>##V3_BDPV12</stp>
        <stp>STATK 1 1/2 09/21/23 equity</stp>
        <stp>last_price</stp>
        <stp>[P&amp;l movement_R.xlsm]newResult!R42C25</stp>
        <tr r="Y42" s="11"/>
      </tp>
      <tp t="s">
        <v>#N/A Invalid Security</v>
        <stp/>
        <stp>##V3_BDPV12</stp>
        <stp>TENN 0 1/2 11/30/40</stp>
        <stp>last_price</stp>
        <stp>[P&amp;l movement_R.xlsm]newResult!R42C25</stp>
        <tr r="Y42" s="11"/>
      </tp>
      <tp t="s">
        <v>#N/A Invalid Security</v>
        <stp/>
        <stp>##V3_BDPV12</stp>
        <stp>TOTAL 2 1/4 PERP</stp>
        <stp>last_price</stp>
        <stp>[P&amp;l movement_R.xlsm]newResult!R42C25</stp>
        <tr r="Y42" s="11"/>
      </tp>
      <tp t="s">
        <v>#N/A Invalid Security</v>
        <stp/>
        <stp>##V3_BDPV12</stp>
        <stp>VW 4 1/8 11/16/38 equity</stp>
        <stp>last_price</stp>
        <stp>[P&amp;l movement_R.xlsm]newResult!R42C25</stp>
        <tr r="Y42" s="11"/>
      </tp>
      <tp t="s">
        <v>#N/A Invalid Security</v>
        <stp/>
        <stp>##V3_BDPV12</stp>
        <stp/>
        <stp>last_price</stp>
        <stp>[P&amp;l movement_R.xlsm]newResult!R42C25</stp>
        <tr r="Y42" s="11"/>
        <tr r="Y42" s="11"/>
      </tp>
      <tp>
        <v>100.943</v>
        <stp/>
        <stp>##V3_BDPV12</stp>
        <stp>FR0014000D49@BGN corp</stp>
        <stp>last_price</stp>
        <stp>[P&amp;l movement_R.xlsm]newResult!R42C25</stp>
        <tr r="Y42" s="11"/>
      </tp>
      <tp>
        <v>101.432</v>
        <stp/>
        <stp>##V3_BDPV12</stp>
        <stp>FR0013210408@BGN corp</stp>
        <stp>last_price</stp>
        <stp>[P&amp;l movement_R.xlsm]newResult!R42C25</stp>
        <tr r="Y42" s="11"/>
      </tp>
      <tp>
        <v>100.943</v>
        <stp/>
        <stp>##V3_BDPV12</stp>
        <stp>FR0014000D49@BGN corp</stp>
        <stp>last_price</stp>
        <stp>[P&amp;l movement_R.xlsm]newResult!R42C14</stp>
        <tr r="N42" s="11"/>
      </tp>
      <tp>
        <v>101.432</v>
        <stp/>
        <stp>##V3_BDPV12</stp>
        <stp>FR0013210408@BGN corp</stp>
        <stp>last_price</stp>
        <stp>[P&amp;l movement_R.xlsm]newResult!R42C14</stp>
        <tr r="N42" s="11"/>
      </tp>
      <tp t="s">
        <v>#N/A Invalid Security</v>
        <stp/>
        <stp>##V3_BDPV12</stp>
        <stp>DBR 0 1/2 08/15/27 equity</stp>
        <stp>last_price</stp>
        <stp>[P&amp;l movement_R.xlsm]newResult!R42C25</stp>
        <tr r="Y42" s="11"/>
      </tp>
      <tp>
        <v>100.749</v>
        <stp/>
        <stp>##V3_BDPV12</stp>
        <stp>XS2047500769@BGN corp</stp>
        <stp>last_price</stp>
        <stp>[P&amp;l movement_R.xlsm]newResult!R42C14</stp>
        <tr r="N42" s="11"/>
      </tp>
      <tp>
        <v>108.56100000000001</v>
        <stp/>
        <stp>##V3_BDPV12</stp>
        <stp>XS1956051145@BGN corp</stp>
        <stp>last_price</stp>
        <stp>[P&amp;l movement_R.xlsm]newResult!R42C14</stp>
        <tr r="N42" s="11"/>
      </tp>
      <tp>
        <v>100.749</v>
        <stp/>
        <stp>##V3_BDPV12</stp>
        <stp>XS2047500769@BGN corp</stp>
        <stp>last_price</stp>
        <stp>[P&amp;l movement_R.xlsm]newResult!R42C25</stp>
        <tr r="Y42" s="11"/>
      </tp>
      <tp>
        <v>108.56100000000001</v>
        <stp/>
        <stp>##V3_BDPV12</stp>
        <stp>XS1956051145@BGN corp</stp>
        <stp>last_price</stp>
        <stp>[P&amp;l movement_R.xlsm]newResult!R42C25</stp>
        <tr r="Y42" s="11"/>
      </tp>
      <tp>
        <v>109.94</v>
        <stp/>
        <stp>##V3_BDPV12</stp>
        <stp>XS1115502988@BGN corp</stp>
        <stp>last_price</stp>
        <stp>[P&amp;l movement_R.xlsm]newResult!R42C25</stp>
        <tr r="Y42" s="11"/>
      </tp>
      <tp>
        <v>105.066</v>
        <stp/>
        <stp>##V3_BDPV12</stp>
        <stp>XS1413581205@BGN corp</stp>
        <stp>last_price</stp>
        <stp>[P&amp;l movement_R.xlsm]newResult!R42C14</stp>
        <tr r="N42" s="11"/>
      </tp>
      <tp>
        <v>103.205</v>
        <stp/>
        <stp>##V3_BDPV12</stp>
        <stp>XS2105110329@BGN corp</stp>
        <stp>last_price</stp>
        <stp>[P&amp;l movement_R.xlsm]newResult!R42C14</stp>
        <tr r="N42" s="11"/>
      </tp>
      <tp>
        <v>114.67700000000001</v>
        <stp/>
        <stp>##V3_BDPV12</stp>
        <stp>XS1917590959@BGN corp</stp>
        <stp>last_price</stp>
        <stp>[P&amp;l movement_R.xlsm]newResult!R42C14</stp>
        <tr r="N42" s="11"/>
      </tp>
      <tp>
        <v>105.542</v>
        <stp/>
        <stp>##V3_BDPV12</stp>
        <stp>XS2156787090@BGN corp</stp>
        <stp>last_price</stp>
        <stp>[P&amp;l movement_R.xlsm]newResult!R42C25</stp>
        <tr r="Y42" s="11"/>
      </tp>
      <tp>
        <v>114.67700000000001</v>
        <stp/>
        <stp>##V3_BDPV12</stp>
        <stp>XS1917590959@BGN corp</stp>
        <stp>last_price</stp>
        <stp>[P&amp;l movement_R.xlsm]newResult!R42C25</stp>
        <tr r="Y42" s="11"/>
      </tp>
      <tp>
        <v>105.542</v>
        <stp/>
        <stp>##V3_BDPV12</stp>
        <stp>XS2156787090@BGN corp</stp>
        <stp>last_price</stp>
        <stp>[P&amp;l movement_R.xlsm]newResult!R42C14</stp>
        <tr r="N42" s="11"/>
      </tp>
      <tp>
        <v>109.94</v>
        <stp/>
        <stp>##V3_BDPV12</stp>
        <stp>XS1115502988@BGN corp</stp>
        <stp>last_price</stp>
        <stp>[P&amp;l movement_R.xlsm]newResult!R42C14</stp>
        <tr r="N42" s="11"/>
      </tp>
      <tp>
        <v>105.066</v>
        <stp/>
        <stp>##V3_BDPV12</stp>
        <stp>XS1413581205@BGN corp</stp>
        <stp>last_price</stp>
        <stp>[P&amp;l movement_R.xlsm]newResult!R42C25</stp>
        <tr r="Y42" s="11"/>
      </tp>
      <tp>
        <v>103.205</v>
        <stp/>
        <stp>##V3_BDPV12</stp>
        <stp>XS2105110329@BGN corp</stp>
        <stp>last_price</stp>
        <stp>[P&amp;l movement_R.xlsm]newResult!R42C25</stp>
        <tr r="Y42" s="11"/>
      </tp>
      <tp t="s">
        <v>#N/A Invalid Security</v>
        <stp/>
        <stp>##V3_BDPV12</stp>
        <stp>TOTAL 2 1/4 PERP</stp>
        <stp>last_price</stp>
        <stp>[P&amp;l movement_R.xlsm]pnl!R13C15</stp>
        <tr r="O13" s="24"/>
      </tp>
      <tp>
        <v>108.087</v>
        <stp/>
        <stp>##V3_BDPV12</stp>
        <stp>XS1992927902@BGN corp</stp>
        <stp>last_price</stp>
        <stp>[P&amp;l movement_R.xlsm]newResult!R42C25</stp>
        <tr r="Y42" s="11"/>
      </tp>
      <tp>
        <v>108.087</v>
        <stp/>
        <stp>##V3_BDPV12</stp>
        <stp>XS1992927902@BGN corp</stp>
        <stp>last_price</stp>
        <stp>[P&amp;l movement_R.xlsm]newResult!R42C14</stp>
        <tr r="N42" s="11"/>
      </tp>
      <tp t="s">
        <v>#N/A Invalid Security</v>
        <stp/>
        <stp>##V3_BDPV12</stp>
        <stp>VOD 2 5/8 08/27/80 equity</stp>
        <stp>last_price</stp>
        <stp>[P&amp;l movement_R.xlsm]newResult!R42C25</stp>
        <tr r="Y42" s="11"/>
      </tp>
      <tp>
        <v>108.364</v>
        <stp/>
        <stp>##V3_BDPV12</stp>
        <stp>XS1219499032@BGN corp</stp>
        <stp>last_price</stp>
        <stp>[P&amp;l movement_R.xlsm]newResult!R42C14</stp>
        <tr r="N42" s="11"/>
      </tp>
      <tp>
        <v>108.364</v>
        <stp/>
        <stp>##V3_BDPV12</stp>
        <stp>XS1219499032@BGN corp</stp>
        <stp>last_price</stp>
        <stp>[P&amp;l movement_R.xlsm]newResult!R42C25</stp>
        <tr r="Y42" s="11"/>
      </tp>
      <tp t="s">
        <v>#N/A Invalid Security</v>
        <stp/>
        <stp>##V3_BDPV12</stp>
        <stp>VIEFP 0.892 01/14/24 equity</stp>
        <stp>last_price</stp>
        <stp>[P&amp;l movement_R.xlsm]newResult!R42C25</stp>
        <tr r="Y42" s="11"/>
      </tp>
      <tp t="s">
        <v>#N/A Invalid Security</v>
        <stp/>
        <stp>##V3_BDPV12</stp>
        <stp>VIEFP 1.496 11/30/26 equity</stp>
        <stp>last_price</stp>
        <stp>[P&amp;l movement_R.xlsm]newResult!R42C25</stp>
        <tr r="Y42" s="11"/>
      </tp>
      <tp t="s">
        <v>#N/A Invalid Security</v>
        <stp/>
        <stp>##V3_BDPV12</stp>
        <stp>ENBW 1 5/8 08/05/79</stp>
        <stp>last_price</stp>
        <stp>[P&amp;l movement_R.xlsm]newResult!R42C25</stp>
        <tr r="Y42" s="11"/>
      </tp>
      <tp t="s">
        <v>#N/A Invalid Security</v>
        <stp/>
        <stp>##V3_BDPV12</stp>
        <stp>TOTAL 1 3/4 PERP</stp>
        <stp>last_price</stp>
        <stp>[P&amp;l movement_R.xlsm]newResult!R42C25</stp>
        <tr r="Y42" s="11"/>
      </tp>
      <tp t="s">
        <v>#N/A Invalid Security</v>
        <stp/>
        <stp>##V3_BDPV12</stp>
        <stp>EQNR 2 7/8 09/10/25 equity</stp>
        <stp>last_price</stp>
        <stp>[P&amp;l movement_R.xlsm]newResult!R42C25</stp>
        <tr r="Y42" s="11"/>
      </tp>
      <tp>
        <v>106.43300000000001</v>
        <stp/>
        <stp>##V3_BDPV12</stp>
        <stp>FR0013331949@BGN corp</stp>
        <stp>last_price</stp>
        <stp>[P&amp;l movement_R.xlsm]newResult!R42C25</stp>
        <tr r="Y42" s="11"/>
      </tp>
      <tp>
        <v>106.43300000000001</v>
        <stp/>
        <stp>##V3_BDPV12</stp>
        <stp>FR0013331949@BGN corp</stp>
        <stp>last_price</stp>
        <stp>[P&amp;l movement_R.xlsm]newResult!R42C14</stp>
        <tr r="N42" s="11"/>
      </tp>
      <tp>
        <v>115.404</v>
        <stp/>
        <stp>##V3_BDPV12</stp>
        <stp>XS0969572204@BGN corp</stp>
        <stp>last_price</stp>
        <stp>[P&amp;l movement_R.xlsm]newResult!R42C14</stp>
        <tr r="N42" s="11"/>
      </tp>
      <tp>
        <v>107.655</v>
        <stp/>
        <stp>##V3_BDPV12</stp>
        <stp>XS1874122770@BGN corp</stp>
        <stp>last_price</stp>
        <stp>[P&amp;l movement_R.xlsm]newResult!R42C14</stp>
        <tr r="N42" s="11"/>
      </tp>
      <tp t="s">
        <v>#N/A Invalid Security</v>
        <stp/>
        <stp>##V3_BDPV12</stp>
        <stp>MLFP 0 1/4 11/02/32 equity</stp>
        <stp>last_price</stp>
        <stp>[P&amp;l movement_R.xlsm]newResult!R42C25</stp>
        <tr r="Y42" s="11"/>
      </tp>
      <tp>
        <v>107.655</v>
        <stp/>
        <stp>##V3_BDPV12</stp>
        <stp>XS1874122770@BGN corp</stp>
        <stp>last_price</stp>
        <stp>[P&amp;l movement_R.xlsm]newResult!R42C25</stp>
        <tr r="Y42" s="11"/>
      </tp>
      <tp>
        <v>115.404</v>
        <stp/>
        <stp>##V3_BDPV12</stp>
        <stp>XS0969572204@BGN corp</stp>
        <stp>last_price</stp>
        <stp>[P&amp;l movement_R.xlsm]newResult!R42C25</stp>
        <tr r="Y42" s="11"/>
      </tp>
      <tp>
        <v>100.753</v>
        <stp/>
        <stp>##V3_BDPV12</stp>
        <stp>XS2125121769@BGN corp</stp>
        <stp>last_price</stp>
        <stp>[P&amp;l movement_R.xlsm]newResult!R42C25</stp>
        <tr r="Y42" s="11"/>
      </tp>
      <tp>
        <v>105.52500000000001</v>
        <stp/>
        <stp>##V3_BDPV12</stp>
        <stp>XS2115092012@BGN corp</stp>
        <stp>last_price</stp>
        <stp>[P&amp;l movement_R.xlsm]newResult!R42C25</stp>
        <tr r="Y42" s="11"/>
      </tp>
      <tp>
        <v>117.277</v>
        <stp/>
        <stp>##V3_BDPV12</stp>
        <stp>XS1548475968@BGN corp</stp>
        <stp>last_price</stp>
        <stp>[P&amp;l movement_R.xlsm]newResult!R42C14</stp>
        <tr r="N42" s="11"/>
      </tp>
      <tp>
        <v>114.413</v>
        <stp/>
        <stp>##V3_BDPV12</stp>
        <stp>XS0903532090@BGN corp</stp>
        <stp>last_price</stp>
        <stp>[P&amp;l movement_R.xlsm]newResult!R42C25</stp>
        <tr r="Y42" s="11"/>
      </tp>
      <tp>
        <v>105.587</v>
        <stp/>
        <stp>##V3_BDPV12</stp>
        <stp>XS1224710399@BGN corp</stp>
        <stp>last_price</stp>
        <stp>[P&amp;l movement_R.xlsm]newResult!R42C25</stp>
        <tr r="Y42" s="11"/>
      </tp>
      <tp>
        <v>117.277</v>
        <stp/>
        <stp>##V3_BDPV12</stp>
        <stp>XS1548475968@BGN corp</stp>
        <stp>last_price</stp>
        <stp>[P&amp;l movement_R.xlsm]newResult!R42C25</stp>
        <tr r="Y42" s="11"/>
      </tp>
      <tp>
        <v>114.413</v>
        <stp/>
        <stp>##V3_BDPV12</stp>
        <stp>XS0903532090@BGN corp</stp>
        <stp>last_price</stp>
        <stp>[P&amp;l movement_R.xlsm]newResult!R42C14</stp>
        <tr r="N42" s="11"/>
      </tp>
      <tp>
        <v>105.587</v>
        <stp/>
        <stp>##V3_BDPV12</stp>
        <stp>XS1224710399@BGN corp</stp>
        <stp>last_price</stp>
        <stp>[P&amp;l movement_R.xlsm]newResult!R42C14</stp>
        <tr r="N42" s="11"/>
      </tp>
      <tp>
        <v>100.753</v>
        <stp/>
        <stp>##V3_BDPV12</stp>
        <stp>XS2125121769@BGN corp</stp>
        <stp>last_price</stp>
        <stp>[P&amp;l movement_R.xlsm]newResult!R42C14</stp>
        <tr r="N42" s="11"/>
      </tp>
      <tp>
        <v>105.52500000000001</v>
        <stp/>
        <stp>##V3_BDPV12</stp>
        <stp>XS2115092012@BGN corp</stp>
        <stp>last_price</stp>
        <stp>[P&amp;l movement_R.xlsm]newResult!R42C14</stp>
        <tr r="N42" s="11"/>
      </tp>
      <tp t="s">
        <v>#N/A Invalid Security</v>
        <stp/>
        <stp>##V3_BDPV12</stp>
        <stp>OEZ0@EX corp</stp>
        <stp>px_last</stp>
        <stp>[P&amp;l movement_R.xlsm]pnl!R13C15</stp>
        <tr r="O13" s="24"/>
        <tr r="O13" s="24"/>
      </tp>
      <tp t="s">
        <v>#N/A Invalid Security</v>
        <stp/>
        <stp>##V3_BDPV12</stp>
        <stp>TELEFO 3 3/4 PERP</stp>
        <stp>last_price</stp>
        <stp>[P&amp;l movement_R.xlsm]pnl!R13C15</stp>
        <tr r="O13" s="24"/>
      </tp>
      <tp t="s">
        <v>#N/A Invalid Security</v>
        <stp/>
        <stp>##V3_BDPV12</stp>
        <stp>INTNED 6 3/4 PERP</stp>
        <stp>last_price</stp>
        <stp>[P&amp;l movement_R.xlsm]pnl!R13C15</stp>
        <tr r="O13" s="24"/>
      </tp>
      <tp t="s">
        <v>#N/A Invalid Security</v>
        <stp/>
        <stp>##V3_BDPV12</stp>
        <stp>INTNED 5 3/4 PERP</stp>
        <stp>last_price</stp>
        <stp>[P&amp;l movement_R.xlsm]pnl!R13C15</stp>
        <tr r="O13" s="24"/>
      </tp>
      <tp>
        <v>103.122</v>
        <stp/>
        <stp>##V3_BDPV12</stp>
        <stp>FR0013428489@BGN corp</stp>
        <stp>last_price</stp>
        <stp>[P&amp;l movement_R.xlsm]newResult!R42C25</stp>
        <tr r="Y42" s="11"/>
      </tp>
      <tp>
        <v>103.122</v>
        <stp/>
        <stp>##V3_BDPV12</stp>
        <stp>FR0013428489@BGN corp</stp>
        <stp>last_price</stp>
        <stp>[P&amp;l movement_R.xlsm]newResult!R42C14</stp>
        <tr r="N42" s="11"/>
      </tp>
      <tp t="s">
        <v>#N/A Invalid Security</v>
        <stp/>
        <stp>##V3_BDPV12</stp>
        <stp>VZ 0 7/8 03/19/32 equity</stp>
        <stp>last_price</stp>
        <stp>[P&amp;l movement_R.xlsm]newResult!R42C25</stp>
        <tr r="Y42" s="11"/>
      </tp>
      <tp t="s">
        <v>#N/A Invalid Security</v>
        <stp/>
        <stp>##V3_BDPV12</stp>
        <stp>VOD 6 1/4 10/03/78</stp>
        <stp>last_price</stp>
        <stp>[P&amp;l movement_R.xlsm]newResult!R42C25</stp>
        <tr r="Y42" s="11"/>
      </tp>
      <tp>
        <v>104.693</v>
        <stp/>
        <stp>##V3_BDPV12</stp>
        <stp>FR0013396512@BGN corp</stp>
        <stp>last_price</stp>
        <stp>[P&amp;l movement_R.xlsm]newResult!R42C14</stp>
        <tr r="N42" s="11"/>
      </tp>
      <tp>
        <v>104.693</v>
        <stp/>
        <stp>##V3_BDPV12</stp>
        <stp>FR0013396512@BGN corp</stp>
        <stp>last_price</stp>
        <stp>[P&amp;l movement_R.xlsm]newResult!R42C25</stp>
        <tr r="Y42" s="11"/>
      </tp>
      <tp>
        <v>106.02800000000001</v>
        <stp/>
        <stp>##V3_BDPV12</stp>
        <stp>XS1139494493@BGN corp</stp>
        <stp>last_price</stp>
        <stp>[P&amp;l movement_R.xlsm]newResult!R42C25</stp>
        <tr r="Y42" s="11"/>
      </tp>
      <tp>
        <v>106.461</v>
        <stp/>
        <stp>##V3_BDPV12</stp>
        <stp>XS2178832379@BGN corp</stp>
        <stp>last_price</stp>
        <stp>[P&amp;l movement_R.xlsm]newResult!R42C14</stp>
        <tr r="N42" s="11"/>
      </tp>
      <tp>
        <v>106.461</v>
        <stp/>
        <stp>##V3_BDPV12</stp>
        <stp>XS2178832379@BGN corp</stp>
        <stp>last_price</stp>
        <stp>[P&amp;l movement_R.xlsm]newResult!R42C25</stp>
        <tr r="Y42" s="11"/>
      </tp>
      <tp>
        <v>106.02800000000001</v>
        <stp/>
        <stp>##V3_BDPV12</stp>
        <stp>XS1139494493@BGN corp</stp>
        <stp>last_price</stp>
        <stp>[P&amp;l movement_R.xlsm]newResult!R42C14</stp>
        <tr r="N42" s="11"/>
      </tp>
      <tp t="s">
        <v>#N/A Invalid Security</v>
        <stp/>
        <stp>##V3_BDPV12</stp>
        <stp>BNP 6 5/8 PERP</stp>
        <stp>last_price</stp>
        <stp>[P&amp;l movement_R.xlsm]pnl!R13C15</stp>
        <tr r="O13" s="24"/>
      </tp>
      <tp>
        <v>108.14700000000001</v>
        <stp/>
        <stp>##V3_BDPV12</stp>
        <stp>XS1756296965@BGN corp</stp>
        <stp>last_price</stp>
        <stp>[P&amp;l movement_R.xlsm]newResult!R42C25</stp>
        <tr r="Y42" s="11"/>
      </tp>
      <tp>
        <v>106.875</v>
        <stp/>
        <stp>##V3_BDPV12</stp>
        <stp>XS1405763019@BGN corp</stp>
        <stp>last_price</stp>
        <stp>[P&amp;l movement_R.xlsm]newResult!R42C25</stp>
        <tr r="Y42" s="11"/>
      </tp>
      <tp>
        <v>108.14700000000001</v>
        <stp/>
        <stp>##V3_BDPV12</stp>
        <stp>XS1756296965@BGN corp</stp>
        <stp>last_price</stp>
        <stp>[P&amp;l movement_R.xlsm]newResult!R42C14</stp>
        <tr r="N42" s="11"/>
      </tp>
      <tp>
        <v>106.875</v>
        <stp/>
        <stp>##V3_BDPV12</stp>
        <stp>XS1405763019@BGN corp</stp>
        <stp>last_price</stp>
        <stp>[P&amp;l movement_R.xlsm]newResult!R42C14</stp>
        <tr r="N42" s="11"/>
      </tp>
      <tp t="s">
        <v>#N/A Invalid Security</v>
        <stp/>
        <stp>##V3_BDPV12</stp>
        <stp>TOTAL 1 3/4 PERP</stp>
        <stp>last_price</stp>
        <stp>[P&amp;l movement_R.xlsm]pnl!R13C15</stp>
        <tr r="O13" s="24"/>
      </tp>
      <tp>
        <v>108.27</v>
        <stp/>
        <stp>##V3_BDPV12</stp>
        <stp>XS1190624038@BGN corp</stp>
        <stp>last_price</stp>
        <stp>[P&amp;l movement_R.xlsm]newResult!R42C14</stp>
        <tr r="N42" s="11"/>
      </tp>
      <tp>
        <v>108.27</v>
        <stp/>
        <stp>##V3_BDPV12</stp>
        <stp>XS1190624038@BGN corp</stp>
        <stp>last_price</stp>
        <stp>[P&amp;l movement_R.xlsm]newResult!R42C25</stp>
        <tr r="Y42" s="11"/>
      </tp>
      <tp t="s">
        <v>#N/A Invalid Security</v>
        <stp/>
        <stp>##V3_BDPV12</stp>
        <stp>ENBW 1 5/8 08/05/79 equity</stp>
        <stp>last_price</stp>
        <stp>[P&amp;l movement_R.xlsm]newResult!R42C25</stp>
        <tr r="Y42" s="11"/>
      </tp>
      <tp>
        <v>102.089</v>
        <stp/>
        <stp>##V3_BDPV12</stp>
        <stp>XS2010039548@BGN corp</stp>
        <stp>last_price</stp>
        <stp>[P&amp;l movement_R.xlsm]newResult!R42C14</stp>
        <tr r="N42" s="11"/>
      </tp>
      <tp>
        <v>107.86199999999999</v>
        <stp/>
        <stp>##V3_BDPV12</stp>
        <stp>XS1981060624@BGN corp</stp>
        <stp>last_price</stp>
        <stp>[P&amp;l movement_R.xlsm]newResult!R42C14</stp>
        <tr r="N42" s="11"/>
      </tp>
      <tp>
        <v>102.089</v>
        <stp/>
        <stp>##V3_BDPV12</stp>
        <stp>XS2010039548@BGN corp</stp>
        <stp>last_price</stp>
        <stp>[P&amp;l movement_R.xlsm]newResult!R42C25</stp>
        <tr r="Y42" s="11"/>
      </tp>
      <tp>
        <v>107.86199999999999</v>
        <stp/>
        <stp>##V3_BDPV12</stp>
        <stp>XS1981060624@BGN corp</stp>
        <stp>last_price</stp>
        <stp>[P&amp;l movement_R.xlsm]newResult!R42C25</stp>
        <tr r="Y42" s="11"/>
      </tp>
      <tp t="s">
        <v>#N/A Invalid Security</v>
        <stp/>
        <stp>##V3_BDPV12</stp>
        <stp>ACFP 2 5/8 PERP</stp>
        <stp>last_price</stp>
        <stp>[P&amp;l movement_R.xlsm]pnl!R13C15</stp>
        <tr r="O13" s="24"/>
      </tp>
      <tp t="s">
        <v>#N/A Invalid Security</v>
        <stp/>
        <stp>##V3_BDPV12</stp>
        <stp>BACR 5 7/8 PERP</stp>
        <stp>last_price</stp>
        <stp>[P&amp;l movement_R.xlsm]pnl!R13C15</stp>
        <tr r="O13" s="24"/>
      </tp>
      <tp t="s">
        <v>#N/A Invalid Security</v>
        <stp/>
        <stp>##V3_BDPV12</stp>
        <stp>ENGIFP 3 1/4 PERP</stp>
        <stp>last_price</stp>
        <stp>[P&amp;l movement_R.xlsm]newResult!R42C25</stp>
        <tr r="Y42" s="11"/>
      </tp>
      <tp t="s">
        <v>#N/A Invalid Security</v>
        <stp/>
        <stp>##V3_BDPV12</stp>
        <stp>SSELN 2 3/8 PERP</stp>
        <stp>last_price</stp>
        <stp>[P&amp;l movement_R.xlsm]newResult!R42C25</stp>
        <tr r="Y42" s="11"/>
      </tp>
      <tp t="s">
        <v>#N/A Invalid Security</v>
        <stp/>
        <stp>##V3_BDPV12</stp>
        <stp>IBESM 2 5/8 PERP</stp>
        <stp>last_price</stp>
        <stp>[P&amp;l movement_R.xlsm]newResult!R42C25</stp>
        <tr r="Y42" s="11"/>
      </tp>
      <tp t="s">
        <v>#N/A Invalid Security</v>
        <stp/>
        <stp>##V3_BDPV12</stp>
        <stp>SEVFP 2 7/8 PERP</stp>
        <stp>last_price</stp>
        <stp>[P&amp;l movement_R.xlsm]pnl!R13C15</stp>
        <tr r="O13" s="24"/>
      </tp>
      <tp t="s">
        <v>#N/A Invalid Security</v>
        <stp/>
        <stp>##V3_BDPV12</stp>
        <stp>ABNANV 4 3/4 PERP</stp>
        <stp>last_price</stp>
        <stp>[P&amp;l movement_R.xlsm]pnl!R13C15</stp>
        <tr r="O13" s="24"/>
      </tp>
      <tp t="s">
        <v>#N/A Invalid Security</v>
        <stp/>
        <stp>##V3_BDPV12</stp>
        <stp>NGGLN 5 5/8 06/18/73 equity</stp>
        <stp>last_price</stp>
        <stp>[P&amp;l movement_R.xlsm]newResult!R42C25</stp>
        <tr r="Y42" s="11"/>
      </tp>
      <tp t="s">
        <v>#N/A Invalid Security</v>
        <stp/>
        <stp>##V3_BDPV12</stp>
        <stp>SEVFP 1 1/2 04/03/29 equity</stp>
        <stp>last_price</stp>
        <stp>[P&amp;l movement_R.xlsm]newResult!R42C25</stp>
        <tr r="Y42" s="11"/>
      </tp>
      <tp t="s">
        <v>#N/A Invalid Security</v>
        <stp/>
        <stp>##V3_BDPV12</stp>
        <stp>ENGIFP 1 5/8 PERP equity</stp>
        <stp>last_price</stp>
        <stp>[P&amp;l movement_R.xlsm]newResult!R42C25</stp>
        <tr r="Y42" s="11"/>
      </tp>
      <tp t="s">
        <v>#N/A Invalid Security</v>
        <stp/>
        <stp>##V3_BDPV12</stp>
        <stp>INTNED 5 3/4 PERP</stp>
        <stp>last_price</stp>
        <stp>[P&amp;l movement_R.xlsm]newResult!R42C25</stp>
        <tr r="Y42" s="11"/>
      </tp>
      <tp t="s">
        <v>#N/A Invalid Security</v>
        <stp/>
        <stp>##V3_BDPV12</stp>
        <stp>VW 2 1/2 04/06/23</stp>
        <stp>last_price</stp>
        <stp>[P&amp;l movement_R.xlsm]newResult!R42C25</stp>
        <tr r="Y42" s="11"/>
      </tp>
      <tp t="s">
        <v>#N/A Invalid Security</v>
        <stp/>
        <stp>##V3_BDPV12</stp>
        <stp>ENGIFP 3 1/4 PERP equity</stp>
        <stp>last_price</stp>
        <stp>[P&amp;l movement_R.xlsm]newResult!R42C25</stp>
        <tr r="Y42" s="11"/>
      </tp>
      <tp t="s">
        <v>#N/A Invalid Security</v>
        <stp/>
        <stp>##V3_BDPV12</stp>
        <stp>SSELN 3 1/8 PERP</stp>
        <stp>last_price</stp>
        <stp>[P&amp;l movement_R.xlsm]newResult!R42C25</stp>
        <tr r="Y42" s="11"/>
      </tp>
      <tp t="s">
        <v>#N/A Invalid Security</v>
        <stp/>
        <stp>##V3_BDPV12</stp>
        <stp>NTGYSM 3 3/8 PERP equity</stp>
        <stp>last_price</stp>
        <stp>[P&amp;l movement_R.xlsm]newResult!R42C25</stp>
        <tr r="Y42" s="11"/>
      </tp>
      <tp t="s">
        <v>#N/A Invalid Security</v>
        <stp/>
        <stp>##V3_BDPV12</stp>
        <stp>IBESM 2 1/4 PERP</stp>
        <stp>last_price</stp>
        <stp>[P&amp;l movement_R.xlsm]pnl!R13C15</stp>
        <tr r="O13" s="24"/>
      </tp>
      <tp t="s">
        <v>#N/A Invalid Security</v>
        <stp/>
        <stp>##V3_BDPV12</stp>
        <stp>NTGYSM 4 1/8 PERP equity</stp>
        <stp>last_price</stp>
        <stp>[P&amp;l movement_R.xlsm]newResult!R42C25</stp>
        <tr r="Y42" s="11"/>
      </tp>
      <tp t="s">
        <v>#N/A Invalid Security</v>
        <stp/>
        <stp>##V3_BDPV12</stp>
        <stp>TELEFO 2 7/8 PERP</stp>
        <stp>last_price</stp>
        <stp>[P&amp;l movement_R.xlsm]newResult!R42C25</stp>
        <tr r="Y42" s="11"/>
      </tp>
      <tp t="s">
        <v>#N/A Invalid Security</v>
        <stp/>
        <stp>##V3_BDPV12</stp>
        <stp>RXZ0@EX corp</stp>
        <stp>px_last</stp>
        <stp>[P&amp;l movement_R.xlsm]pnl!R13C15</stp>
        <tr r="O13" s="24"/>
        <tr r="O13" s="24"/>
      </tp>
      <tp t="s">
        <v>#N/A Invalid Security</v>
        <stp/>
        <stp>##V3_BDPV12</stp>
        <stp>HERIM 0 7/8 07/05/27 equity</stp>
        <stp>last_price</stp>
        <stp>[P&amp;l movement_R.xlsm]newResult!R42C25</stp>
        <tr r="Y42" s="11"/>
      </tp>
      <tp t="s">
        <v>#N/A Invalid Security</v>
        <stp/>
        <stp>##V3_BDPV12</stp>
        <stp>INTNED 6 3/4 PERP</stp>
        <stp>last_price</stp>
        <stp>[P&amp;l movement_R.xlsm]newResult!R42C25</stp>
        <tr r="Y42" s="11"/>
      </tp>
      <tp>
        <v>-2.5498988166933452</v>
        <stp/>
        <stp>##V3_BDPV12</stp>
        <stp>ITXEB534 Curncy</stp>
        <stp>px_eval</stp>
        <stp>[P&amp;l movement_R.xlsm]newResult!R42C25</stp>
        <stp>cds_5y</stp>
        <stp>-</stp>
        <tr r="Y42" s="11"/>
        <tr r="Y42" s="11"/>
      </tp>
      <tp>
        <v>-9.8565189902600974</v>
        <stp/>
        <stp>##V3_BDPV12</stp>
        <stp>ITXEX534 Curncy</stp>
        <stp>px_eval</stp>
        <stp>[P&amp;l movement_R.xlsm]newResult!R42C25</stp>
        <stp>cds_5y</stp>
        <stp>-</stp>
        <tr r="Y42" s="11"/>
      </tp>
      <tp>
        <v>0.98619552781410713</v>
        <stp/>
        <stp>##V3_BDPV12</stp>
        <stp>ITXEU534 Curncy</stp>
        <stp>px_eval</stp>
        <stp>[P&amp;l movement_R.xlsm]newResult!R42C25</stp>
        <stp>cds_5y</stp>
        <stp>-</stp>
        <tr r="Y42" s="11"/>
      </tp>
      <tp>
        <v>-1.8325921190867345</v>
        <stp/>
        <stp>##V3_BDPV12</stp>
        <stp>ITXES534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STEDIN 3 1/4 PERP equity</stp>
        <stp>last_price</stp>
        <stp>[P&amp;l movement_R.xlsm]newResult!R42C25</stp>
        <tr r="Y42" s="11"/>
      </tp>
      <tp t="s">
        <v>#N/A Invalid Security</v>
        <stp/>
        <stp>##V3_BDPV12</stp>
        <stp>VZ 1 1/2 09/19/39</stp>
        <stp>last_price</stp>
        <stp>[P&amp;l movement_R.xlsm]newResult!R42C25</stp>
        <tr r="Y42" s="11"/>
      </tp>
      <tp t="s">
        <v>#N/A Invalid Security</v>
        <stp/>
        <stp>##V3_BDPV12</stp>
        <stp>ISPIM 7 3/4 PERP</stp>
        <stp>last_price</stp>
        <stp>[P&amp;l movement_R.xlsm]pnl!R13C15</stp>
        <tr r="O13" s="24"/>
      </tp>
      <tp t="s">
        <v>#N/A Invalid Security</v>
        <stp/>
        <stp>##V3_BDPV12</stp>
        <stp>VIEFP 2 1/2 PERP</stp>
        <stp>last_price</stp>
        <stp>[P&amp;l movement_R.xlsm]pnl!R13C15</stp>
        <tr r="O13" s="24"/>
      </tp>
      <tp t="s">
        <v>#N/A Invalid Security</v>
        <stp/>
        <stp>##V3_BDPV12</stp>
        <stp>VOD 4.2 10/03/78</stp>
        <stp>last_price</stp>
        <stp>[P&amp;l movement_R.xlsm]pnl!R13C15</stp>
        <tr r="O13" s="24"/>
      </tp>
      <tp t="s">
        <v>#N/A Invalid Security</v>
        <stp/>
        <stp>##V3_BDPV12</stp>
        <stp>FCAIM 4 1/2 07/07/28 equity</stp>
        <stp>last_price</stp>
        <stp>[P&amp;l movement_R.xlsm]newResult!R42C25</stp>
        <tr r="Y42" s="11"/>
      </tp>
      <tp t="s">
        <v>#N/A Invalid Security</v>
        <stp/>
        <stp>##V3_BDPV12</stp>
        <stp>FCAIM 3 3/8 07/07/23 equity</stp>
        <stp>last_price</stp>
        <stp>[P&amp;l movement_R.xlsm]newResult!R42C25</stp>
        <tr r="Y42" s="11"/>
      </tp>
      <tp t="s">
        <v>#N/A Invalid Security</v>
        <stp/>
        <stp>##V3_BDPV12</stp>
        <stp>SOCGEN 5 3/8 PERP</stp>
        <stp>last_price</stp>
        <stp>[P&amp;l movement_R.xlsm]newResult!R42C25</stp>
        <tr r="Y42" s="11"/>
      </tp>
      <tp t="s">
        <v>#N/A Invalid Security</v>
        <stp/>
        <stp>##V3_BDPV12</stp>
        <stp>SEVFP 0 1/2 10/14/31 equity</stp>
        <stp>last_price</stp>
        <stp>[P&amp;l movement_R.xlsm]newResult!R42C25</stp>
        <tr r="Y42" s="11"/>
      </tp>
      <tp t="s">
        <v>#N/A Invalid Security</v>
        <stp/>
        <stp>##V3_BDPV12</stp>
        <stp>HERIM 0 7/8 10/14/26 equity</stp>
        <stp>last_price</stp>
        <stp>[P&amp;l movement_R.xlsm]newResult!R42C25</stp>
        <tr r="Y42" s="11"/>
      </tp>
      <tp t="s">
        <v>#N/A Invalid Security</v>
        <stp/>
        <stp>##V3_BDPV12</stp>
        <stp>USH3698D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SOCGEN 5 3/8 PERP equity</stp>
        <stp>last_price</stp>
        <stp>[P&amp;l movement_R.xlsm]newResult!R42C25</stp>
        <tr r="Y42" s="11"/>
      </tp>
      <tp t="s">
        <v>#N/A Invalid Security</v>
        <stp/>
        <stp>##V3_BDPV12</stp>
        <stp>IBESM 2 5/8 PERP</stp>
        <stp>last_price</stp>
        <stp>[P&amp;l movement_R.xlsm]pnl!R13C15</stp>
        <tr r="O13" s="24"/>
      </tp>
      <tp>
        <v>100.9</v>
        <stp/>
        <stp>##V3_BDPV12</stp>
        <stp>USX10001AA78@TRAC corp</stp>
        <stp>last_price</stp>
        <stp>[P&amp;l movement_R.xlsm]newResult!R42C14</stp>
        <tr r="N42" s="11"/>
      </tp>
      <tp>
        <v>100.9</v>
        <stp/>
        <stp>##V3_BDPV12</stp>
        <stp>USX10001AA78@TRAC corp</stp>
        <stp>last_price</stp>
        <stp>[P&amp;l movement_R.xlsm]newResult!R42C25</stp>
        <tr r="Y42" s="11"/>
      </tp>
      <tp t="s">
        <v>#N/A Invalid Security</v>
        <stp/>
        <stp>##V3_BDPV12</stp>
        <stp>BGGRP 1 1/4 11/21/22 equity</stp>
        <stp>last_price</stp>
        <stp>[P&amp;l movement_R.xlsm]newResult!R42C25</stp>
        <tr r="Y42" s="11"/>
      </tp>
      <tp t="s">
        <v>#N/A Invalid Security</v>
        <stp/>
        <stp>##V3_BDPV12</stp>
        <stp>ABIBB 2 7/8 04/02/32 equity</stp>
        <stp>last_price</stp>
        <stp>[P&amp;l movement_R.xlsm]newResult!R42C25</stp>
        <tr r="Y42" s="11"/>
      </tp>
      <tp t="s">
        <v>#N/A Invalid Security</v>
        <stp/>
        <stp>##V3_BDPV12</stp>
        <stp>BACR 7 1/4 PERP</stp>
        <stp>last_price</stp>
        <stp>[P&amp;l movement_R.xlsm]pnl!R13C15</stp>
        <tr r="O13" s="24"/>
      </tp>
      <tp t="s">
        <v>#N/A Invalid Security</v>
        <stp/>
        <stp>##V3_BDPV12</stp>
        <stp>TELEFO 5 7/8 PERP</stp>
        <stp>last_price</stp>
        <stp>[P&amp;l movement_R.xlsm]newResult!R42C25</stp>
        <tr r="Y42" s="11"/>
      </tp>
      <tp t="s">
        <v>#N/A Invalid Security</v>
        <stp/>
        <stp>##V3_BDPV12</stp>
        <stp>SSELN 3.74 PERP</stp>
        <stp>last_price</stp>
        <stp>[P&amp;l movement_R.xlsm]pnl!R13C15</stp>
        <tr r="O13" s="24"/>
      </tp>
      <tp t="s">
        <v>#N/A Invalid Security</v>
        <stp/>
        <stp>##V3_BDPV12</stp>
        <stp>ENIIM 1 1/8 09/19/28 equity</stp>
        <stp>last_price</stp>
        <stp>[P&amp;l movement_R.xlsm]newResult!R42C25</stp>
        <tr r="Y42" s="11"/>
      </tp>
      <tp t="s">
        <v>#N/A Invalid Security</v>
        <stp/>
        <stp>##V3_BDPV12</stp>
        <stp>ENIIM 0 5/8 09/19/24 equity</stp>
        <stp>last_price</stp>
        <stp>[P&amp;l movement_R.xlsm]newResult!R42C25</stp>
        <tr r="Y42" s="11"/>
      </tp>
      <tp t="s">
        <v>#N/A Invalid Security</v>
        <stp/>
        <stp>##V3_BDPV12</stp>
        <stp>EQNR 2 7/8 09/10/25</stp>
        <stp>last_price</stp>
        <stp>[P&amp;l movement_R.xlsm]newResult!R42C25</stp>
        <tr r="Y42" s="11"/>
      </tp>
      <tp t="s">
        <v>#N/A Invalid Security</v>
        <stp/>
        <stp>##V3_BDPV12</stp>
        <stp>CAPFP 1 1/8 06/23/30 equity</stp>
        <stp>last_price</stp>
        <stp>[P&amp;l movement_R.xlsm]newResult!R42C25</stp>
        <tr r="Y42" s="11"/>
      </tp>
      <tp t="s">
        <v>#N/A Invalid Security</v>
        <stp/>
        <stp>##V3_BDPV12</stp>
        <stp>HEIBOS 3 3/8 PERP</stp>
        <stp>last_price</stp>
        <stp>[P&amp;l movement_R.xlsm]newResult!R42C25</stp>
        <tr r="Y42" s="11"/>
      </tp>
      <tp t="s">
        <v>#N/A Invalid Security</v>
        <stp/>
        <stp>##V3_BDPV12</stp>
        <stp>TENN 0 1/8 11/30/32 equity</stp>
        <stp>last_price</stp>
        <stp>[P&amp;l movement_R.xlsm]newResult!R42C25</stp>
        <tr r="Y42" s="11"/>
      </tp>
      <tp t="s">
        <v>#N/A Invalid Security</v>
        <stp/>
        <stp>##V3_BDPV12</stp>
        <stp>TENN 0 1/2 11/30/40 equity</stp>
        <stp>last_price</stp>
        <stp>[P&amp;l movement_R.xlsm]newResult!R42C25</stp>
        <tr r="Y42" s="11"/>
      </tp>
      <tp t="s">
        <v>#N/A Invalid Security</v>
        <stp/>
        <stp>##V3_BDPV12</stp>
        <stp>DAIGR 0 3/4 09/10/30 equity</stp>
        <stp>last_price</stp>
        <stp>[P&amp;l movement_R.xlsm]newResult!R42C25</stp>
        <tr r="Y42" s="11"/>
      </tp>
      <tp t="s">
        <v>#N/A Invalid Security</v>
        <stp/>
        <stp>##V3_BDPV12</stp>
        <stp>VIEFP 6 1/8 11/25/33 equity</stp>
        <stp>last_price</stp>
        <stp>[P&amp;l movement_R.xlsm]newResult!R42C25</stp>
        <tr r="Y42" s="11"/>
      </tp>
      <tp t="s">
        <v>#N/A Invalid Security</v>
        <stp/>
        <stp>##V3_BDPV12</stp>
        <stp>EQNR 1 1/4 02/17/27</stp>
        <stp>last_price</stp>
        <stp>[P&amp;l movement_R.xlsm]newResult!R42C25</stp>
        <tr r="Y42" s="11"/>
      </tp>
      <tp t="s">
        <v>#N/A Invalid Security</v>
        <stp/>
        <stp>##V3_BDPV12</stp>
        <stp>ABNANV 4 3/4 PERP equity</stp>
        <stp>last_price</stp>
        <stp>[P&amp;l movement_R.xlsm]newResult!R42C25</stp>
        <tr r="Y42" s="11"/>
      </tp>
      <tp t="s">
        <v>#N/A Invalid Security</v>
        <stp/>
        <stp>##V3_BDPV12</stp>
        <stp>DBR 0 1/2 08/15/27</stp>
        <stp>last_price</stp>
        <stp>[P&amp;l movement_R.xlsm]newResult!R42C25</stp>
        <tr r="Y42" s="11"/>
      </tp>
      <tp t="s">
        <v>#N/A Invalid Security</v>
        <stp/>
        <stp>##V3_BDPV12</stp>
        <stp>VZ 0 7/8 03/19/32</stp>
        <stp>last_price</stp>
        <stp>[P&amp;l movement_R.xlsm]newResult!R42C25</stp>
        <tr r="Y42" s="11"/>
      </tp>
      <tp t="s">
        <v>#N/A Invalid Security</v>
        <stp/>
        <stp>##V3_BDPV12</stp>
        <stp>OMVAV 1 1/2 04/09/24 equity</stp>
        <stp>last_price</stp>
        <stp>[P&amp;l movement_R.xlsm]newResult!R42C25</stp>
        <tr r="Y42" s="11"/>
      </tp>
      <tp t="s">
        <v>#N/A Invalid Security</v>
        <stp/>
        <stp>##V3_BDPV12</stp>
        <stp>BPLN 1.231 05/08/31 equity</stp>
        <stp>last_price</stp>
        <stp>[P&amp;l movement_R.xlsm]newResult!R42C25</stp>
        <tr r="Y42" s="11"/>
      </tp>
      <tp t="s">
        <v>#N/A Invalid Security</v>
        <stp/>
        <stp>##V3_BDPV12</stp>
        <stp>EDF 5 5/8 PERP</stp>
        <stp>last_price</stp>
        <stp>[P&amp;l movement_R.xlsm]pnl!R13C15</stp>
        <tr r="O13" s="24"/>
      </tp>
      <tp t="s">
        <v>#N/A Invalid Security</v>
        <stp/>
        <stp>##V3_BDPV12</stp>
        <stp>ENIIM 2 5/8 PERP</stp>
        <stp>last_price</stp>
        <stp>[P&amp;l movement_R.xlsm]pnl!R13C15</stp>
        <tr r="O13" s="24"/>
      </tp>
      <tp t="s">
        <v>#N/A Invalid Security</v>
        <stp/>
        <stp>##V3_BDPV12</stp>
        <stp>RPZ0@EX corp</stp>
        <stp>px_last</stp>
        <stp>[P&amp;l movement_R.xlsm]pnl!R13C15</stp>
        <tr r="O13" s="24"/>
      </tp>
      <tp t="s">
        <v>#N/A Invalid Security</v>
        <stp/>
        <stp>##V3_BDPV12</stp>
        <stp>CNALN 5 1/4 04/10/75 equity</stp>
        <stp>last_price</stp>
        <stp>[P&amp;l movement_R.xlsm]newResult!R42C25</stp>
        <tr r="Y42" s="11"/>
      </tp>
      <tp t="s">
        <v>#N/A Invalid Security</v>
        <stp/>
        <stp>##V3_BDPV12</stp>
        <stp>VIEFP 4 5/8 03/30/27 equity</stp>
        <stp>last_price</stp>
        <stp>[P&amp;l movement_R.xlsm]newResult!R42C25</stp>
        <tr r="Y42" s="11"/>
      </tp>
      <tp t="s">
        <v>#N/A Invalid Security</v>
        <stp/>
        <stp>##V3_BDPV12</stp>
        <stp>TELEFO 3 3/4 PERP equity</stp>
        <stp>last_price</stp>
        <stp>[P&amp;l movement_R.xlsm]newResult!R42C25</stp>
        <tr r="Y42" s="11"/>
      </tp>
      <tp t="s">
        <v>#N/A Invalid Security</v>
        <stp/>
        <stp>##V3_BDPV12</stp>
        <stp>VIEFP 2 1/2 PERP</stp>
        <stp>last_price</stp>
        <stp>[P&amp;l movement_R.xlsm]newResult!R42C25</stp>
        <tr r="Y42" s="11"/>
      </tp>
      <tp t="s">
        <v>#N/A Invalid Security</v>
        <stp/>
        <stp>##V3_BDPV12</stp>
        <stp>TELEFO 5 7/8 PERP equity</stp>
        <stp>last_price</stp>
        <stp>[P&amp;l movement_R.xlsm]newResult!R42C25</stp>
        <tr r="Y42" s="11"/>
      </tp>
      <tp t="s">
        <v>#N/A Invalid Security</v>
        <stp/>
        <stp>##V3_BDPV12</stp>
        <stp>TELEFO 2 7/8 PERP equity</stp>
        <stp>last_price</stp>
        <stp>[P&amp;l movement_R.xlsm]newResult!R42C25</stp>
        <tr r="Y42" s="11"/>
      </tp>
      <tp t="s">
        <v>#N/A Invalid Security</v>
        <stp/>
        <stp>##V3_BDPV12</stp>
        <stp>ENGSM 1 3/8 05/05/28 equity</stp>
        <stp>last_price</stp>
        <stp>[P&amp;l movement_R.xlsm]newResult!R42C25</stp>
        <tr r="Y42" s="11"/>
      </tp>
      <tp t="s">
        <v>#N/A Invalid Security</v>
        <stp/>
        <stp>##V3_BDPV12</stp>
        <stp>DBR 4 1/4 07/04/39</stp>
        <stp>last_price</stp>
        <stp>[P&amp;l movement_R.xlsm]newResult!R42C25</stp>
        <tr r="Y42" s="11"/>
      </tp>
      <tp t="s">
        <v>#N/A Invalid Security</v>
        <stp/>
        <stp>##V3_BDPV12</stp>
        <stp>UBIIM 5 7/8 PERP</stp>
        <stp>last_price</stp>
        <stp>[P&amp;l movement_R.xlsm]newResult!R42C25</stp>
        <tr r="Y42" s="11"/>
      </tp>
      <tp t="s">
        <v>#N/A Invalid Security</v>
        <stp/>
        <stp>##V3_BDPV12</stp>
        <stp>EDF 2 7/8 PERP</stp>
        <stp>last_price</stp>
        <stp>[P&amp;l movement_R.xlsm]pnl!R13C15</stp>
        <tr r="O13" s="24"/>
      </tp>
      <tp t="s">
        <v>#N/A Invalid Security</v>
        <stp/>
        <stp>##V3_BDPV12</stp>
        <stp>ENGSM 1 1/4 02/06/25 equity</stp>
        <stp>last_price</stp>
        <stp>[P&amp;l movement_R.xlsm]newResult!R42C25</stp>
        <tr r="Y42" s="11"/>
      </tp>
      <tp t="s">
        <v>#N/A Invalid Security</v>
        <stp/>
        <stp>##V3_BDPV12</stp>
        <stp>VIEFP 1.59 01/10/28</stp>
        <stp>last_price</stp>
        <stp>[P&amp;l movement_R.xlsm]newResult!R42C25</stp>
        <tr r="Y42" s="11"/>
      </tp>
      <tp t="s">
        <v>#N/A Invalid Security</v>
        <stp/>
        <stp>##V3_BDPV12</stp>
        <stp>TOTAL 2 1/2 03/25/26 equity</stp>
        <stp>last_price</stp>
        <stp>[P&amp;l movement_R.xlsm]newResult!R42C25</stp>
        <tr r="Y42" s="11"/>
      </tp>
      <tp t="s">
        <v>#N/A Invalid Security</v>
        <stp/>
        <stp>##V3_BDPV12</stp>
        <stp>SEVFP 1 3/4 09/10/25 equity</stp>
        <stp>last_price</stp>
        <stp>[P&amp;l movement_R.xlsm]newResult!R42C25</stp>
        <tr r="Y42" s="11"/>
      </tp>
      <tp t="s">
        <v>#N/A Invalid Security</v>
        <stp/>
        <stp>##V3_BDPV12</stp>
        <stp>TOTAL 1 3/8 03/19/25 equity</stp>
        <stp>last_price</stp>
        <stp>[P&amp;l movement_R.xlsm]newResult!R42C25</stp>
        <tr r="Y42" s="11"/>
      </tp>
      <tp t="s">
        <v>#N/A Invalid Security</v>
        <stp/>
        <stp>##V3_BDPV12</stp>
        <stp>SEVFP 1 5/8 09/21/32 equity</stp>
        <stp>last_price</stp>
        <stp>[P&amp;l movement_R.xlsm]newResult!R42C25</stp>
        <tr r="Y42" s="11"/>
      </tp>
      <tp t="s">
        <v>#N/A Invalid Security</v>
        <stp/>
        <stp>##V3_BDPV12</stp>
        <stp>VW 4 1/8 11/16/38</stp>
        <stp>last_price</stp>
        <stp>[P&amp;l movement_R.xlsm]newResult!R42C25</stp>
        <tr r="Y42" s="11"/>
      </tp>
      <tp t="s">
        <v>#N/A Invalid Security</v>
        <stp/>
        <stp>##V3_BDPV12</stp>
        <stp>AKEFP 2 3/4 PERP</stp>
        <stp>last_price</stp>
        <stp>[P&amp;l movement_R.xlsm]newResult!R42C25</stp>
        <tr r="Y42" s="11"/>
      </tp>
      <tp t="s">
        <v>#N/A Invalid Security</v>
        <stp/>
        <stp>##V3_BDPV12</stp>
        <stp>ENIIM 2 5/8 PERP</stp>
        <stp>last_price</stp>
        <stp>[P&amp;l movement_R.xlsm]newResult!R42C25</stp>
        <tr r="Y42" s="11"/>
      </tp>
      <tp t="s">
        <v>#N/A Invalid Security</v>
        <stp/>
        <stp>##V3_BDPV12</stp>
        <stp>JPM 1.638 05/18/28 equity</stp>
        <stp>last_price</stp>
        <stp>[P&amp;l movement_R.xlsm]newResult!R42C25</stp>
        <tr r="Y42" s="11"/>
      </tp>
      <tp t="s">
        <v>#N/A Invalid Security</v>
        <stp/>
        <stp>##V3_BDPV12</stp>
        <stp>IBESM 2 1/4 PERP</stp>
        <stp>last_price</stp>
        <stp>[P&amp;l movement_R.xlsm]newResult!R42C25</stp>
        <tr r="Y42" s="11"/>
      </tp>
      <tp t="s">
        <v>#N/A Invalid Security</v>
        <stp/>
        <stp>##V3_BDPV12</stp>
        <stp>TELEFO 3 3/4 PERP</stp>
        <stp>last_price</stp>
        <stp>[P&amp;l movement_R.xlsm]newResult!R42C25</stp>
        <tr r="Y42" s="11"/>
      </tp>
      <tp t="s">
        <v>#N/A Invalid Security</v>
        <stp/>
        <stp>##V3_BDPV12</stp>
        <stp>VIEFP 1 1/4 04/15/28 equity</stp>
        <stp>last_price</stp>
        <stp>[P&amp;l movement_R.xlsm]newResult!R42C25</stp>
        <tr r="Y42" s="11"/>
      </tp>
      <tp t="s">
        <v>#N/A Invalid Security</v>
        <stp/>
        <stp>##V3_BDPV12</stp>
        <stp>ENGIFP 1 5/8 PERP</stp>
        <stp>last_price</stp>
        <stp>[P&amp;l movement_R.xlsm]pnl!R13C15</stp>
        <tr r="O13" s="24"/>
      </tp>
      <tp t="s">
        <v>#N/A Invalid Security</v>
        <stp/>
        <stp>##V3_BDPV12</stp>
        <stp>STEDIN 3 1/4 PERP</stp>
        <stp>last_price</stp>
        <stp>[P&amp;l movement_R.xlsm]pnl!R13C15</stp>
        <tr r="O13" s="24"/>
      </tp>
      <tp t="s">
        <v>#N/A Invalid Security</v>
        <stp/>
        <stp>##V3_BDPV12</stp>
        <stp>BPLN 1.231 05/08/31</stp>
        <stp>last_price</stp>
        <stp>[P&amp;l movement_R.xlsm]newResult!R42C25</stp>
        <tr r="Y42" s="11"/>
      </tp>
      <tp t="s">
        <v>#N/A Invalid Security</v>
        <stp/>
        <stp>##V3_BDPV12</stp>
        <stp>BPLN 0.831 11/08/27</stp>
        <stp>last_price</stp>
        <stp>[P&amp;l movement_R.xlsm]newResult!R42C25</stp>
        <tr r="Y42" s="11"/>
      </tp>
      <tp t="s">
        <v>#N/A Invalid Security</v>
        <stp/>
        <stp>##V3_BDPV12</stp>
        <stp>ENIIM 3 3/8 PERP</stp>
        <stp>last_price</stp>
        <stp>[P&amp;l movement_R.xlsm]newResult!R42C25</stp>
        <tr r="Y42" s="11"/>
      </tp>
      <tp t="s">
        <v>#N/A Invalid Security</v>
        <stp/>
        <stp>##V3_BDPV12</stp>
        <stp>BPLN 0.831 11/08/27 equity</stp>
        <stp>last_price</stp>
        <stp>[P&amp;l movement_R.xlsm]newResult!R42C25</stp>
        <tr r="Y42" s="11"/>
      </tp>
      <tp t="s">
        <v>#N/A Invalid Security</v>
        <stp/>
        <stp>##V3_BDPV12</stp>
        <stp>EDF 5 1/4 PERP</stp>
        <stp>last_price</stp>
        <stp>[P&amp;l movement_R.xlsm]pnl!R13C15</stp>
        <tr r="O13" s="24"/>
      </tp>
      <tp t="s">
        <v>#N/A Invalid Security</v>
        <stp/>
        <stp>##V3_BDPV12</stp>
        <stp>STEDIN 3 1/4 PERP</stp>
        <stp>last_price</stp>
        <stp>[P&amp;l movement_R.xlsm]newResult!R42C25</stp>
        <tr r="Y42" s="11"/>
      </tp>
      <tp t="s">
        <v>#N/A Invalid Security</v>
        <stp/>
        <stp>##V3_BDPV12</stp>
        <stp>IE00BL6XZW69@LN corp</stp>
        <stp>px_last</stp>
        <stp>[P&amp;l movement_R.xlsm]pnl!R13C15</stp>
        <tr r="O13" s="24"/>
      </tp>
      <tp t="s">
        <v>#N/A Invalid Security</v>
        <stp/>
        <stp>##V3_BDPV12</stp>
        <stp>JPM 1.638 05/18/28</stp>
        <stp>last_price</stp>
        <stp>[P&amp;l movement_R.xlsm]newResult!R42C25</stp>
        <tr r="Y42" s="11"/>
      </tp>
      <tp t="s">
        <v>#N/A Invalid Security</v>
        <stp/>
        <stp>##V3_BDPV12</stp>
        <stp>NGGLN 2 1/8 09/05/82 equity</stp>
        <stp>last_price</stp>
        <stp>[P&amp;l movement_R.xlsm]newResult!R42C25</stp>
        <tr r="Y42" s="11"/>
      </tp>
      <tp t="s">
        <v>#N/A Invalid Security</v>
        <stp/>
        <stp>##V3_BDPV12</stp>
        <stp>DBR 0 1/4 02/15/27</stp>
        <stp>last_price</stp>
        <stp>[P&amp;l movement_R.xlsm]newResult!R42C25</stp>
        <tr r="Y42" s="11"/>
      </tp>
      <tp t="s">
        <v>#N/A Invalid Security</v>
        <stp/>
        <stp>##V3_BDPV12</stp>
        <stp>ENGIFP 1 5/8 PERP</stp>
        <stp>last_price</stp>
        <stp>[P&amp;l movement_R.xlsm]newResult!R42C25</stp>
        <tr r="Y42" s="11"/>
      </tp>
      <tp t="s">
        <v>#N/A Invalid Security</v>
        <stp/>
        <stp>##V3_BDPV12</stp>
        <stp>DUZ0@EX corp</stp>
        <stp>px_last</stp>
        <stp>[P&amp;l movement_R.xlsm]pnl!R13C15</stp>
        <tr r="O13" s="24"/>
      </tp>
      <tp t="s">
        <v>#N/A Invalid Security</v>
        <stp/>
        <stp>##V3_BDPV12</stp>
        <stp>ENIIM 0 5/8 01/23/30 equity</stp>
        <stp>last_price</stp>
        <stp>[P&amp;l movement_R.xlsm]newResult!R42C25</stp>
        <tr r="Y42" s="11"/>
      </tp>
      <tp t="s">
        <v>#N/A Invalid Security</v>
        <stp/>
        <stp>##V3_BDPV12</stp>
        <stp>ENGSM 0 3/8 11/05/32 equity</stp>
        <stp>last_price</stp>
        <stp>[P&amp;l movement_R.xlsm]newResult!R42C25</stp>
        <tr r="Y42" s="11"/>
      </tp>
      <tp t="s">
        <v>#N/A Invalid Security</v>
        <stp/>
        <stp>##V3_BDPV12</stp>
        <stp>OMVAV 1 7/8 12/04/28 equity</stp>
        <stp>last_price</stp>
        <stp>[P&amp;l movement_R.xlsm]newResult!R42C25</stp>
        <tr r="Y42" s="11"/>
      </tp>
      <tp t="s">
        <v>#N/A Invalid Security</v>
        <stp/>
        <stp>##V3_BDPV12</stp>
        <stp>ABNANV 4 3/4 PERP</stp>
        <stp>last_price</stp>
        <stp>[P&amp;l movement_R.xlsm]newResult!R42C25</stp>
        <tr r="Y42" s="11"/>
      </tp>
      <tp t="s">
        <v>#N/A Invalid Security</v>
        <stp/>
        <stp>##V3_BDPV12</stp>
        <stp>ORAFP 5 3/4 PERP</stp>
        <stp>last_price</stp>
        <stp>[P&amp;l movement_R.xlsm]newResult!R42C25</stp>
        <tr r="Y42" s="11"/>
      </tp>
      <tp t="s">
        <v>#N/A Invalid Security</v>
        <stp/>
        <stp>##V3_BDPV12</stp>
        <stp>HEIBOS 3 3/8 PERP equity</stp>
        <stp>last_price</stp>
        <stp>[P&amp;l movement_R.xlsm]newResult!R42C25</stp>
        <tr r="Y42" s="11"/>
      </tp>
      <tp t="s">
        <v>#N/A Invalid Security</v>
        <stp/>
        <stp>##V3_BDPV12</stp>
        <stp>EDF 3 3/8 PERP</stp>
        <stp>last_price</stp>
        <stp>[P&amp;l movement_R.xlsm]pnl!R13C15</stp>
        <tr r="O13" s="24"/>
      </tp>
      <tp t="s">
        <v>#N/A Invalid Security</v>
        <stp/>
        <stp>##V3_BDPV12</stp>
        <stp>EDF 5 3/8 PERP</stp>
        <stp>last_price</stp>
        <stp>[P&amp;l movement_R.xlsm]pnl!R13C15</stp>
        <tr r="O13" s="24"/>
      </tp>
      <tp t="s">
        <v>#N/A Invalid Security</v>
        <stp/>
        <stp>##V3_BDPV12</stp>
        <stp>ENIIM 3 3/8 PERP</stp>
        <stp>last_price</stp>
        <stp>[P&amp;l movement_R.xlsm]pnl!R13C15</stp>
        <tr r="O13" s="24"/>
      </tp>
      <tp t="s">
        <v>#N/A Invalid Security</v>
        <stp/>
        <stp>##V3_BDPV12</stp>
        <stp>CPIPGR 4 7/8 PERP equity</stp>
        <stp>last_price</stp>
        <stp>[P&amp;l movement_R.xlsm]newResult!R42C25</stp>
        <tr r="Y42" s="11"/>
        <tr r="Y42" s="11"/>
      </tp>
    </main>
    <main first="bloomberg.rtd">
      <tp t="s">
        <v>#N/A Invalid Security</v>
        <stp/>
        <stp>##V3_BDPV12</stp>
        <stp>ITXEX534_JP_2025-12-20</stp>
        <stp>last_price</stp>
        <stp>[P&amp;l movement_R.xlsm]newResult!R42C25</stp>
        <tr r="Y42" s="11"/>
      </tp>
      <tp>
        <v>108.958</v>
        <stp/>
        <stp>##V3_BDPV12</stp>
        <stp>XS1243251375@BGN corp</stp>
        <stp>px_last</stp>
        <stp>[P&amp;l movement_R.xlsm]pnl!R13C15</stp>
        <tr r="O13" s="24"/>
      </tp>
      <tp>
        <v>110.04600000000001</v>
        <stp/>
        <stp>##V3_BDPV12</stp>
        <stp>XS1888180640@BGN corp</stp>
        <stp>px_last</stp>
        <stp>[P&amp;l movement_R.xlsm]pnl!R13C15</stp>
        <tr r="O13" s="24"/>
      </tp>
      <tp>
        <v>113.73099999999999</v>
        <stp/>
        <stp>##V3_BDPV12</stp>
        <stp>FR0011697028@BGN corp</stp>
        <stp>px_last</stp>
        <stp>[P&amp;l movement_R.xlsm]pnl!R13C15</stp>
        <tr r="O13" s="24"/>
      </tp>
      <tp>
        <v>103.69799999999999</v>
        <stp/>
        <stp>##V3_BDPV12</stp>
        <stp>XS2052320954@BGN corp</stp>
        <stp>px_last</stp>
        <stp>[P&amp;l movement_R.xlsm]pnl!R13C15</stp>
        <tr r="O13" s="24"/>
      </tp>
      <tp>
        <v>112.291</v>
        <stp/>
        <stp>##V3_BDPV12</stp>
        <stp>XS0954675129@BGN corp</stp>
        <stp>px_last</stp>
        <stp>[P&amp;l movement_R.xlsm]pnl!R13C15</stp>
        <tr r="O13" s="24"/>
      </tp>
      <tp>
        <v>102.965</v>
        <stp/>
        <stp>##V3_BDPV12</stp>
        <stp>XS1572349865@BGN corp</stp>
        <stp>px_last</stp>
        <stp>[P&amp;l movement_R.xlsm]pnl!R13C15</stp>
        <tr r="O13" s="24"/>
      </tp>
      <tp>
        <v>100.399</v>
        <stp/>
        <stp>##V3_BDPV12</stp>
        <stp>XS2077670003@BGN corp</stp>
        <stp>px_last</stp>
        <stp>[P&amp;l movement_R.xlsm]pnl!R13C15</stp>
        <tr r="O13" s="24"/>
      </tp>
      <tp>
        <v>104.117</v>
        <stp/>
        <stp>##V3_BDPV12</stp>
        <stp>FR0013252061@BGN corp</stp>
        <stp>px_last</stp>
        <stp>[P&amp;l movement_R.xlsm]pnl!R13C15</stp>
        <tr r="O13" s="24"/>
      </tp>
      <tp>
        <v>108.205</v>
        <stp/>
        <stp>##V3_BDPV12</stp>
        <stp>XS1190624038@BGN corp</stp>
        <stp>px_last</stp>
        <stp>[P&amp;l movement_R.xlsm]pnl!R13C15</stp>
        <tr r="O13" s="24"/>
      </tp>
      <tp>
        <v>105.098</v>
        <stp/>
        <stp>##V3_BDPV12</stp>
        <stp>XS1413581205@BGN corp</stp>
        <stp>px_last</stp>
        <stp>[P&amp;l movement_R.xlsm]pnl!R13C15</stp>
        <tr r="O13" s="24"/>
      </tp>
      <tp>
        <v>104.517</v>
        <stp/>
        <stp>##V3_BDPV12</stp>
        <stp>XS2195190876@BGN corp</stp>
        <stp>px_last</stp>
        <stp>[P&amp;l movement_R.xlsm]pnl!R13C15</stp>
        <tr r="O13" s="24"/>
      </tp>
      <tp>
        <v>108.142</v>
        <stp/>
        <stp>##V3_BDPV12</stp>
        <stp>XS2051660509@BGN corp</stp>
        <stp>px_last</stp>
        <stp>[P&amp;l movement_R.xlsm]pnl!R13C15</stp>
        <tr r="O13" s="24"/>
      </tp>
      <tp>
        <v>105.989</v>
        <stp/>
        <stp>##V3_BDPV12</stp>
        <stp>XS2152058868@BGN corp</stp>
        <stp>px_last</stp>
        <stp>[P&amp;l movement_R.xlsm]pnl!R13C15</stp>
        <tr r="O13" s="24"/>
      </tp>
      <tp>
        <v>100.815</v>
        <stp/>
        <stp>##V3_BDPV12</stp>
        <stp>XS1982704824@BGN corp</stp>
        <stp>px_last</stp>
        <stp>[P&amp;l movement_R.xlsm]pnl!R13C15</stp>
        <tr r="O13" s="24"/>
      </tp>
      <tp>
        <v>109.81</v>
        <stp/>
        <stp>##V3_BDPV12</stp>
        <stp>XS1152343668@BGN corp</stp>
        <stp>px_last</stp>
        <stp>[P&amp;l movement_R.xlsm]pnl!R13C15</stp>
        <tr r="O13" s="24"/>
      </tp>
      <tp>
        <v>0.89634999999999998</v>
        <stp/>
        <stp>##V3_BDPV12</stp>
        <stp>RPZ0 Curncy</stp>
        <stp>last_price</stp>
        <stp>[P&amp;l movement_R.xlsm]newResult!R42C25</stp>
        <tr r="Y42" s="11"/>
      </tp>
      <tp>
        <v>106.376</v>
        <stp/>
        <stp>##V3_BDPV12</stp>
        <stp>XS2196317742@BGN corp</stp>
        <stp>px_last</stp>
        <stp>[P&amp;l movement_R.xlsm]pnl!R13C15</stp>
        <tr r="O13" s="24"/>
      </tp>
      <tp>
        <v>103.66500000000001</v>
        <stp/>
        <stp>##V3_BDPV12</stp>
        <stp>XS1713462403@BGN corp</stp>
        <stp>px_last</stp>
        <stp>[P&amp;l movement_R.xlsm]pnl!R13C15</stp>
        <tr r="O13" s="24"/>
      </tp>
      <tp>
        <v>123.383</v>
        <stp/>
        <stp>##V3_BDPV12</stp>
        <stp>BE0002466416@BGN corp</stp>
        <stp>px_last</stp>
        <stp>[P&amp;l movement_R.xlsm]pnl!R13C15</stp>
        <tr r="O13" s="24"/>
      </tp>
      <tp>
        <v>101.574</v>
        <stp/>
        <stp>##V3_BDPV12</stp>
        <stp>DE000A289N78@BGN corp</stp>
        <stp>px_last</stp>
        <stp>[P&amp;l movement_R.xlsm]pnl!R13C15</stp>
        <tr r="O13" s="24"/>
      </tp>
      <tp>
        <v>107.42400000000001</v>
        <stp/>
        <stp>##V3_BDPV12</stp>
        <stp>XS1493328477@BGN corp</stp>
        <stp>px_last</stp>
        <stp>[P&amp;l movement_R.xlsm]pnl!R13C15</stp>
        <tr r="O13" s="24"/>
      </tp>
      <tp>
        <v>127.508</v>
        <stp/>
        <stp>##V3_BDPV12</stp>
        <stp>XS1721422902@BGN corp</stp>
        <stp>px_last</stp>
        <stp>[P&amp;l movement_R.xlsm]pnl!R13C15</stp>
        <tr r="O13" s="24"/>
      </tp>
      <tp>
        <v>101.854</v>
        <stp/>
        <stp>##V3_BDPV12</stp>
        <stp>XS2010036874@BGN corp</stp>
        <stp>px_last</stp>
        <stp>[P&amp;l movement_R.xlsm]pnl!R13C15</stp>
        <tr r="O13" s="24"/>
      </tp>
      <tp>
        <v>108.371</v>
        <stp/>
        <stp>##V3_BDPV12</stp>
        <stp>FR0013507704@BGN corp</stp>
        <stp>px_last</stp>
        <stp>[P&amp;l movement_R.xlsm]pnl!R13C15</stp>
        <tr r="O13" s="24"/>
      </tp>
      <tp>
        <v>115.35299999999999</v>
        <stp/>
        <stp>##V3_BDPV12</stp>
        <stp>XS0969572204@BGN corp</stp>
        <stp>px_last</stp>
        <stp>[P&amp;l movement_R.xlsm]pnl!R13C15</stp>
        <tr r="O13" s="24"/>
      </tp>
      <tp>
        <v>108.08499999999999</v>
        <stp/>
        <stp>##V3_BDPV12</stp>
        <stp>XS1756296965@BGN corp</stp>
        <stp>px_last</stp>
        <stp>[P&amp;l movement_R.xlsm]pnl!R13C15</stp>
        <tr r="O13" s="24"/>
      </tp>
      <tp>
        <v>99.754999999999995</v>
        <stp/>
        <stp>##V3_BDPV12</stp>
        <stp>XS2069101868@BGN corp</stp>
        <stp>px_last</stp>
        <stp>[P&amp;l movement_R.xlsm]pnl!R13C15</stp>
        <tr r="O13" s="24"/>
      </tp>
      <tp>
        <v>108.56100000000001</v>
        <stp/>
        <stp>##V3_BDPV12</stp>
        <stp>XS1956051145@BGN corp</stp>
        <stp>px_last</stp>
        <stp>[P&amp;l movement_R.xlsm]pnl!R13C15</stp>
        <tr r="O13" s="24"/>
      </tp>
      <tp>
        <v>106.286</v>
        <stp/>
        <stp>##V3_BDPV12</stp>
        <stp>XS2193663619@BGN corp</stp>
        <stp>px_last</stp>
        <stp>[P&amp;l movement_R.xlsm]pnl!R13C15</stp>
        <tr r="O13" s="24"/>
      </tp>
      <tp>
        <v>113.014</v>
        <stp/>
        <stp>##V3_BDPV12</stp>
        <stp>XS1888179550@BGN corp</stp>
        <stp>px_last</stp>
        <stp>[P&amp;l movement_R.xlsm]pnl!R13C15</stp>
        <tr r="O13" s="24"/>
      </tp>
      <tp>
        <v>116.42700000000001</v>
        <stp/>
        <stp>##V3_BDPV12</stp>
        <stp>XS2004381245@BGN corp</stp>
        <stp>px_last</stp>
        <stp>[P&amp;l movement_R.xlsm]pnl!R13C15</stp>
        <tr r="O13" s="24"/>
      </tp>
      <tp t="s">
        <v>#N/A Invalid Security</v>
        <stp/>
        <stp>##V3_BDPV12</stp>
        <stp>VOD 7 04/04/79 equity</stp>
        <stp>last_price</stp>
        <stp>[P&amp;l movement_R.xlsm]newResult!R42C25</stp>
        <tr r="Y42" s="11"/>
      </tp>
      <tp t="s">
        <v>#N/A Invalid Security</v>
        <stp/>
        <stp>##V3_BDPV12</stp>
        <stp>BMW 0 04/14/23 equity</stp>
        <stp>last_price</stp>
        <stp>[P&amp;l movement_R.xlsm]newResult!R42C25</stp>
        <tr r="Y42" s="11"/>
      </tp>
      <tp>
        <v>111.61799999999999</v>
        <stp/>
        <stp>##V3_BDPV12</stp>
        <stp>XS1050461034@BGN corp</stp>
        <stp>px_last</stp>
        <stp>[P&amp;l movement_R.xlsm]pnl!R13C15</stp>
        <tr r="O13" s="24"/>
      </tp>
      <tp>
        <v>104.364</v>
        <stp/>
        <stp>##V3_BDPV12</stp>
        <stp>XS1293571425@BGN corp</stp>
        <stp>px_last</stp>
        <stp>[P&amp;l movement_R.xlsm]pnl!R13C15</stp>
        <tr r="O13" s="24"/>
      </tp>
      <tp>
        <v>119.798</v>
        <stp/>
        <stp>##V3_BDPV12</stp>
        <stp>XS2199351375@BGN corp</stp>
        <stp>px_last</stp>
        <stp>[P&amp;l movement_R.xlsm]pnl!R13C15</stp>
        <tr r="O13" s="24"/>
      </tp>
      <tp>
        <v>105.596</v>
        <stp/>
        <stp>##V3_BDPV12</stp>
        <stp>XS1797138960@BGN corp</stp>
        <stp>px_last</stp>
        <stp>[P&amp;l movement_R.xlsm]pnl!R13C15</stp>
        <tr r="O13" s="24"/>
      </tp>
      <tp>
        <v>108.88</v>
        <stp/>
        <stp>##V3_BDPV12</stp>
        <stp>XS1615079974@BGN corp</stp>
        <stp>px_last</stp>
        <stp>[P&amp;l movement_R.xlsm]pnl!R13C15</stp>
        <tr r="O13" s="24"/>
      </tp>
      <tp>
        <v>106.127</v>
        <stp/>
        <stp>##V3_BDPV12</stp>
        <stp>XS1177459531@BGN corp</stp>
        <stp>px_last</stp>
        <stp>[P&amp;l movement_R.xlsm]pnl!R13C15</stp>
        <tr r="O13" s="24"/>
      </tp>
      <tp>
        <v>104.018</v>
        <stp/>
        <stp>##V3_BDPV12</stp>
        <stp>XS1572343744@BGN corp</stp>
        <stp>px_last</stp>
        <stp>[P&amp;l movement_R.xlsm]pnl!R13C15</stp>
        <tr r="O13" s="24"/>
      </tp>
      <tp>
        <v>104.74299999999999</v>
        <stp/>
        <stp>##V3_BDPV12</stp>
        <stp>FR0013534336@BGN corp</stp>
        <stp>px_last</stp>
        <stp>[P&amp;l movement_R.xlsm]pnl!R13C15</stp>
        <tr r="O13" s="24"/>
      </tp>
      <tp>
        <v>101.236</v>
        <stp/>
        <stp>##V3_BDPV12</stp>
        <stp>FR0013452620@BGN corp</stp>
        <stp>px_last</stp>
        <stp>[P&amp;l movement_R.xlsm]pnl!R13C15</stp>
        <tr r="O13" s="24"/>
      </tp>
      <tp>
        <v>102.063</v>
        <stp/>
        <stp>##V3_BDPV12</stp>
        <stp>XS2010039548@BGN corp</stp>
        <stp>px_last</stp>
        <stp>[P&amp;l movement_R.xlsm]pnl!R13C15</stp>
        <tr r="O13" s="24"/>
      </tp>
      <tp>
        <v>113.485</v>
        <stp/>
        <stp>##V3_BDPV12</stp>
        <stp>FR0013283140@BGN corp</stp>
        <stp>px_last</stp>
        <stp>[P&amp;l movement_R.xlsm]pnl!R13C15</stp>
        <tr r="O13" s="24"/>
      </tp>
      <tp>
        <v>108.36799999999999</v>
        <stp/>
        <stp>##V3_BDPV12</stp>
        <stp>XS1219499032@BGN corp</stp>
        <stp>px_last</stp>
        <stp>[P&amp;l movement_R.xlsm]pnl!R13C15</stp>
        <tr r="O13" s="24"/>
      </tp>
      <tp>
        <v>135.38999999999999</v>
        <stp/>
        <stp>##V3_BDPV12</stp>
        <stp>OEZ0 Comdty</stp>
        <stp>last_price</stp>
        <stp>[P&amp;l movement_R.xlsm]newResult!R42C25</stp>
        <tr r="Y42" s="11"/>
        <tr r="Y42" s="11"/>
      </tp>
      <tp>
        <v>103.066</v>
        <stp/>
        <stp>##V3_BDPV12</stp>
        <stp>XS1493322355@BGN corp</stp>
        <stp>px_last</stp>
        <stp>[P&amp;l movement_R.xlsm]pnl!R13C15</stp>
        <tr r="O13" s="24"/>
      </tp>
      <tp>
        <v>102.98399999999999</v>
        <stp/>
        <stp>##V3_BDPV12</stp>
        <stp>XS1493320656@BGN corp</stp>
        <stp>px_last</stp>
        <stp>[P&amp;l movement_R.xlsm]pnl!R13C15</stp>
        <tr r="O13" s="24"/>
      </tp>
      <tp>
        <v>104.52500000000001</v>
        <stp/>
        <stp>##V3_BDPV12</stp>
        <stp>XS1498442521@BGN corp</stp>
        <stp>px_last</stp>
        <stp>[P&amp;l movement_R.xlsm]pnl!R13C15</stp>
        <tr r="O13" s="24"/>
      </tp>
      <tp>
        <v>100.669</v>
        <stp/>
        <stp>##V3_BDPV12</stp>
        <stp>XS1216020161@BGN corp</stp>
        <stp>px_last</stp>
        <stp>[P&amp;l movement_R.xlsm]pnl!R13C15</stp>
        <tr r="O13" s="24"/>
      </tp>
      <tp>
        <v>106.869</v>
        <stp/>
        <stp>##V3_BDPV12</stp>
        <stp>XS1405763019@BGN corp</stp>
        <stp>px_last</stp>
        <stp>[P&amp;l movement_R.xlsm]pnl!R13C15</stp>
        <tr r="O13" s="24"/>
      </tp>
      <tp>
        <v>117.18300000000001</v>
        <stp/>
        <stp>##V3_BDPV12</stp>
        <stp>XS2154419118@BGN corp</stp>
        <stp>px_last</stp>
        <stp>[P&amp;l movement_R.xlsm]pnl!R13C15</stp>
        <tr r="O13" s="24"/>
      </tp>
      <tp t="s">
        <v>#N/A N/A</v>
        <stp/>
        <stp>##V3_BDPV12</stp>
        <stp>XS2262065159@BGN corp</stp>
        <stp>px_last</stp>
        <stp>[P&amp;l movement_R.xlsm]pnl!R13C15</stp>
        <tr r="O13" s="24"/>
      </tp>
      <tp>
        <v>103.718</v>
        <stp/>
        <stp>##V3_BDPV12</stp>
        <stp>FR0013245859@BGN corp</stp>
        <stp>px_last</stp>
        <stp>[P&amp;l movement_R.xlsm]pnl!R13C15</stp>
        <tr r="O13" s="24"/>
      </tp>
      <tp t="s">
        <v>#N/A Invalid Security</v>
        <stp/>
        <stp>##V3_BDPV12</stp>
        <stp>SRGIM 1 09/12/34 equity</stp>
        <stp>last_price</stp>
        <stp>[P&amp;l movement_R.xlsm]newResult!R42C25</stp>
        <tr r="Y42" s="11"/>
      </tp>
      <tp>
        <v>226.14</v>
        <stp/>
        <stp>##V3_BDPV12</stp>
        <stp>UBZ0 Comdty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KPN 2 PERP</stp>
        <stp>last_price</stp>
        <stp>[P&amp;l movement_R.xlsm]pnl!R13C15</stp>
        <tr r="O13" s="24"/>
      </tp>
      <tp>
        <v>103.51600000000001</v>
        <stp/>
        <stp>##V3_BDPV12</stp>
        <stp>XS1596739364@BGN corp</stp>
        <stp>px_last</stp>
        <stp>[P&amp;l movement_R.xlsm]pnl!R13C15</stp>
        <tr r="O13" s="24"/>
      </tp>
      <tp>
        <v>103.631</v>
        <stp/>
        <stp>##V3_BDPV12</stp>
        <stp>FR0013534351@BGN corp</stp>
        <stp>px_last</stp>
        <stp>[P&amp;l movement_R.xlsm]pnl!R13C15</stp>
        <tr r="O13" s="24"/>
      </tp>
      <tp>
        <v>114.754</v>
        <stp/>
        <stp>##V3_BDPV12</stp>
        <stp>XS1048529041@BGN corp</stp>
        <stp>px_last</stp>
        <stp>[P&amp;l movement_R.xlsm]pnl!R13C15</stp>
        <tr r="O13" s="24"/>
      </tp>
      <tp>
        <v>100.649</v>
        <stp/>
        <stp>##V3_BDPV12</stp>
        <stp>XS1195201931@BGN corp</stp>
        <stp>px_last</stp>
        <stp>[P&amp;l movement_R.xlsm]pnl!R13C15</stp>
        <tr r="O13" s="24"/>
      </tp>
      <tp>
        <v>101.21</v>
        <stp/>
        <stp>##V3_BDPV12</stp>
        <stp>XS1044811591@BGN corp</stp>
        <stp>px_last</stp>
        <stp>[P&amp;l movement_R.xlsm]pnl!R13C15</stp>
        <tr r="O13" s="24"/>
      </tp>
      <tp>
        <v>102.765</v>
        <stp/>
        <stp>##V3_BDPV12</stp>
        <stp>XS1141810991@BGN corp</stp>
        <stp>px_last</stp>
        <stp>[P&amp;l movement_R.xlsm]pnl!R13C15</stp>
        <tr r="O13" s="24"/>
      </tp>
      <tp>
        <v>106.111</v>
        <stp/>
        <stp>##V3_BDPV12</stp>
        <stp>FR0012602761@BGN corp</stp>
        <stp>px_last</stp>
        <stp>[P&amp;l movement_R.xlsm]pnl!R13C15</stp>
        <tr r="O13" s="24"/>
      </tp>
      <tp>
        <v>101.218</v>
        <stp/>
        <stp>##V3_BDPV12</stp>
        <stp>FR0013431244@BGN corp</stp>
        <stp>px_last</stp>
        <stp>[P&amp;l movement_R.xlsm]pnl!R13C15</stp>
        <tr r="O13" s="24"/>
      </tp>
      <tp>
        <v>110.465</v>
        <stp/>
        <stp>##V3_BDPV12</stp>
        <stp>FR0013248523@BGN corp</stp>
        <stp>px_last</stp>
        <stp>[P&amp;l movement_R.xlsm]pnl!R13C15</stp>
        <tr r="O13" s="24"/>
      </tp>
      <tp>
        <v>102.8</v>
        <stp/>
        <stp>##V3_BDPV12</stp>
        <stp>XS1550134602@BGN corp</stp>
        <stp>px_last</stp>
        <stp>[P&amp;l movement_R.xlsm]pnl!R13C15</stp>
        <tr r="O13" s="24"/>
      </tp>
      <tp>
        <v>99.454999999999998</v>
        <stp/>
        <stp>##V3_BDPV12</stp>
        <stp>XS2114413565@BGN corp</stp>
        <stp>px_last</stp>
        <stp>[P&amp;l movement_R.xlsm]pnl!R13C15</stp>
        <tr r="O13" s="24"/>
      </tp>
      <tp>
        <v>104.996</v>
        <stp/>
        <stp>##V3_BDPV12</stp>
        <stp>XS2020608548@BGN corp</stp>
        <stp>px_last</stp>
        <stp>[P&amp;l movement_R.xlsm]pnl!R13C15</stp>
        <tr r="O13" s="24"/>
      </tp>
      <tp>
        <v>109.291</v>
        <stp/>
        <stp>##V3_BDPV12</stp>
        <stp>XS1713463559@BGN corp</stp>
        <stp>px_last</stp>
        <stp>[P&amp;l movement_R.xlsm]pnl!R13C15</stp>
        <tr r="O13" s="24"/>
      </tp>
      <tp>
        <v>110.754</v>
        <stp/>
        <stp>##V3_BDPV12</stp>
        <stp>FR0012663169@BGN corp</stp>
        <stp>px_last</stp>
        <stp>[P&amp;l movement_R.xlsm]pnl!R13C15</stp>
        <tr r="O13" s="24"/>
      </tp>
      <tp>
        <v>102.81399999999999</v>
        <stp/>
        <stp>##V3_BDPV12</stp>
        <stp>XS2242929532@CBBT corp</stp>
        <stp>px_last</stp>
        <stp>[P&amp;l movement_R.xlsm]pnl!R13C15</stp>
        <tr r="O13" s="24"/>
      </tp>
      <tp>
        <v>103.514</v>
        <stp/>
        <stp>##V3_BDPV12</stp>
        <stp>XS2242931603@CBBT corp</stp>
        <stp>px_last</stp>
        <stp>[P&amp;l movement_R.xlsm]pnl!R13C15</stp>
        <tr r="O13" s="24"/>
      </tp>
      <tp t="s">
        <v>#N/A Invalid Security</v>
        <stp/>
        <stp>##V3_BDPV12</stp>
        <stp>DBHNGR 1.6 PERP</stp>
        <stp>last_price</stp>
        <stp>[P&amp;l movement_R.xlsm]newResult!R42C25</stp>
        <tr r="Y42" s="11"/>
      </tp>
      <tp>
        <v>104.79300000000001</v>
        <stp/>
        <stp>##V3_BDPV12</stp>
        <stp>XS1705553250@BGN corp</stp>
        <stp>px_last</stp>
        <stp>[P&amp;l movement_R.xlsm]pnl!R13C15</stp>
        <tr r="O13" s="24"/>
      </tp>
      <tp>
        <v>102.3</v>
        <stp/>
        <stp>##V3_BDPV12</stp>
        <stp>XS2225204010@BGN corp</stp>
        <stp>px_last</stp>
        <stp>[P&amp;l movement_R.xlsm]pnl!R13C15</stp>
        <tr r="O13" s="24"/>
      </tp>
      <tp>
        <v>91.183999999999997</v>
        <stp/>
        <stp>##V3_BDPV12</stp>
        <stp>FR0013457157@BGN corp</stp>
        <stp>px_last</stp>
        <stp>[P&amp;l movement_R.xlsm]pnl!R13C15</stp>
        <tr r="O13" s="24"/>
      </tp>
      <tp>
        <v>102.245</v>
        <stp/>
        <stp>##V3_BDPV12</stp>
        <stp>XS2225157424@BGN corp</stp>
        <stp>px_last</stp>
        <stp>[P&amp;l movement_R.xlsm]pnl!R13C15</stp>
        <tr r="O13" s="24"/>
      </tp>
      <tp>
        <v>101.849</v>
        <stp/>
        <stp>##V3_BDPV12</stp>
        <stp>XS2224439971@BGN corp</stp>
        <stp>px_last</stp>
        <stp>[P&amp;l movement_R.xlsm]pnl!R13C15</stp>
        <tr r="O13" s="24"/>
      </tp>
      <tp>
        <v>121.26300000000001</v>
        <stp/>
        <stp>##V3_BDPV12</stp>
        <stp>XS1294343337@BGN corp</stp>
        <stp>px_last</stp>
        <stp>[P&amp;l movement_R.xlsm]pnl!R13C15</stp>
        <tr r="O13" s="24"/>
      </tp>
      <tp>
        <v>102.46</v>
        <stp/>
        <stp>##V3_BDPV12</stp>
        <stp>XS1139688268@BGN corp</stp>
        <stp>px_last</stp>
        <stp>[P&amp;l movement_R.xlsm]pnl!R13C15</stp>
        <tr r="O13" s="24"/>
      </tp>
      <tp>
        <v>101.508</v>
        <stp/>
        <stp>##V3_BDPV12</stp>
        <stp>XS2242728041@BGN corp</stp>
        <stp>px_last</stp>
        <stp>[P&amp;l movement_R.xlsm]pnl!R13C15</stp>
        <tr r="O13" s="24"/>
      </tp>
      <tp>
        <v>101.845</v>
        <stp/>
        <stp>##V3_BDPV12</stp>
        <stp>XS1829217428@BGN corp</stp>
        <stp>px_last</stp>
        <stp>[P&amp;l movement_R.xlsm]pnl!R13C15</stp>
        <tr r="O13" s="24"/>
      </tp>
      <tp>
        <v>113.81100000000001</v>
        <stp/>
        <stp>##V3_BDPV12</stp>
        <stp>FR0011401751@BGN corp</stp>
        <stp>px_last</stp>
        <stp>[P&amp;l movement_R.xlsm]pnl!R13C15</stp>
        <tr r="O13" s="24"/>
      </tp>
      <tp t="s">
        <v>#N/A N/A</v>
        <stp/>
        <stp>##V3_BDPV12</stp>
        <stp>XS2262065233@BGN corp</stp>
        <stp>px_last</stp>
        <stp>[P&amp;l movement_R.xlsm]pnl!R13C15</stp>
        <tr r="O13" s="24"/>
      </tp>
      <tp>
        <v>109.583</v>
        <stp/>
        <stp>##V3_BDPV12</stp>
        <stp>FR0013246733@BGN corp</stp>
        <stp>px_last</stp>
        <stp>[P&amp;l movement_R.xlsm]pnl!R13C15</stp>
        <tr r="O13" s="24"/>
      </tp>
      <tp>
        <v>105.066</v>
        <stp/>
        <stp>##V3_BDPV12</stp>
        <stp>XS2195190520@BGN corp</stp>
        <stp>px_last</stp>
        <stp>[P&amp;l movement_R.xlsm]pnl!R13C15</stp>
        <tr r="O13" s="24"/>
      </tp>
      <tp>
        <v>103.254</v>
        <stp/>
        <stp>##V3_BDPV12</stp>
        <stp>XS2105110329@BGN corp</stp>
        <stp>px_last</stp>
        <stp>[P&amp;l movement_R.xlsm]pnl!R13C15</stp>
        <tr r="O13" s="24"/>
      </tp>
      <tp>
        <v>114.56</v>
        <stp/>
        <stp>##V3_BDPV12</stp>
        <stp>XS1917590959@BGN corp</stp>
        <stp>px_last</stp>
        <stp>[P&amp;l movement_R.xlsm]pnl!R13C15</stp>
        <tr r="O13" s="24"/>
      </tp>
      <tp>
        <v>100.742</v>
        <stp/>
        <stp>##V3_BDPV12</stp>
        <stp>XS2047500769@BGN corp</stp>
        <stp>px_last</stp>
        <stp>[P&amp;l movement_R.xlsm]pnl!R13C15</stp>
        <tr r="O13" s="24"/>
      </tp>
      <tp>
        <v>106.639</v>
        <stp/>
        <stp>##V3_BDPV12</stp>
        <stp>XS1957442541@BGN corp</stp>
        <stp>px_last</stp>
        <stp>[P&amp;l movement_R.xlsm]pnl!R13C15</stp>
        <tr r="O13" s="24"/>
      </tp>
      <tp>
        <v>109.49</v>
        <stp/>
        <stp>##V3_BDPV12</stp>
        <stp>US05565QDV77@BGN corp</stp>
        <stp>px_last</stp>
        <stp>[P&amp;l movement_R.xlsm]pnl!R13C15</stp>
        <tr r="O13" s="24"/>
      </tp>
      <tp>
        <v>101.965</v>
        <stp/>
        <stp>##V3_BDPV12</stp>
        <stp>TTRX LN equity</stp>
        <stp>last_price</stp>
        <stp>[P&amp;l movement_R.xlsm]newResult!R42C25</stp>
        <tr r="Y42" s="11"/>
      </tp>
      <tp>
        <v>-2.4398196754661967</v>
        <stp/>
        <stp>##V3_BDPV12</stp>
        <stp>ITXEB534 CBBT Curncy</stp>
        <stp>upfront_last_realtime</stp>
        <stp>[P&amp;l movement_R.xlsm]newResult!R29C5</stp>
        <tr r="E29" s="11"/>
      </tp>
      <tp>
        <v>111.979</v>
        <stp/>
        <stp>##V3_BDPV12</stp>
        <stp>XS1882681452@BGN corp</stp>
        <stp>px_last</stp>
        <stp>[P&amp;l movement_R.xlsm]pnl!R13C15</stp>
        <tr r="O13" s="24"/>
      </tp>
      <tp>
        <v>101.97</v>
        <stp/>
        <stp>##V3_BDPV12</stp>
        <stp>XS1795406575@BGN corp</stp>
        <stp>px_last</stp>
        <stp>[P&amp;l movement_R.xlsm]pnl!R13C15</stp>
        <tr r="O13" s="24"/>
      </tp>
      <tp>
        <v>105.496</v>
        <stp/>
        <stp>##V3_BDPV12</stp>
        <stp>XS2209023402@BGN corp</stp>
        <stp>px_last</stp>
        <stp>[P&amp;l movement_R.xlsm]pnl!R13C15</stp>
        <tr r="O13" s="24"/>
      </tp>
      <tp>
        <v>109.081</v>
        <stp/>
        <stp>##V3_BDPV12</stp>
        <stp>XS2238783778@BGN corp</stp>
        <stp>px_last</stp>
        <stp>[P&amp;l movement_R.xlsm]pnl!R13C15</stp>
        <tr r="O13" s="24"/>
      </tp>
      <tp>
        <v>99.498999999999995</v>
        <stp/>
        <stp>##V3_BDPV12</stp>
        <stp>XS2056371334@BGN corp</stp>
        <stp>px_last</stp>
        <stp>[P&amp;l movement_R.xlsm]pnl!R13C15</stp>
        <tr r="O13" s="24"/>
      </tp>
      <tp>
        <v>104.38500000000001</v>
        <stp/>
        <stp>##V3_BDPV12</stp>
        <stp>FR0013248507@BGN corp</stp>
        <stp>px_last</stp>
        <stp>[P&amp;l movement_R.xlsm]pnl!R13C15</stp>
        <tr r="O13" s="24"/>
      </tp>
      <tp>
        <v>105.956</v>
        <stp/>
        <stp>##V3_BDPV12</stp>
        <stp>FR0013519071@BGN corp</stp>
        <stp>px_last</stp>
        <stp>[P&amp;l movement_R.xlsm]pnl!R13C15</stp>
        <tr r="O13" s="24"/>
      </tp>
      <tp>
        <v>112.75700000000001</v>
        <stp/>
        <stp>##V3_BDPV12</stp>
        <stp>FR0013504677@BGN corp</stp>
        <stp>px_last</stp>
        <stp>[P&amp;l movement_R.xlsm]pnl!R13C15</stp>
        <tr r="O13" s="24"/>
      </tp>
      <tp>
        <v>103.76900000000001</v>
        <stp/>
        <stp>##V3_BDPV12</stp>
        <stp>XS1527758145@BGN corp</stp>
        <stp>px_last</stp>
        <stp>[P&amp;l movement_R.xlsm]pnl!R13C15</stp>
        <tr r="O13" s="24"/>
      </tp>
      <tp>
        <v>106.26900000000001</v>
        <stp/>
        <stp>##V3_BDPV12</stp>
        <stp>XS2156506854@BGN corp</stp>
        <stp>px_last</stp>
        <stp>[P&amp;l movement_R.xlsm]pnl!R13C15</stp>
        <tr r="O13" s="24"/>
      </tp>
      <tp>
        <v>104.688</v>
        <stp/>
        <stp>##V3_BDPV12</stp>
        <stp>FR0013396512@BGN corp</stp>
        <stp>px_last</stp>
        <stp>[P&amp;l movement_R.xlsm]pnl!R13C15</stp>
        <tr r="O13" s="24"/>
      </tp>
      <tp>
        <v>101.42100000000001</v>
        <stp/>
        <stp>##V3_BDPV12</stp>
        <stp>FR0013210408@BGN corp</stp>
        <stp>px_last</stp>
        <stp>[P&amp;l movement_R.xlsm]pnl!R13C15</stp>
        <tr r="O13" s="24"/>
      </tp>
      <tp>
        <v>49.970999999999997</v>
        <stp/>
        <stp>##V3_BDPV12</stp>
        <stp>ITXEB534_JP_2025-12-20 equity</stp>
        <stp>last_price</stp>
        <stp>[P&amp;l movement_R.xlsm]newResult!R42C25</stp>
        <tr r="Y42" s="11"/>
        <tr r="Y42" s="11"/>
      </tp>
      <tp>
        <v>286.22800000000001</v>
        <stp/>
        <stp>##V3_BDPV12</stp>
        <stp>ITXEX534_JP_2025-12-20 equity</stp>
        <stp>last_price</stp>
        <stp>[P&amp;l movement_R.xlsm]newResult!R42C25</stp>
        <tr r="Y42" s="11"/>
      </tp>
      <tp>
        <v>118.289</v>
        <stp/>
        <stp>##V3_BDPV12</stp>
        <stp>ITXEU534_JP_2025-12-20 equity</stp>
        <stp>last_price</stp>
        <stp>[P&amp;l movement_R.xlsm]newResult!R42C25</stp>
        <tr r="Y42" s="11"/>
      </tp>
      <tp>
        <v>63.643000000000001</v>
        <stp/>
        <stp>##V3_BDPV12</stp>
        <stp>ITXES534_JP_2025-12-20 equity</stp>
        <stp>last_price</stp>
        <stp>[P&amp;l movement_R.xlsm]newResult!R42C25</stp>
        <tr r="Y42" s="11"/>
      </tp>
      <tp>
        <v>105.18</v>
        <stp/>
        <stp>##V3_BDPV12</stp>
        <stp>FR0013425170@BGN corp</stp>
        <stp>px_last</stp>
        <stp>[P&amp;l movement_R.xlsm]pnl!R13C15</stp>
        <tr r="O13" s="24"/>
      </tp>
      <tp>
        <v>106.294</v>
        <stp/>
        <stp>##V3_BDPV12</stp>
        <stp>XS1396767854@BGN corp</stp>
        <stp>px_last</stp>
        <stp>[P&amp;l movement_R.xlsm]pnl!R13C15</stp>
        <tr r="O13" s="24"/>
      </tp>
      <tp>
        <v>100.857</v>
        <stp/>
        <stp>##V3_BDPV12</stp>
        <stp>FR0013444775@BGN corp</stp>
        <stp>px_last</stp>
        <stp>[P&amp;l movement_R.xlsm]pnl!R13C15</stp>
        <tr r="O13" s="24"/>
      </tp>
      <tp>
        <v>107.551</v>
        <stp/>
        <stp>##V3_BDPV12</stp>
        <stp>US456837AR44@BGN corp</stp>
        <stp>px_last</stp>
        <stp>[P&amp;l movement_R.xlsm]pnl!R13C15</stp>
        <tr r="O13" s="24"/>
      </tp>
      <tp>
        <v>106.70699999999999</v>
        <stp/>
        <stp>##V3_BDPV12</stp>
        <stp>XS1571333811@BGN corp</stp>
        <stp>px_last</stp>
        <stp>[P&amp;l movement_R.xlsm]pnl!R13C15</stp>
        <tr r="O13" s="24"/>
      </tp>
      <tp>
        <v>105.452</v>
        <stp/>
        <stp>##V3_BDPV12</stp>
        <stp>XS1396367911@BGN corp</stp>
        <stp>px_last</stp>
        <stp>[P&amp;l movement_R.xlsm]pnl!R13C15</stp>
        <tr r="O13" s="24"/>
      </tp>
      <tp>
        <v>101.226</v>
        <stp/>
        <stp>##V3_BDPV12</stp>
        <stp>XS1658012023@BGN corp</stp>
        <stp>px_last</stp>
        <stp>[P&amp;l movement_R.xlsm]pnl!R13C15</stp>
        <tr r="O13" s="24"/>
      </tp>
      <tp>
        <v>106.404</v>
        <stp/>
        <stp>##V3_BDPV12</stp>
        <stp>XS2186001314@BGN corp</stp>
        <stp>px_last</stp>
        <stp>[P&amp;l movement_R.xlsm]pnl!R13C15</stp>
        <tr r="O13" s="24"/>
      </tp>
      <tp>
        <v>102.371</v>
        <stp/>
        <stp>##V3_BDPV12</stp>
        <stp>XS2010045511@BGN corp</stp>
        <stp>px_last</stp>
        <stp>[P&amp;l movement_R.xlsm]pnl!R13C15</stp>
        <tr r="O13" s="24"/>
      </tp>
      <tp>
        <v>105.151</v>
        <stp/>
        <stp>##V3_BDPV12</stp>
        <stp>XS2115092012@BGN corp</stp>
        <stp>px_last</stp>
        <stp>[P&amp;l movement_R.xlsm]pnl!R13C15</stp>
        <tr r="O13" s="24"/>
      </tp>
      <tp>
        <v>117.57599999999999</v>
        <stp/>
        <stp>##V3_BDPV12</stp>
        <stp>XS1548475968@BGN corp</stp>
        <stp>px_last</stp>
        <stp>[P&amp;l movement_R.xlsm]pnl!R13C15</stp>
        <tr r="O13" s="24"/>
      </tp>
      <tp>
        <v>107.839</v>
        <stp/>
        <stp>##V3_BDPV12</stp>
        <stp>XS1981060624@BGN corp</stp>
        <stp>px_last</stp>
        <stp>[P&amp;l movement_R.xlsm]pnl!R13C15</stp>
        <tr r="O13" s="24"/>
      </tp>
      <tp>
        <v>115.223</v>
        <stp/>
        <stp>##V3_BDPV12</stp>
        <stp>XS1048519679@BGN corp</stp>
        <stp>px_last</stp>
        <stp>[P&amp;l movement_R.xlsm]pnl!R13C15</stp>
        <tr r="O13" s="24"/>
      </tp>
      <tp>
        <v>106.532</v>
        <stp/>
        <stp>##V3_BDPV12</stp>
        <stp>US05565QDU94@BGN corp</stp>
        <stp>px_last</stp>
        <stp>[P&amp;l movement_R.xlsm]pnl!R13C15</stp>
        <tr r="O13" s="24"/>
      </tp>
      <tp>
        <v>121.73399999999999</v>
        <stp/>
        <stp>##V3_BDPV12</stp>
        <stp>US92857WBQ24@BGN corp</stp>
        <stp>px_last</stp>
        <stp>[P&amp;l movement_R.xlsm]pnl!R13C15</stp>
        <tr r="O13" s="24"/>
      </tp>
      <tp>
        <v>109.384</v>
        <stp/>
        <stp>##V3_BDPV12</stp>
        <stp>XS1222590488@BGN corp</stp>
        <stp>px_last</stp>
        <stp>[P&amp;l movement_R.xlsm]pnl!R13C15</stp>
        <tr r="O13" s="24"/>
      </tp>
      <tp>
        <v>106.486</v>
        <stp/>
        <stp>##V3_BDPV12</stp>
        <stp>XS2178957077@BGN corp</stp>
        <stp>px_last</stp>
        <stp>[P&amp;l movement_R.xlsm]pnl!R13C15</stp>
        <tr r="O13" s="24"/>
      </tp>
      <tp>
        <v>103.056</v>
        <stp/>
        <stp>##V3_BDPV12</stp>
        <stp>XS1490960942@BGN corp</stp>
        <stp>px_last</stp>
        <stp>[P&amp;l movement_R.xlsm]pnl!R13C15</stp>
        <tr r="O13" s="24"/>
      </tp>
      <tp>
        <v>114.41800000000001</v>
        <stp/>
        <stp>##V3_BDPV12</stp>
        <stp>XS0903532090@BGN corp</stp>
        <stp>px_last</stp>
        <stp>[P&amp;l movement_R.xlsm]pnl!R13C15</stp>
        <tr r="O13" s="24"/>
      </tp>
      <tp>
        <v>103.086</v>
        <stp/>
        <stp>##V3_BDPV12</stp>
        <stp>FR0013428489@BGN corp</stp>
        <stp>px_last</stp>
        <stp>[P&amp;l movement_R.xlsm]pnl!R13C15</stp>
        <tr r="O13" s="24"/>
      </tp>
      <tp>
        <v>105.512</v>
        <stp/>
        <stp>##V3_BDPV12</stp>
        <stp>XS2156787090@BGN corp</stp>
        <stp>px_last</stp>
        <stp>[P&amp;l movement_R.xlsm]pnl!R13C15</stp>
        <tr r="O13" s="24"/>
      </tp>
      <tp>
        <v>109.902</v>
        <stp/>
        <stp>##V3_BDPV12</stp>
        <stp>XS1115502988@BGN corp</stp>
        <stp>px_last</stp>
        <stp>[P&amp;l movement_R.xlsm]pnl!R13C15</stp>
        <tr r="O13" s="24"/>
      </tp>
      <tp>
        <v>103.654</v>
        <stp/>
        <stp>##V3_BDPV12</stp>
        <stp>FR0013476595@BGN corp</stp>
        <stp>px_last</stp>
        <stp>[P&amp;l movement_R.xlsm]pnl!R13C15</stp>
        <tr r="O13" s="24"/>
      </tp>
      <tp>
        <v>109.372</v>
        <stp/>
        <stp>##V3_BDPV12</stp>
        <stp>XS1411401083@BGN corp</stp>
        <stp>px_last</stp>
        <stp>[P&amp;l movement_R.xlsm]pnl!R13C15</stp>
        <tr r="O13" s="24"/>
      </tp>
      <tp>
        <v>104.35899999999999</v>
        <stp/>
        <stp>##V3_BDPV12</stp>
        <stp>XS1014987355@BGN corp</stp>
        <stp>px_last</stp>
        <stp>[P&amp;l movement_R.xlsm]pnl!R13C15</stp>
        <tr r="O13" s="24"/>
      </tp>
      <tp t="s">
        <v>#N/A Invalid Security</v>
        <stp/>
        <stp>##V3_BDPV12</stp>
        <stp>IREIM 1 07/01/30 equity</stp>
        <stp>last_price</stp>
        <stp>[P&amp;l movement_R.xlsm]newResult!R42C25</stp>
        <tr r="Y42" s="11"/>
      </tp>
      <tp>
        <v>102.054</v>
        <stp/>
        <stp>##V3_BDPV12</stp>
        <stp>XS1974787480@BGN corp</stp>
        <stp>px_last</stp>
        <stp>[P&amp;l movement_R.xlsm]pnl!R13C15</stp>
        <tr r="O13" s="24"/>
      </tp>
      <tp t="s">
        <v>#N/A Invalid Security</v>
        <stp/>
        <stp>##V3_BDPV12</stp>
        <stp>ITXES534_JP_2025-12-20</stp>
        <stp>last_price</stp>
        <stp>[P&amp;l movement_R.xlsm]newResult!R42C25</stp>
        <tr r="Y42" s="11"/>
      </tp>
      <tp t="s">
        <v>#N/A Invalid Security</v>
        <stp/>
        <stp>##V3_BDPV12</stp>
        <stp>DBR 0 08/15/30</stp>
        <stp>last_price</stp>
        <stp>[P&amp;l movement_R.xlsm]newResult!R42C25</stp>
        <tr r="Y42" s="11"/>
      </tp>
      <tp>
        <v>100.233</v>
        <stp/>
        <stp>##V3_BDPV12</stp>
        <stp>XS2082429890@BGN corp</stp>
        <stp>px_last</stp>
        <stp>[P&amp;l movement_R.xlsm]pnl!R13C15</stp>
        <tr r="O13" s="24"/>
      </tp>
      <tp>
        <v>105.34399999999999</v>
        <stp/>
        <stp>##V3_BDPV12</stp>
        <stp>XS1788973573@BGN corp</stp>
        <stp>px_last</stp>
        <stp>[P&amp;l movement_R.xlsm]pnl!R13C15</stp>
        <tr r="O13" s="24"/>
      </tp>
      <tp>
        <v>160.6</v>
        <stp/>
        <stp>##V3_BDPV12</stp>
        <stp>XS0162869076@BGN corp</stp>
        <stp>px_last</stp>
        <stp>[P&amp;l movement_R.xlsm]pnl!R13C15</stp>
        <tr r="O13" s="24"/>
      </tp>
      <tp>
        <v>103.157</v>
        <stp/>
        <stp>##V3_BDPV12</stp>
        <stp>XS2244941147@BGN corp</stp>
        <stp>px_last</stp>
        <stp>[P&amp;l movement_R.xlsm]pnl!R13C15</stp>
        <tr r="O13" s="24"/>
      </tp>
      <tp>
        <v>105.337</v>
        <stp/>
        <stp>##V3_BDPV12</stp>
        <stp>XS1590787799@BGN corp</stp>
        <stp>px_last</stp>
        <stp>[P&amp;l movement_R.xlsm]pnl!R13C15</stp>
        <tr r="O13" s="24"/>
      </tp>
      <tp>
        <v>100.76300000000001</v>
        <stp/>
        <stp>##V3_BDPV12</stp>
        <stp>XS1196713298@BGN corp</stp>
        <stp>px_last</stp>
        <stp>[P&amp;l movement_R.xlsm]pnl!R13C15</stp>
        <tr r="O13" s="24"/>
      </tp>
      <tp>
        <v>143.00299999999999</v>
        <stp/>
        <stp>##V3_BDPV12</stp>
        <stp>XS1910948675@BGN corp</stp>
        <stp>px_last</stp>
        <stp>[P&amp;l movement_R.xlsm]pnl!R13C15</stp>
        <tr r="O13" s="24"/>
      </tp>
      <tp t="s">
        <v>#N/A Invalid Security</v>
        <stp/>
        <stp>##V3_BDPV12</stp>
        <stp>BMW 0 04/14/23</stp>
        <stp>last_price</stp>
        <stp>[P&amp;l movement_R.xlsm]newResult!R42C25</stp>
        <tr r="Y42" s="11"/>
      </tp>
      <tp t="s">
        <v>#N/A Invalid Security</v>
        <stp/>
        <stp>##V3_BDPV12</stp>
        <stp>EDF 5 PERP</stp>
        <stp>last_price</stp>
        <stp>[P&amp;l movement_R.xlsm]pnl!R13C15</stp>
        <tr r="O13" s="24"/>
      </tp>
      <tp>
        <v>104.58199999999999</v>
        <stp/>
        <stp>##V3_BDPV12</stp>
        <stp>XS1992931508@BGN corp</stp>
        <stp>px_last</stp>
        <stp>[P&amp;l movement_R.xlsm]pnl!R13C15</stp>
        <tr r="O13" s="24"/>
      </tp>
      <tp>
        <v>170.73400000000001</v>
        <stp/>
        <stp>##V3_BDPV12</stp>
        <stp>FR0010033381@BGN corp</stp>
        <stp>px_last</stp>
        <stp>[P&amp;l movement_R.xlsm]pnl!R13C15</stp>
        <tr r="O13" s="24"/>
      </tp>
      <tp>
        <v>101.566</v>
        <stp/>
        <stp>##V3_BDPV12</stp>
        <stp>XS2033351995@BGN corp</stp>
        <stp>px_last</stp>
        <stp>[P&amp;l movement_R.xlsm]pnl!R13C15</stp>
        <tr r="O13" s="24"/>
      </tp>
      <tp>
        <v>108.435</v>
        <stp/>
        <stp>##V3_BDPV12</stp>
        <stp>XS2052321093@BGN corp</stp>
        <stp>px_last</stp>
        <stp>[P&amp;l movement_R.xlsm]pnl!R13C15</stp>
        <tr r="O13" s="24"/>
      </tp>
      <tp>
        <v>124.68899999999999</v>
        <stp/>
        <stp>##V3_BDPV12</stp>
        <stp>BE6320935271@BGN corp</stp>
        <stp>px_last</stp>
        <stp>[P&amp;l movement_R.xlsm]pnl!R13C15</stp>
        <tr r="O13" s="24"/>
      </tp>
      <tp>
        <v>105.691</v>
        <stp/>
        <stp>##V3_BDPV12</stp>
        <stp>XS2154347293@BGN corp</stp>
        <stp>px_last</stp>
        <stp>[P&amp;l movement_R.xlsm]pnl!R13C15</stp>
        <tr r="O13" s="24"/>
      </tp>
      <tp>
        <v>107.88500000000001</v>
        <stp/>
        <stp>##V3_BDPV12</stp>
        <stp>XS1992927902@BGN corp</stp>
        <stp>px_last</stp>
        <stp>[P&amp;l movement_R.xlsm]pnl!R13C15</stp>
        <tr r="O13" s="24"/>
      </tp>
      <tp>
        <v>106.715</v>
        <stp/>
        <stp>##V3_BDPV12</stp>
        <stp>FR0013152899@BGN corp</stp>
        <stp>px_last</stp>
        <stp>[P&amp;l movement_R.xlsm]pnl!R13C15</stp>
        <tr r="O13" s="24"/>
      </tp>
      <tp t="s">
        <v>#N/A Invalid Security</v>
        <stp/>
        <stp>##V3_BDPV12</stp>
        <stp>ITXEU534_JP_2025-12-20</stp>
        <stp>last_price</stp>
        <stp>[P&amp;l movement_R.xlsm]newResult!R42C25</stp>
        <tr r="Y42" s="11"/>
      </tp>
      <tp>
        <v>105.75700000000001</v>
        <stp/>
        <stp>##V3_BDPV12</stp>
        <stp>XS2197356186@BGN corp</stp>
        <stp>px_last</stp>
        <stp>[P&amp;l movement_R.xlsm]pnl!R13C15</stp>
        <tr r="O13" s="24"/>
      </tp>
      <tp>
        <v>106.70399999999999</v>
        <stp/>
        <stp>##V3_BDPV12</stp>
        <stp>XS1216019585@BGN corp</stp>
        <stp>px_last</stp>
        <stp>[P&amp;l movement_R.xlsm]pnl!R13C15</stp>
        <tr r="O13" s="24"/>
      </tp>
      <tp>
        <v>108.343</v>
        <stp/>
        <stp>##V3_BDPV12</stp>
        <stp>XS1888180996@BGN corp</stp>
        <stp>px_last</stp>
        <stp>[P&amp;l movement_R.xlsm]pnl!R13C15</stp>
        <tr r="O13" s="24"/>
      </tp>
      <tp>
        <v>100.47199999999999</v>
        <stp/>
        <stp>##V3_BDPV12</stp>
        <stp>XS2102355588@BGN corp</stp>
        <stp>px_last</stp>
        <stp>[P&amp;l movement_R.xlsm]pnl!R13C15</stp>
        <tr r="O13" s="24"/>
      </tp>
      <tp>
        <v>109.73699999999999</v>
        <stp/>
        <stp>##V3_BDPV12</stp>
        <stp>PTEDPKOM0034@BGN corp</stp>
        <stp>px_last</stp>
        <stp>[P&amp;l movement_R.xlsm]pnl!R13C15</stp>
        <tr r="O13" s="24"/>
      </tp>
      <tp t="s">
        <v>#N/A Invalid Security</v>
        <stp/>
        <stp>##V3_BDPV12</stp>
        <stp>VOD 3 08/27/80 equity</stp>
        <stp>last_price</stp>
        <stp>[P&amp;l movement_R.xlsm]newResult!R42C25</stp>
        <tr r="Y42" s="11"/>
      </tp>
      <tp t="s">
        <v>#N/A Invalid Security</v>
        <stp/>
        <stp>##V3_BDPV12</stp>
        <stp>DBR 0 08/15/30 equity</stp>
        <stp>last_price</stp>
        <stp>[P&amp;l movement_R.xlsm]newResult!R42C25</stp>
        <tr r="Y42" s="11"/>
      </tp>
      <tp>
        <v>100.253</v>
        <stp/>
        <stp>##V3_BDPV12</stp>
        <stp>XS1677911825@BGN corp</stp>
        <stp>px_last</stp>
        <stp>[P&amp;l movement_R.xlsm]pnl!R13C15</stp>
        <tr r="O13" s="24"/>
      </tp>
      <tp>
        <v>104.563</v>
        <stp/>
        <stp>##V3_BDPV12</stp>
        <stp>XS1693822634@BGN corp</stp>
        <stp>px_last</stp>
        <stp>[P&amp;l movement_R.xlsm]pnl!R13C15</stp>
        <tr r="O13" s="24"/>
      </tp>
      <tp>
        <v>107.631</v>
        <stp/>
        <stp>##V3_BDPV12</stp>
        <stp>XS1139315581@BGN corp</stp>
        <stp>px_last</stp>
        <stp>[P&amp;l movement_R.xlsm]pnl!R13C15</stp>
        <tr r="O13" s="24"/>
      </tp>
      <tp>
        <v>105.608</v>
        <stp/>
        <stp>##V3_BDPV12</stp>
        <stp>BE6321529396@BGN corp</stp>
        <stp>px_last</stp>
        <stp>[P&amp;l movement_R.xlsm]pnl!R13C15</stp>
        <tr r="O13" s="24"/>
      </tp>
      <tp>
        <v>103.467</v>
        <stp/>
        <stp>##V3_BDPV12</stp>
        <stp>XS0647298883@BGN corp</stp>
        <stp>px_last</stp>
        <stp>[P&amp;l movement_R.xlsm]pnl!R13C15</stp>
        <tr r="O13" s="24"/>
      </tp>
      <tp>
        <v>105.304</v>
        <stp/>
        <stp>##V3_BDPV12</stp>
        <stp>XS2238783422@CBBT corp</stp>
        <stp>px_last</stp>
        <stp>[P&amp;l movement_R.xlsm]pnl!R13C15</stp>
        <tr r="O13" s="24"/>
      </tp>
      <tp>
        <v>-2.5498988166933452</v>
        <stp/>
        <stp>##V3_BDPV12</stp>
        <stp>ITXEB534 Curncy</stp>
        <stp>px_eval</stp>
        <stp>[P&amp;l movement_R.xlsm]newResult!R27C5</stp>
        <tr r="E27" s="11"/>
      </tp>
      <tp>
        <v>108.26900000000001</v>
        <stp/>
        <stp>##V3_BDPV12</stp>
        <stp>FR0012949923@BGN corp</stp>
        <stp>px_last</stp>
        <stp>[P&amp;l movement_R.xlsm]pnl!R13C15</stp>
        <tr r="O13" s="24"/>
      </tp>
      <tp>
        <v>110.783</v>
        <stp/>
        <stp>##V3_BDPV12</stp>
        <stp>XS1403388694@BGN corp</stp>
        <stp>px_last</stp>
        <stp>[P&amp;l movement_R.xlsm]pnl!R13C15</stp>
        <tr r="O13" s="24"/>
      </tp>
      <tp>
        <v>103.218</v>
        <stp/>
        <stp>##V3_BDPV12</stp>
        <stp>FR0013394681@BGN corp</stp>
        <stp>px_last</stp>
        <stp>[P&amp;l movement_R.xlsm]pnl!R13C15</stp>
        <tr r="O13" s="24"/>
      </tp>
      <tp>
        <v>99.293000000000006</v>
        <stp/>
        <stp>##V3_BDPV12</stp>
        <stp>PTEDPLOM0017@BGN corp</stp>
        <stp>px_last</stp>
        <stp>[P&amp;l movement_R.xlsm]pnl!R13C15</stp>
        <tr r="O13" s="24"/>
      </tp>
      <tp t="s">
        <v>#N/A Invalid Security</v>
        <stp/>
        <stp>##V3_BDPV12</stp>
        <stp>IBM 1.2 02/11/40 equity</stp>
        <stp>last_price</stp>
        <stp>[P&amp;l movement_R.xlsm]newResult!R42C25</stp>
        <tr r="Y42" s="11"/>
      </tp>
      <tp t="s">
        <v>#N/A Invalid Security</v>
        <stp/>
        <stp>##V3_BDPV12</stp>
        <stp>VOD 3 08/27/80</stp>
        <stp>last_price</stp>
        <stp>[P&amp;l movement_R.xlsm]newResult!R42C25</stp>
        <tr r="Y42" s="11"/>
      </tp>
      <tp>
        <v>1.1873499999999999</v>
        <stp/>
        <stp>##V3_BDPV12</stp>
        <stp>ECZ0 Curncy</stp>
        <stp>last_price</stp>
        <stp>[P&amp;l movement_R.xlsm]newResult!R42C25</stp>
        <tr r="Y42" s="11"/>
      </tp>
      <tp>
        <v>112.315</v>
        <stp/>
        <stp>##V3_BDPV12</stp>
        <stp>DUZ0 Comdty</stp>
        <stp>last_price</stp>
        <stp>[P&amp;l movement_R.xlsm]newResult!R42C25</stp>
        <tr r="Y42" s="11"/>
      </tp>
      <tp t="s">
        <v>#N/A Invalid Security</v>
        <stp/>
        <stp>##V3_BDPV12</stp>
        <stp>TELEFO 3 PERP</stp>
        <stp>last_price</stp>
        <stp>[P&amp;l movement_R.xlsm]newResult!R42C25</stp>
        <tr r="Y42" s="11"/>
      </tp>
      <tp t="s">
        <v>#N/A Invalid Security</v>
        <stp/>
        <stp>##V3_BDPV12</stp>
        <stp>CNALN 3 04/10/76 equity</stp>
        <stp>last_price</stp>
        <stp>[P&amp;l movement_R.xlsm]newResult!R42C25</stp>
        <tr r="Y42" s="11"/>
      </tp>
      <tp t="s">
        <v>#N/A Invalid Security</v>
        <stp/>
        <stp>##V3_BDPV12</stp>
        <stp>TELEFO 3 PERP equity</stp>
        <stp>last_price</stp>
        <stp>[P&amp;l movement_R.xlsm]newResult!R42C25</stp>
        <tr r="Y42" s="11"/>
      </tp>
      <tp t="s">
        <v>#N/A Invalid Security</v>
        <stp/>
        <stp>##V3_BDPV12</stp>
        <stp>FR0014000NZ4@ corp</stp>
        <stp>last_price</stp>
        <stp>[P&amp;l movement_R.xlsm]newResult!R42C25</stp>
        <tr r="Y42" s="11"/>
      </tp>
      <tp t="s">
        <v>#N/A Invalid Security</v>
        <stp/>
        <stp>##V3_BDPV12</stp>
        <stp>FR0014000NZ4@ corp</stp>
        <stp>last_price</stp>
        <stp>[P&amp;l movement_R.xlsm]newResult!R42C14</stp>
        <tr r="N42" s="11"/>
      </tp>
      <tp t="s">
        <v>#N/A Invalid Security</v>
        <stp/>
        <stp>##V3_BDPV12</stp>
        <stp>DE0001102424@ corp</stp>
        <stp>last_price</stp>
        <stp>[P&amp;l movement_R.xlsm]newResult!R42C25</stp>
        <tr r="Y42" s="11"/>
      </tp>
      <tp t="s">
        <v>#N/A Invalid Security</v>
        <stp/>
        <stp>##V3_BDPV12</stp>
        <stp>DE0001102424@ corp</stp>
        <stp>last_price</stp>
        <stp>[P&amp;l movement_R.xlsm]newResult!R42C14</stp>
        <tr r="N42" s="11"/>
      </tp>
      <tp t="s">
        <v>#N/A Invalid Security</v>
        <stp/>
        <stp>##V3_BDPV12</stp>
        <stp>CT413383_251220_TRS1@ corp</stp>
        <stp>last_price</stp>
        <stp>[P&amp;l movement_R.xlsm]newResult!R42C25</stp>
        <tr r="Y42" s="11"/>
      </tp>
      <tp t="s">
        <v>#N/A Invalid Security</v>
        <stp/>
        <stp>##V3_BDPV12</stp>
        <stp>CT413383_251220_TRS1@ corp</stp>
        <stp>last_price</stp>
        <stp>[P&amp;l movement_R.xlsm]newResult!R42C14</stp>
        <tr r="N42" s="11"/>
      </tp>
      <tp t="s">
        <v>#N/A Invalid Security</v>
        <stp/>
        <stp>##V3_BDPV12</stp>
        <stp>MT7000016820@ corp</stp>
        <stp>last_price</stp>
        <stp>[P&amp;l movement_R.xlsm]newResult!R42C25</stp>
        <tr r="Y42" s="11"/>
      </tp>
      <tp t="s">
        <v>#N/A Invalid Security</v>
        <stp/>
        <stp>##V3_BDPV12</stp>
        <stp>MT7000016820@ corp</stp>
        <stp>last_price</stp>
        <stp>[P&amp;l movement_R.xlsm]newResult!R42C14</stp>
        <tr r="N42" s="11"/>
      </tp>
      <tp t="s">
        <v>#N/A Invalid Security</v>
        <stp/>
        <stp>##V3_BDPV12</stp>
        <stp>ITXEB534_JP_2025-12-20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VOD 7 04/04/79</stp>
        <stp>last_price</stp>
        <stp>[P&amp;l movement_R.xlsm]newResult!R42C25</stp>
        <tr r="Y42" s="11"/>
      </tp>
      <tp t="s">
        <v>#N/A Invalid Security</v>
        <stp/>
        <stp>##V3_BDPV12</stp>
        <stp>DBHNGR 1.6 PERP equity</stp>
        <stp>last_price</stp>
        <stp>[P&amp;l movement_R.xlsm]newResult!R42C25</stp>
        <tr r="Y42" s="11"/>
      </tp>
      <tp t="s">
        <v>#N/A Invalid Security</v>
        <stp/>
        <stp>##V3_BDPV12</stp>
        <stp>TELEFO 3 PERP</stp>
        <stp>last_price</stp>
        <stp>[P&amp;l movement_R.xlsm]pnl!R13C15</stp>
        <tr r="O13" s="24"/>
      </tp>
      <tp>
        <v>50.050049999999999</v>
        <stp/>
        <stp>##V3_BDPV12</stp>
        <stp>ITXEB534@ corp</stp>
        <stp>px_last</stp>
        <stp>[P&amp;l movement_R.xlsm]pnl!R13C15</stp>
        <tr r="O13" s="24"/>
        <tr r="O13" s="24"/>
      </tp>
      <tp>
        <v>118.8856</v>
        <stp/>
        <stp>##V3_BDPV12</stp>
        <stp>ITXEU534@ corp</stp>
        <stp>px_last</stp>
        <stp>[P&amp;l movement_R.xlsm]pnl!R13C15</stp>
        <tr r="O13" s="24"/>
      </tp>
      <tp>
        <v>63.785420000000002</v>
        <stp/>
        <stp>##V3_BDPV12</stp>
        <stp>ITXES534@ corp</stp>
        <stp>px_last</stp>
        <stp>[P&amp;l movement_R.xlsm]pnl!R13C15</stp>
        <tr r="O13" s="24"/>
      </tp>
      <tp t="s">
        <v>#N/A Invalid Security</v>
        <stp/>
        <stp>##V3_BDPV12</stp>
        <stp>DE000A289FK7@ corp</stp>
        <stp>last_price</stp>
        <stp>[P&amp;l movement_R.xlsm]newResult!R42C14</stp>
        <tr r="N42" s="11"/>
      </tp>
      <tp t="s">
        <v>#N/A Invalid Security</v>
        <stp/>
        <stp>##V3_BDPV12</stp>
        <stp>DE000A289FK7@ corp</stp>
        <stp>last_price</stp>
        <stp>[P&amp;l movement_R.xlsm]newResult!R42C25</stp>
        <tr r="Y42" s="11"/>
      </tp>
      <tp t="s">
        <v>#N/A Invalid Security</v>
        <stp/>
        <stp>##V3_BDPV12</stp>
        <stp>SSELN 3.74 PERP equity</stp>
        <stp>last_price</stp>
        <stp>[P&amp;l movement_R.xlsm]newResult!R42C25</stp>
        <tr r="Y42" s="11"/>
      </tp>
      <tp t="s">
        <v>#N/A Invalid Security</v>
        <stp/>
        <stp>##V3_BDPV12</stp>
        <stp>SEVFP 1 04/03/25 equity</stp>
        <stp>last_price</stp>
        <stp>[P&amp;l movement_R.xlsm]newResult!R42C25</stp>
        <tr r="Y42" s="11"/>
      </tp>
      <tp t="s">
        <v>#N/A Invalid Security</v>
        <stp/>
        <stp>##V3_BDPV12</stp>
        <stp>IBESM 1 03/07/24 equity</stp>
        <stp>last_price</stp>
        <stp>[P&amp;l movement_R.xlsm]newResult!R42C25</stp>
        <tr r="Y42" s="11"/>
      </tp>
      <tp t="s">
        <v>#N/A Invalid Security</v>
        <stp/>
        <stp>##V3_BDPV12</stp>
        <stp>VOD 4.2 10/03/78 equity</stp>
        <stp>last_price</stp>
        <stp>[P&amp;l movement_R.xlsm]newResult!R42C25</stp>
        <tr r="Y42" s="11"/>
      </tp>
      <tp>
        <v>175.24</v>
        <stp/>
        <stp>##V3_BDPV12</stp>
        <stp>RXZ0 Comdty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EDPPL 2 04/22/25 equity</stp>
        <stp>last_price</stp>
        <stp>[P&amp;l movement_R.xlsm]newResult!R42C25</stp>
        <tr r="Y42" s="11"/>
      </tp>
      <tp>
        <v>50.007930000000002</v>
        <stp/>
        <stp>##V3_BDPV12</stp>
        <stp>ITXEB534 Curncy</stp>
        <stp>px_last</stp>
        <stp>[P&amp;l movement_R.xlsm]newResult!R25C5</stp>
        <tr r="E25" s="11"/>
      </tp>
      <tp t="s">
        <v>#N/A Invalid Security</v>
        <stp/>
        <stp>##V3_BDPV12</stp>
        <stp>NGGLN 2 1/8 09/05/82</stp>
        <stp>last_price</stp>
        <stp>[P&amp;l movement_R.xlsm]pnl!R13C15</stp>
        <tr r="O13" s="24"/>
      </tp>
      <tp t="s">
        <v>#N/A Invalid Security</v>
        <stp/>
        <stp>##V3_BDPV12</stp>
        <stp>ENIIM 0 5/8 09/19/24</stp>
        <stp>last_price</stp>
        <stp>[P&amp;l movement_R.xlsm]pnl!R13C15</stp>
        <tr r="O13" s="24"/>
      </tp>
      <tp t="s">
        <v>#N/A Invalid Security</v>
        <stp/>
        <stp>##V3_BDPV12</stp>
        <stp>ENELIM 6 5/8 09/15/76 equity</stp>
        <stp>last_price</stp>
        <stp>[P&amp;l movement_R.xlsm]newResult!R42C25</stp>
        <tr r="Y42" s="11"/>
      </tp>
      <tp t="s">
        <v>#N/A Invalid Security</v>
        <stp/>
        <stp>##V3_BDPV12</stp>
        <stp>ARRFP 1 1/2 01/25/30</stp>
        <stp>last_price</stp>
        <stp>[P&amp;l movement_R.xlsm]newResult!R42C25</stp>
        <tr r="Y42" s="11"/>
      </tp>
      <tp t="s">
        <v>#N/A Invalid Security</v>
        <stp/>
        <stp>##V3_BDPV12</stp>
        <stp>LXSGR 4 1/2 12/06/76</stp>
        <stp>last_price</stp>
        <stp>[P&amp;l movement_R.xlsm]newResult!R42C25</stp>
        <tr r="Y42" s="11"/>
      </tp>
      <tp t="s">
        <v>#N/A Invalid Security</v>
        <stp/>
        <stp>##V3_BDPV12</stp>
        <stp xml:space="preserve"> equity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DBOERS 1 1/4 06/16/47</stp>
        <stp>last_price</stp>
        <stp>[P&amp;l movement_R.xlsm]pnl!R13C15</stp>
        <tr r="O13" s="24"/>
      </tp>
      <tp t="s">
        <v>#N/A Invalid Security</v>
        <stp/>
        <stp>##V3_BDPV12</stp>
        <stp>ELIATB 0 7/8 04/28/30 equity</stp>
        <stp>last_price</stp>
        <stp>[P&amp;l movement_R.xlsm]newResult!R42C25</stp>
        <tr r="Y42" s="11"/>
      </tp>
      <tp t="s">
        <v>#N/A Invalid Security</v>
        <stp/>
        <stp>##V3_BDPV12</stp>
        <stp>TOTAL 1.535 05/31/39</stp>
        <stp>last_price</stp>
        <stp>[P&amp;l movement_R.xlsm]newResult!R42C25</stp>
        <tr r="Y42" s="11"/>
      </tp>
      <tp t="s">
        <v>#N/A Invalid Security</v>
        <stp/>
        <stp>##V3_BDPV12</stp>
        <stp>JAPTOB 2 7/8 10/07/83</stp>
        <stp>last_price</stp>
        <stp>[P&amp;l movement_R.xlsm]newResult!R42C25</stp>
        <tr r="Y42" s="11"/>
      </tp>
      <tp t="s">
        <v>#N/A Invalid Security</v>
        <stp/>
        <stp>##V3_BDPV12</stp>
        <stp>JAPTOB 2 3/8 04/07/81</stp>
        <stp>last_price</stp>
        <stp>[P&amp;l movement_R.xlsm]newResult!R42C25</stp>
        <tr r="Y42" s="11"/>
      </tp>
      <tp t="s">
        <v>#N/A Invalid Security</v>
        <stp/>
        <stp>##V3_BDPV12</stp>
        <stp>VIEFP 0.664 01/15/31</stp>
        <stp>last_price</stp>
        <stp>[P&amp;l movement_R.xlsm]pnl!R13C15</stp>
        <tr r="O13" s="24"/>
      </tp>
      <tp t="s">
        <v>#N/A Invalid Security</v>
        <stp/>
        <stp>##V3_BDPV12</stp>
        <stp>TENN 2.995 PERP</stp>
        <stp>last_price</stp>
        <stp>[P&amp;l movement_R.xlsm]newResult!R42C25</stp>
        <tr r="Y42" s="11"/>
      </tp>
      <tp t="s">
        <v>#N/A Invalid Security</v>
        <stp/>
        <stp>##V3_BDPV12</stp>
        <stp>BACR 7 1/4 PERP</stp>
        <stp>last_price</stp>
        <stp>[P&amp;l movement_R.xlsm]newResult!R42C25</stp>
        <tr r="Y42" s="11"/>
      </tp>
      <tp t="s">
        <v>#N/A Invalid Security</v>
        <stp/>
        <stp>##V3_BDPV12</stp>
        <stp>AKEFP 2 3/4 PERP equity</stp>
        <stp>last_price</stp>
        <stp>[P&amp;l movement_R.xlsm]newResult!R42C25</stp>
        <tr r="Y42" s="11"/>
      </tp>
      <tp t="s">
        <v>#N/A Invalid Security</v>
        <stp/>
        <stp>##V3_BDPV12</stp>
        <stp>TELEFO 5 7/8 02/14/33 equity</stp>
        <stp>last_price</stp>
        <stp>[P&amp;l movement_R.xlsm]newResult!R42C25</stp>
        <tr r="Y42" s="11"/>
      </tp>
      <tp t="s">
        <v>#N/A Invalid Security</v>
        <stp/>
        <stp>##V3_BDPV12</stp>
        <stp>ABIBB 2 7/8 04/02/32</stp>
        <stp>last_price</stp>
        <stp>[P&amp;l movement_R.xlsm]pnl!R13C15</stp>
        <tr r="O13" s="24"/>
      </tp>
      <tp t="s">
        <v>#N/A Invalid Security</v>
        <stp/>
        <stp>##V3_BDPV12</stp>
        <stp>TOTAL 0.696 05/31/28</stp>
        <stp>last_price</stp>
        <stp>[P&amp;l movement_R.xlsm]newResult!R42C25</stp>
        <tr r="Y42" s="11"/>
      </tp>
      <tp t="s">
        <v>#N/A Invalid Security</v>
        <stp/>
        <stp>##V3_BDPV12</stp>
        <stp>SANTAN 1 5/8 10/22/30 equity</stp>
        <stp>last_price</stp>
        <stp>[P&amp;l movement_R.xlsm]newResult!R42C25</stp>
        <tr r="Y42" s="11"/>
      </tp>
      <tp t="s">
        <v>#N/A Invalid Security</v>
        <stp/>
        <stp>##V3_BDPV12</stp>
        <stp>TELIAS 1 3/8 05/11/81</stp>
        <stp>last_price</stp>
        <stp>[P&amp;l movement_R.xlsm]pnl!R13C15</stp>
        <tr r="O13" s="24"/>
      </tp>
      <tp t="s">
        <v>#N/A Invalid Security</v>
        <stp/>
        <stp>##V3_BDPV12</stp>
        <stp>SEVFP 1 5/8 09/21/32</stp>
        <stp>last_price</stp>
        <stp>[P&amp;l movement_R.xlsm]pnl!R13C15</stp>
        <tr r="O13" s="24"/>
      </tp>
      <tp t="s">
        <v>#N/A Invalid Security</v>
        <stp/>
        <stp>##V3_BDPV12</stp>
        <stp>SEVFP 0 1/2 10/14/31</stp>
        <stp>last_price</stp>
        <stp>[P&amp;l movement_R.xlsm]pnl!R13C15</stp>
        <tr r="O13" s="24"/>
      </tp>
      <tp t="s">
        <v>#N/A Invalid Security</v>
        <stp/>
        <stp>##V3_BDPV12</stp>
        <stp>HERIM 0 7/8 07/05/27</stp>
        <stp>last_price</stp>
        <stp>[P&amp;l movement_R.xlsm]pnl!R13C15</stp>
        <tr r="O13" s="24"/>
      </tp>
      <tp t="s">
        <v>#N/A Invalid Security</v>
        <stp/>
        <stp>##V3_BDPV12</stp>
        <stp>SEVFP 1 3/4 09/10/25</stp>
        <stp>last_price</stp>
        <stp>[P&amp;l movement_R.xlsm]newResult!R42C25</stp>
        <tr r="Y42" s="11"/>
      </tp>
      <tp t="s">
        <v>#N/A Invalid Security</v>
        <stp/>
        <stp>##V3_BDPV12</stp>
        <stp>UBZ0 Comdty equity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VIEFP 2 1/2 PERP equity</stp>
        <stp>last_price</stp>
        <stp>[P&amp;l movement_R.xlsm]newResult!R42C25</stp>
        <tr r="Y42" s="11"/>
      </tp>
      <tp t="s">
        <v>#N/A Invalid Security</v>
        <stp/>
        <stp>##V3_BDPV12</stp>
        <stp>SEVFP 1 3/4 09/10/25</stp>
        <stp>last_price</stp>
        <stp>[P&amp;l movement_R.xlsm]pnl!R13C15</stp>
        <tr r="O13" s="24"/>
      </tp>
      <tp t="s">
        <v>#N/A Invalid Security</v>
        <stp/>
        <stp>##V3_BDPV12</stp>
        <stp>ENIIM 1 1/8 09/19/28</stp>
        <stp>last_price</stp>
        <stp>[P&amp;l movement_R.xlsm]pnl!R13C15</stp>
        <tr r="O13" s="24"/>
      </tp>
      <tp t="s">
        <v>#N/A Invalid Security</v>
        <stp/>
        <stp>##V3_BDPV12</stp>
        <stp>TOTAL 2 1/2 03/25/26</stp>
        <stp>last_price</stp>
        <stp>[P&amp;l movement_R.xlsm]newResult!R42C25</stp>
        <tr r="Y42" s="11"/>
      </tp>
      <tp t="s">
        <v>#N/A Invalid Security</v>
        <stp/>
        <stp>##V3_BDPV12</stp>
        <stp>VGASDE 1 1/2 09/25/28 equity</stp>
        <stp>last_price</stp>
        <stp>[P&amp;l movement_R.xlsm]newResult!R42C25</stp>
        <tr r="Y42" s="11"/>
      </tp>
      <tp t="s">
        <v>#N/A Invalid Security</v>
        <stp/>
        <stp>##V3_BDPV12</stp>
        <stp>VIEFP 0.314 10/04/23</stp>
        <stp>last_price</stp>
        <stp>[P&amp;l movement_R.xlsm]pnl!R13C15</stp>
        <tr r="O13" s="24"/>
      </tp>
      <tp t="s">
        <v>#N/A Invalid Security</v>
        <stp/>
        <stp>##V3_BDPV12</stp>
        <stp>RXZ0 Comdty equity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ENIIM 2 5/8 PERP equity</stp>
        <stp>last_price</stp>
        <stp>[P&amp;l movement_R.xlsm]newResult!R42C25</stp>
        <tr r="Y42" s="11"/>
      </tp>
      <tp t="s">
        <v>#N/A Invalid Security</v>
        <stp/>
        <stp>##V3_BDPV12</stp>
        <stp>ENIIM 3 3/8 PERP equity</stp>
        <stp>last_price</stp>
        <stp>[P&amp;l movement_R.xlsm]newResult!R42C25</stp>
        <tr r="Y42" s="11"/>
      </tp>
      <tp t="s">
        <v>#N/A Invalid Security</v>
        <stp/>
        <stp>##V3_BDPV12</stp>
        <stp>ENEXIS 0 7/8 04/28/26</stp>
        <stp>last_price</stp>
        <stp>[P&amp;l movement_R.xlsm]pnl!R13C15</stp>
        <tr r="O13" s="24"/>
      </tp>
      <tp t="s">
        <v>#N/A Invalid Security</v>
        <stp/>
        <stp>##V3_BDPV12</stp>
        <stp>SSELN 3.74 PERP</stp>
        <stp>last_price</stp>
        <stp>[P&amp;l movement_R.xlsm]newResult!R42C25</stp>
        <tr r="Y42" s="11"/>
      </tp>
      <tp t="s">
        <v>#N/A Invalid Security</v>
        <stp/>
        <stp>##V3_BDPV12</stp>
        <stp>TELIAS 1 3/8 05/11/81 equity</stp>
        <stp>last_price</stp>
        <stp>[P&amp;l movement_R.xlsm]newResult!R42C25</stp>
        <tr r="Y42" s="11"/>
      </tp>
      <tp t="s">
        <v>#N/A Invalid Security</v>
        <stp/>
        <stp>##V3_BDPV12</stp>
        <stp>VGASDE 1 1/2 09/25/28</stp>
        <stp>last_price</stp>
        <stp>[P&amp;l movement_R.xlsm]newResult!R42C25</stp>
        <tr r="Y42" s="11"/>
      </tp>
      <tp t="s">
        <v>#N/A Invalid Security</v>
        <stp/>
        <stp>##V3_BDPV12</stp>
        <stp>SEVFP 1 1/2 04/03/29</stp>
        <stp>last_price</stp>
        <stp>[P&amp;l movement_R.xlsm]pnl!R13C15</stp>
        <tr r="O13" s="24"/>
      </tp>
      <tp t="s">
        <v>#N/A Invalid Security</v>
        <stp/>
        <stp>##V3_BDPV12</stp>
        <stp>DBOERS 1 1/4 06/16/47 equity</stp>
        <stp>last_price</stp>
        <stp>[P&amp;l movement_R.xlsm]newResult!R42C25</stp>
        <tr r="Y42" s="11"/>
      </tp>
      <tp t="s">
        <v>#N/A Invalid Security</v>
        <stp/>
        <stp>##V3_BDPV12</stp>
        <stp>EOANGR 0 7/8 08/20/31 equity</stp>
        <stp>last_price</stp>
        <stp>[P&amp;l movement_R.xlsm]newResult!R42C25</stp>
        <tr r="Y42" s="11"/>
      </tp>
      <tp t="s">
        <v>#N/A Invalid Security</v>
        <stp/>
        <stp>##V3_BDPV12</stp>
        <stp>OMVAV 1 1/2 04/09/24</stp>
        <stp>last_price</stp>
        <stp>[P&amp;l movement_R.xlsm]newResult!R42C25</stp>
        <tr r="Y42" s="11"/>
      </tp>
      <tp t="s">
        <v>#N/A Invalid Security</v>
        <stp/>
        <stp>##V3_BDPV12</stp>
        <stp>SEVFP 0 1/2 10/14/31</stp>
        <stp>last_price</stp>
        <stp>[P&amp;l movement_R.xlsm]newResult!R42C25</stp>
        <tr r="Y42" s="11"/>
      </tp>
      <tp t="s">
        <v>#N/A Invalid Security</v>
        <stp/>
        <stp>##V3_BDPV12</stp>
        <stp>ENEXIS 0 7/8 04/28/26</stp>
        <stp>last_price</stp>
        <stp>[P&amp;l movement_R.xlsm]newResult!R42C25</stp>
        <tr r="Y42" s="11"/>
      </tp>
      <tp t="s">
        <v>#N/A Invalid Security</v>
        <stp/>
        <stp>##V3_BDPV12</stp>
        <stp>SEVFP 1 1/2 04/03/29</stp>
        <stp>last_price</stp>
        <stp>[P&amp;l movement_R.xlsm]newResult!R42C25</stp>
        <tr r="Y42" s="11"/>
      </tp>
      <tp t="s">
        <v>#N/A Invalid Security</v>
        <stp/>
        <stp>##V3_BDPV12</stp>
        <stp>BAYNGR 2 3/8 11/12/79</stp>
        <stp>last_price</stp>
        <stp>[P&amp;l movement_R.xlsm]pnl!R13C15</stp>
        <tr r="O13" s="24"/>
      </tp>
      <tp t="s">
        <v>#N/A Invalid Security</v>
        <stp/>
        <stp>##V3_BDPV12</stp>
        <stp>TOTAL 3 7/8 PERP equity</stp>
        <stp>last_price</stp>
        <stp>[P&amp;l movement_R.xlsm]newResult!R42C25</stp>
        <tr r="Y42" s="11"/>
      </tp>
      <tp t="s">
        <v>#N/A Invalid Security</v>
        <stp/>
        <stp>##V3_BDPV12</stp>
        <stp>TOTAL 2 1/4 PERP equity</stp>
        <stp>last_price</stp>
        <stp>[P&amp;l movement_R.xlsm]newResult!R42C25</stp>
        <tr r="Y42" s="11"/>
      </tp>
      <tp t="s">
        <v>#N/A Invalid Security</v>
        <stp/>
        <stp>##V3_BDPV12</stp>
        <stp>TOTAL 1 3/4 PERP equity</stp>
        <stp>last_price</stp>
        <stp>[P&amp;l movement_R.xlsm]newResult!R42C25</stp>
        <tr r="Y42" s="11"/>
      </tp>
      <tp t="s">
        <v>#N/A Invalid Security</v>
        <stp/>
        <stp>##V3_BDPV12</stp>
        <stp>BPLN 0.831 11/08/27</stp>
        <stp>last_price</stp>
        <stp>[P&amp;l movement_R.xlsm]pnl!R13C15</stp>
        <tr r="O13" s="24"/>
      </tp>
      <tp t="s">
        <v>#N/A Invalid Security</v>
        <stp/>
        <stp>##V3_BDPV12</stp>
        <stp>VIEFP 1 1/4 04/15/28</stp>
        <stp>last_price</stp>
        <stp>[P&amp;l movement_R.xlsm]pnl!R13C15</stp>
        <tr r="O13" s="24"/>
      </tp>
      <tp t="s">
        <v>#N/A Invalid Security</v>
        <stp/>
        <stp>##V3_BDPV12</stp>
        <stp>TOTAL 1.023 03/04/27</stp>
        <stp>last_price</stp>
        <stp>[P&amp;l movement_R.xlsm]newResult!R42C25</stp>
        <tr r="Y42" s="11"/>
      </tp>
      <tp t="s">
        <v>#N/A Invalid Security</v>
        <stp/>
        <stp>##V3_BDPV12</stp>
        <stp>ALVGR 2 5/8 PERP equity</stp>
        <stp>last_price</stp>
        <stp>[P&amp;l movement_R.xlsm]newResult!R42C25</stp>
        <tr r="Y42" s="11"/>
      </tp>
      <tp t="s">
        <v>#N/A Invalid Security</v>
        <stp/>
        <stp>##V3_BDPV12</stp>
        <stp>ALVGR 3 1/2 PERP equity</stp>
        <stp>last_price</stp>
        <stp>[P&amp;l movement_R.xlsm]newResult!R42C25</stp>
        <tr r="Y42" s="11"/>
      </tp>
      <tp t="s">
        <v>#N/A Invalid Security</v>
        <stp/>
        <stp>##V3_BDPV12</stp>
        <stp>EDPPL 4.496 04/30/79</stp>
        <stp>last_price</stp>
        <stp>[P&amp;l movement_R.xlsm]newResult!R42C25</stp>
        <tr r="Y42" s="11"/>
      </tp>
      <tp t="s">
        <v>#N/A Invalid Security</v>
        <stp/>
        <stp>##V3_BDPV12</stp>
        <stp>RENAUL 2 3/8 05/25/26 equity</stp>
        <stp>last_price</stp>
        <stp>[P&amp;l movement_R.xlsm]newResult!R42C25</stp>
        <tr r="Y42" s="11"/>
      </tp>
      <tp t="s">
        <v>#N/A Invalid Security</v>
        <stp/>
        <stp>##V3_BDPV12</stp>
        <stp>VIEFP 6 1/8 11/25/33</stp>
        <stp>last_price</stp>
        <stp>[P&amp;l movement_R.xlsm]pnl!R13C15</stp>
        <tr r="O13" s="24"/>
      </tp>
      <tp t="s">
        <v>#N/A Invalid Security</v>
        <stp/>
        <stp>##V3_BDPV12</stp>
        <stp>TENN 0 1/2 11/30/40</stp>
        <stp>last_price</stp>
        <stp>[P&amp;l movement_R.xlsm]pnl!R13C15</stp>
        <tr r="O13" s="24"/>
      </tp>
      <tp t="s">
        <v>#N/A Invalid Security</v>
        <stp/>
        <stp>##V3_BDPV12</stp>
        <stp>TENN 0 1/8 11/30/32</stp>
        <stp>last_price</stp>
        <stp>[P&amp;l movement_R.xlsm]pnl!R13C15</stp>
        <tr r="O13" s="24"/>
      </tp>
      <tp t="s">
        <v>#N/A Invalid Security</v>
        <stp/>
        <stp>##V3_BDPV12</stp>
        <stp>VIEFP 1.496 11/30/26</stp>
        <stp>last_price</stp>
        <stp>[P&amp;l movement_R.xlsm]pnl!R13C15</stp>
        <tr r="O13" s="24"/>
      </tp>
      <tp t="s">
        <v>#N/A Invalid Security</v>
        <stp/>
        <stp>##V3_BDPV12</stp>
        <stp>T 2 7/8 PERP</stp>
        <stp>last_price</stp>
        <stp>[P&amp;l movement_R.xlsm]pnl!R13C15</stp>
        <tr r="O13" s="24"/>
      </tp>
      <tp t="s">
        <v>#N/A Invalid Security</v>
        <stp/>
        <stp>##V3_BDPV12</stp>
        <stp>ORSTED 1 3/4 12/09/19</stp>
        <stp>last_price</stp>
        <stp>[P&amp;l movement_R.xlsm]newResult!R42C25</stp>
        <tr r="Y42" s="11"/>
      </tp>
      <tp t="s">
        <v>#N/A Invalid Security</v>
        <stp/>
        <stp>##V3_BDPV12</stp>
        <stp>NTGYSM 1 1/4 04/19/26</stp>
        <stp>last_price</stp>
        <stp>[P&amp;l movement_R.xlsm]pnl!R13C15</stp>
        <tr r="O13" s="24"/>
      </tp>
      <tp t="s">
        <v>#N/A Invalid Security</v>
        <stp/>
        <stp>##V3_BDPV12</stp>
        <stp>OMVAV 2 7/8 PERP equity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OMVAV 6 1/4 PERP equity</stp>
        <stp>last_price</stp>
        <stp>[P&amp;l movement_R.xlsm]newResult!R42C25</stp>
        <tr r="Y42" s="11"/>
      </tp>
      <tp t="s">
        <v>#N/A Invalid Security</v>
        <stp/>
        <stp>##V3_BDPV12</stp>
        <stp>ENELIM 2 1/2 11/24/78 equity</stp>
        <stp>last_price</stp>
        <stp>[P&amp;l movement_R.xlsm]newResult!R42C25</stp>
        <tr r="Y42" s="11"/>
      </tp>
      <tp t="s">
        <v>#N/A Invalid Security</v>
        <stp/>
        <stp>##V3_BDPV12</stp>
        <stp>ENGIFP 1 3/4 03/27/28 equity</stp>
        <stp>last_price</stp>
        <stp>[P&amp;l movement_R.xlsm]newResult!R42C25</stp>
        <tr r="Y42" s="11"/>
      </tp>
      <tp t="s">
        <v>#N/A Invalid Security</v>
        <stp/>
        <stp>##V3_BDPV12</stp>
        <stp>ENELIM 3 3/8 11/24/81 equity</stp>
        <stp>last_price</stp>
        <stp>[P&amp;l movement_R.xlsm]newResult!R42C25</stp>
        <tr r="Y42" s="11"/>
      </tp>
      <tp t="s">
        <v>#N/A Invalid Security</v>
        <stp/>
        <stp>##V3_BDPV12</stp>
        <stp>CNALN 5 1/4 04/10/75</stp>
        <stp>last_price</stp>
        <stp>[P&amp;l movement_R.xlsm]pnl!R13C15</stp>
        <tr r="O13" s="24"/>
      </tp>
      <tp t="s">
        <v>#N/A Invalid Security</v>
        <stp/>
        <stp>##V3_BDPV12</stp>
        <stp>ENGIFP 0 7/8 03/27/24 equity</stp>
        <stp>last_price</stp>
        <stp>[P&amp;l movement_R.xlsm]newResult!R42C25</stp>
        <tr r="Y42" s="11"/>
      </tp>
      <tp t="s">
        <v>#N/A Invalid Security</v>
        <stp/>
        <stp>##V3_BDPV12</stp>
        <stp>CAPFP 1 1/8 06/23/30</stp>
        <stp>last_price</stp>
        <stp>[P&amp;l movement_R.xlsm]newResult!R42C25</stp>
        <tr r="Y42" s="11"/>
      </tp>
      <tp t="s">
        <v>#N/A Invalid Security</v>
        <stp/>
        <stp>##V3_BDPV12</stp>
        <stp>VOD 2 7/8 11/20/37</stp>
        <stp>last_price</stp>
        <stp>[P&amp;l movement_R.xlsm]pnl!R13C15</stp>
        <tr r="O13" s="24"/>
      </tp>
      <tp t="s">
        <v>#N/A Invalid Security</v>
        <stp/>
        <stp>##V3_BDPV12</stp>
        <stp>IBESM 2 5/8 PERP equity</stp>
        <stp>last_price</stp>
        <stp>[P&amp;l movement_R.xlsm]newResult!R42C25</stp>
        <tr r="Y42" s="11"/>
      </tp>
      <tp t="s">
        <v>#N/A Invalid Security</v>
        <stp/>
        <stp>##V3_BDPV12</stp>
        <stp>IBESM 2 1/4 PERP equity</stp>
        <stp>last_price</stp>
        <stp>[P&amp;l movement_R.xlsm]newResult!R42C25</stp>
        <tr r="Y42" s="11"/>
      </tp>
      <tp t="s">
        <v>#N/A Invalid Security</v>
        <stp/>
        <stp>##V3_BDPV12</stp>
        <stp>UBIIM 5 7/8 PERP equity</stp>
        <stp>last_price</stp>
        <stp>[P&amp;l movement_R.xlsm]newResult!R42C25</stp>
        <tr r="Y42" s="11"/>
      </tp>
      <tp t="s">
        <v>#N/A Invalid Security</v>
        <stp/>
        <stp>##V3_BDPV12</stp>
        <stp>ENGIFP 0 7/8 03/27/24</stp>
        <stp>last_price</stp>
        <stp>[P&amp;l movement_R.xlsm]pnl!R13C15</stp>
        <tr r="O13" s="24"/>
      </tp>
      <tp t="s">
        <v>#N/A Invalid Security</v>
        <stp/>
        <stp>##V3_BDPV12</stp>
        <stp>STEDIN 0 7/8 10/24/25 equity</stp>
        <stp>last_price</stp>
        <stp>[P&amp;l movement_R.xlsm]newResult!R42C25</stp>
        <tr r="Y42" s="11"/>
      </tp>
      <tp t="s">
        <v>#N/A Invalid Security</v>
        <stp/>
        <stp>##V3_BDPV12</stp>
        <stp>NTGYSM 1 1/4 01/15/26</stp>
        <stp>last_price</stp>
        <stp>[P&amp;l movement_R.xlsm]newResult!R42C25</stp>
        <tr r="Y42" s="11"/>
      </tp>
      <tp t="s">
        <v>#N/A Invalid Security</v>
        <stp/>
        <stp>##V3_BDPV12</stp>
        <stp>NTGYSM 1 1/4 04/19/26</stp>
        <stp>last_price</stp>
        <stp>[P&amp;l movement_R.xlsm]newResult!R42C25</stp>
        <tr r="Y42" s="11"/>
      </tp>
      <tp t="s">
        <v>#N/A Invalid Security</v>
        <stp/>
        <stp>##V3_BDPV12</stp>
        <stp>FCAIM 4 1/2 07/07/28</stp>
        <stp>last_price</stp>
        <stp>[P&amp;l movement_R.xlsm]pnl!R13C15</stp>
        <tr r="O13" s="24"/>
      </tp>
      <tp t="s">
        <v>#N/A Invalid Security</v>
        <stp/>
        <stp>##V3_BDPV12</stp>
        <stp>JPM 1.638 05/18/28</stp>
        <stp>last_price</stp>
        <stp>[P&amp;l movement_R.xlsm]pnl!R13C15</stp>
        <tr r="O13" s="24"/>
      </tp>
      <tp t="s">
        <v>#N/A Invalid Security</v>
        <stp/>
        <stp>##V3_BDPV12</stp>
        <stp>NGGLN 5 5/8 06/18/73</stp>
        <stp>last_price</stp>
        <stp>[P&amp;l movement_R.xlsm]pnl!R13C15</stp>
        <tr r="O13" s="24"/>
      </tp>
      <tp t="s">
        <v>#N/A Invalid Security</v>
        <stp/>
        <stp>##V3_BDPV12</stp>
        <stp>SANTAN 1 5/8 10/22/30</stp>
        <stp>last_price</stp>
        <stp>[P&amp;l movement_R.xlsm]newResult!R42C25</stp>
        <tr r="Y42" s="11"/>
      </tp>
      <tp t="s">
        <v>#N/A Invalid Security</v>
        <stp/>
        <stp>##V3_BDPV12</stp>
        <stp>EDPPL 4.496 04/30/79</stp>
        <stp>last_price</stp>
        <stp>[P&amp;l movement_R.xlsm]pnl!R13C15</stp>
        <tr r="O13" s="24"/>
      </tp>
      <tp t="s">
        <v>#N/A Invalid Security</v>
        <stp/>
        <stp>##V3_BDPV12</stp>
        <stp>TTRX LN</stp>
        <stp>last_price</stp>
        <stp>[P&amp;l movement_R.xlsm]newResult!R42C25</stp>
        <tr r="Y42" s="11"/>
      </tp>
      <tp t="s">
        <v>#N/A Invalid Security</v>
        <stp/>
        <stp>##V3_BDPV12</stp>
        <stp>EOANGR 0 3/4 11/30/22</stp>
        <stp>last_price</stp>
        <stp>[P&amp;l movement_R.xlsm]pnl!R13C15</stp>
        <tr r="O13" s="24"/>
      </tp>
      <tp t="s">
        <v>#N/A Invalid Security</v>
        <stp/>
        <stp>##V3_BDPV12</stp>
        <stp>ENGSM 1 3/8 05/05/28</stp>
        <stp>last_price</stp>
        <stp>[P&amp;l movement_R.xlsm]pnl!R13C15</stp>
        <tr r="O13" s="24"/>
      </tp>
      <tp t="s">
        <v>#N/A Invalid Security</v>
        <stp/>
        <stp>##V3_BDPV12</stp>
        <stp>AKFAST 3 7/8 10/05/78 equity</stp>
        <stp>last_price</stp>
        <stp>[P&amp;l movement_R.xlsm]newResult!R42C25</stp>
        <tr r="Y42" s="11"/>
      </tp>
      <tp t="s">
        <v>#N/A Invalid Security</v>
        <stp/>
        <stp>##V3_BDPV12</stp>
        <stp>NTGYSM 1 1/4 01/15/26 equity</stp>
        <stp>last_price</stp>
        <stp>[P&amp;l movement_R.xlsm]newResult!R42C25</stp>
        <tr r="Y42" s="11"/>
      </tp>
      <tp t="s">
        <v>#N/A Invalid Security</v>
        <stp/>
        <stp>##V3_BDPV12</stp>
        <stp>ERGIM 1 7/8 04/11/25</stp>
        <stp>last_price</stp>
        <stp>[P&amp;l movement_R.xlsm]pnl!R13C15</stp>
        <tr r="O13" s="24"/>
      </tp>
      <tp t="s">
        <v>#N/A Invalid Security</v>
        <stp/>
        <stp>##V3_BDPV12</stp>
        <stp>HERIM 0 7/8 07/05/27</stp>
        <stp>last_price</stp>
        <stp>[P&amp;l movement_R.xlsm]newResult!R42C25</stp>
        <tr r="Y42" s="11"/>
      </tp>
      <tp t="s">
        <v>#N/A Invalid Security</v>
        <stp/>
        <stp>##V3_BDPV12</stp>
        <stp>HERIM 0 7/8 10/14/26</stp>
        <stp>last_price</stp>
        <stp>[P&amp;l movement_R.xlsm]newResult!R42C25</stp>
        <tr r="Y42" s="11"/>
      </tp>
      <tp t="s">
        <v>#N/A Invalid Security</v>
        <stp/>
        <stp>##V3_BDPV12</stp>
        <stp>ACFP 2 5/8 PERP</stp>
        <stp>last_price</stp>
        <stp>[P&amp;l movement_R.xlsm]newResult!R42C25</stp>
        <tr r="Y42" s="11"/>
      </tp>
      <tp t="s">
        <v>#N/A Invalid Security</v>
        <stp/>
        <stp>##V3_BDPV12</stp>
        <stp>ENGIFP 0 3/8 06/21/27</stp>
        <stp>last_price</stp>
        <stp>[P&amp;l movement_R.xlsm]pnl!R13C15</stp>
        <tr r="O13" s="24"/>
      </tp>
      <tp t="s">
        <v>#N/A Invalid Security</v>
        <stp/>
        <stp>##V3_BDPV12</stp>
        <stp>AKFAST 3 7/8 10/05/78</stp>
        <stp>last_price</stp>
        <stp>[P&amp;l movement_R.xlsm]pnl!R13C15</stp>
        <tr r="O13" s="24"/>
      </tp>
      <tp t="s">
        <v>#N/A Invalid Security</v>
        <stp/>
        <stp>##V3_BDPV12</stp>
        <stp>ENGSM 1 1/4 02/06/25</stp>
        <stp>last_price</stp>
        <stp>[P&amp;l movement_R.xlsm]pnl!R13C15</stp>
        <tr r="O13" s="24"/>
      </tp>
      <tp t="s">
        <v>#N/A Invalid Security</v>
        <stp/>
        <stp>##V3_BDPV12</stp>
        <stp>VOD 4 7/8 10/03/78</stp>
        <stp>last_price</stp>
        <stp>[P&amp;l movement_R.xlsm]pnl!R13C15</stp>
        <tr r="O13" s="24"/>
      </tp>
      <tp t="s">
        <v>#N/A Invalid Security</v>
        <stp/>
        <stp>##V3_BDPV12</stp>
        <stp>ORSTED 1 3/4 12/09/19</stp>
        <stp>last_price</stp>
        <stp>[P&amp;l movement_R.xlsm]pnl!R13C15</stp>
        <tr r="O13" s="24"/>
      </tp>
      <tp t="s">
        <v>#N/A Invalid Security</v>
        <stp/>
        <stp>##V3_BDPV12</stp>
        <stp>NTGYSM 1 1/4 01/15/26</stp>
        <stp>last_price</stp>
        <stp>[P&amp;l movement_R.xlsm]pnl!R13C15</stp>
        <tr r="O13" s="24"/>
      </tp>
      <tp t="s">
        <v>#N/A Invalid Security</v>
        <stp/>
        <stp>##V3_BDPV12</stp>
        <stp>EOANGR 0 3/4 11/30/22 equity</stp>
        <stp>last_price</stp>
        <stp>[P&amp;l movement_R.xlsm]newResult!R42C25</stp>
        <tr r="Y42" s="11"/>
      </tp>
      <tp t="s">
        <v>#N/A Invalid Security</v>
        <stp/>
        <stp>##V3_BDPV12</stp>
        <stp>CS 6 3/8 PERP</stp>
        <stp>last_price</stp>
        <stp>[P&amp;l movement_R.xlsm]newResult!R42C25</stp>
        <tr r="Y42" s="11"/>
      </tp>
      <tp t="s">
        <v>#N/A Invalid Security</v>
        <stp/>
        <stp>##V3_BDPV12</stp>
        <stp>HNDA 0 3/4 01/17/24</stp>
        <stp>last_price</stp>
        <stp>[P&amp;l movement_R.xlsm]pnl!R13C15</stp>
        <tr r="O13" s="24"/>
      </tp>
      <tp t="s">
        <v>#N/A Invalid Security</v>
        <stp/>
        <stp>##V3_BDPV12</stp>
        <stp>VOD 2 5/8 08/27/80</stp>
        <stp>last_price</stp>
        <stp>[P&amp;l movement_R.xlsm]pnl!R13C15</stp>
        <tr r="O13" s="24"/>
      </tp>
      <tp t="s">
        <v>#N/A Invalid Security</v>
        <stp/>
        <stp>##V3_BDPV12</stp>
        <stp>ENGIFP 1 3/4 03/27/28</stp>
        <stp>last_price</stp>
        <stp>[P&amp;l movement_R.xlsm]pnl!R13C15</stp>
        <tr r="O13" s="24"/>
      </tp>
      <tp t="s">
        <v>#N/A Invalid Security</v>
        <stp/>
        <stp>##V3_BDPV12</stp>
        <stp>REDEXS 1 7/8 05/28/25 equity</stp>
        <stp>last_price</stp>
        <stp>[P&amp;l movement_R.xlsm]newResult!R42C25</stp>
        <tr r="Y42" s="11"/>
      </tp>
      <tp t="s">
        <v>#N/A Invalid Security</v>
        <stp/>
        <stp>##V3_BDPV12</stp>
        <stp>BPLN 1.231 05/08/31</stp>
        <stp>last_price</stp>
        <stp>[P&amp;l movement_R.xlsm]pnl!R13C15</stp>
        <tr r="O13" s="24"/>
      </tp>
      <tp t="s">
        <v>#N/A Invalid Security</v>
        <stp/>
        <stp>##V3_BDPV12</stp>
        <stp>ENGIFP 0 3/8 06/21/27 equity</stp>
        <stp>last_price</stp>
        <stp>[P&amp;l movement_R.xlsm]newResult!R42C25</stp>
        <tr r="Y42" s="11"/>
      </tp>
      <tp t="s">
        <v>#N/A Invalid Security</v>
        <stp/>
        <stp>##V3_BDPV12</stp>
        <stp>TOTAL 1 3/8 03/19/25</stp>
        <stp>last_price</stp>
        <stp>[P&amp;l movement_R.xlsm]newResult!R42C25</stp>
        <tr r="Y42" s="11"/>
      </tp>
      <tp t="s">
        <v>#N/A Invalid Security</v>
        <stp/>
        <stp>##V3_BDPV12</stp>
        <stp>VOD 6 1/4 10/03/78</stp>
        <stp>last_price</stp>
        <stp>[P&amp;l movement_R.xlsm]pnl!R13C15</stp>
        <tr r="O13" s="24"/>
      </tp>
      <tp t="s">
        <v>#N/A Invalid Security</v>
        <stp/>
        <stp>##V3_BDPV12</stp>
        <stp>ENEXIS 0 7/8 04/28/26 equity</stp>
        <stp>last_price</stp>
        <stp>[P&amp;l movement_R.xlsm]newResult!R42C25</stp>
        <tr r="Y42" s="11"/>
      </tp>
      <tp t="s">
        <v>#N/A Invalid Security</v>
        <stp/>
        <stp>##V3_BDPV12</stp>
        <stp>MRDGF 1 3/8 04/11/25</stp>
        <stp>last_price</stp>
        <stp>[P&amp;l movement_R.xlsm]pnl!R13C15</stp>
        <tr r="O13" s="24"/>
      </tp>
      <tp t="s">
        <v>#N/A Invalid Security</v>
        <stp/>
        <stp>##V3_BDPV12</stp>
        <stp>VIEFP 0.892 01/14/24</stp>
        <stp>last_price</stp>
        <stp>[P&amp;l movement_R.xlsm]pnl!R13C15</stp>
        <tr r="O13" s="24"/>
      </tp>
      <tp t="s">
        <v>#N/A Invalid Security</v>
        <stp/>
        <stp>##V3_BDPV12</stp>
        <stp>SEVFP 1 5/8 09/21/32</stp>
        <stp>last_price</stp>
        <stp>[P&amp;l movement_R.xlsm]newResult!R42C25</stp>
        <tr r="Y42" s="11"/>
      </tp>
      <tp t="s">
        <v>#N/A Invalid Security</v>
        <stp/>
        <stp>##V3_BDPV12</stp>
        <stp>RPZ0 Curncy equity</stp>
        <stp>last_price</stp>
        <stp>[P&amp;l movement_R.xlsm]newResult!R42C25</stp>
        <tr r="Y42" s="11"/>
      </tp>
      <tp t="s">
        <v>#N/A Invalid Security</v>
        <stp/>
        <stp>##V3_BDPV12</stp>
        <stp>STEDIN 0 7/8 10/24/25</stp>
        <stp>last_price</stp>
        <stp>[P&amp;l movement_R.xlsm]pnl!R13C15</stp>
        <tr r="O13" s="24"/>
      </tp>
      <tp t="s">
        <v>#N/A Invalid Security</v>
        <stp/>
        <stp>##V3_BDPV12</stp>
        <stp>NTGYSM 1 1/4 04/19/26 equity</stp>
        <stp>last_price</stp>
        <stp>[P&amp;l movement_R.xlsm]newResult!R42C25</stp>
        <tr r="Y42" s="11"/>
      </tp>
      <tp t="s">
        <v>#N/A Invalid Security</v>
        <stp/>
        <stp>##V3_BDPV12</stp>
        <stp>RWE 3 1/2 04/21/75</stp>
        <stp>last_price</stp>
        <stp>[P&amp;l movement_R.xlsm]pnl!R13C15</stp>
        <tr r="O13" s="24"/>
      </tp>
      <tp t="s">
        <v>#N/A Invalid Security</v>
        <stp/>
        <stp>##V3_BDPV12</stp>
        <stp>OMVAV 1 7/8 12/04/28</stp>
        <stp>last_price</stp>
        <stp>[P&amp;l movement_R.xlsm]newResult!R42C25</stp>
        <tr r="Y42" s="11"/>
      </tp>
      <tp t="s">
        <v>#N/A Invalid Security</v>
        <stp/>
        <stp>##V3_BDPV12</stp>
        <stp>BACR 5 7/8 PERP</stp>
        <stp>last_price</stp>
        <stp>[P&amp;l movement_R.xlsm]newResult!R42C25</stp>
        <tr r="Y42" s="11"/>
      </tp>
      <tp t="s">
        <v>#N/A Invalid Security</v>
        <stp/>
        <stp>##V3_BDPV12</stp>
        <stp>REDEXS 1 7/8 05/28/25</stp>
        <stp>last_price</stp>
        <stp>[P&amp;l movement_R.xlsm]pnl!R13C15</stp>
        <tr r="O13" s="24"/>
      </tp>
      <tp t="s">
        <v>#N/A Invalid Security</v>
        <stp/>
        <stp>##V3_BDPV12</stp>
        <stp>SEVFP 2 7/8 PERP equity</stp>
        <stp>last_price</stp>
        <stp>[P&amp;l movement_R.xlsm]newResult!R42C25</stp>
        <tr r="Y42" s="11"/>
      </tp>
      <tp t="s">
        <v>#N/A Invalid Security</v>
        <stp/>
        <stp>##V3_BDPV12</stp>
        <stp>REPSM 3 3/4 PERP equity</stp>
        <stp>last_price</stp>
        <stp>[P&amp;l movement_R.xlsm]newResult!R42C25</stp>
        <tr r="Y42" s="11"/>
      </tp>
      <tp t="s">
        <v>#N/A Invalid Security</v>
        <stp/>
        <stp>##V3_BDPV12</stp>
        <stp>ENIIM 1 1/8 09/19/28</stp>
        <stp>last_price</stp>
        <stp>[P&amp;l movement_R.xlsm]newResult!R42C25</stp>
        <tr r="Y42" s="11"/>
      </tp>
      <tp t="s">
        <v>#N/A Invalid Security</v>
        <stp/>
        <stp>##V3_BDPV12</stp>
        <stp>VIEFP 1 1/4 04/15/28</stp>
        <stp>last_price</stp>
        <stp>[P&amp;l movement_R.xlsm]newResult!R42C25</stp>
        <tr r="Y42" s="11"/>
      </tp>
      <tp t="s">
        <v>#N/A Invalid Security</v>
        <stp/>
        <stp>##V3_BDPV12</stp>
        <stp>SSELN 1 1/4 04/16/25</stp>
        <stp>last_price</stp>
        <stp>[P&amp;l movement_R.xlsm]newResult!R42C25</stp>
        <tr r="Y42" s="11"/>
      </tp>
      <tp t="s">
        <v>#N/A Invalid Security</v>
        <stp/>
        <stp>##V3_BDPV12</stp>
        <stp>VIEFP 0.664 01/15/31</stp>
        <stp>last_price</stp>
        <stp>[P&amp;l movement_R.xlsm]newResult!R42C25</stp>
        <tr r="Y42" s="11"/>
      </tp>
      <tp t="s">
        <v>#N/A Invalid Security</v>
        <stp/>
        <stp>##V3_BDPV12</stp>
        <stp>ENIIM 0 5/8 01/23/30</stp>
        <stp>last_price</stp>
        <stp>[P&amp;l movement_R.xlsm]newResult!R42C25</stp>
        <tr r="Y42" s="11"/>
      </tp>
      <tp t="s">
        <v>#N/A Invalid Security</v>
        <stp/>
        <stp>##V3_BDPV12</stp>
        <stp>SSELN 4 3/4 09/16/77</stp>
        <stp>last_price</stp>
        <stp>[P&amp;l movement_R.xlsm]newResult!R42C25</stp>
        <tr r="Y42" s="11"/>
      </tp>
      <tp t="s">
        <v>#N/A Invalid Security</v>
        <stp/>
        <stp>##V3_BDPV12</stp>
        <stp>USF8500RAA08@ corp</stp>
        <stp>last_price</stp>
        <stp>[P&amp;l movement_R.xlsm]newResult!R42C14</stp>
        <tr r="N42" s="11"/>
      </tp>
      <tp t="s">
        <v>#N/A Invalid Security</v>
        <stp/>
        <stp>##V3_BDPV12</stp>
        <stp>USF8500RAA08@ corp</stp>
        <stp>last_price</stp>
        <stp>[P&amp;l movement_R.xlsm]newResult!R42C25</stp>
        <tr r="Y42" s="11"/>
      </tp>
      <tp t="s">
        <v>#N/A Invalid Security</v>
        <stp/>
        <stp>##V3_BDPV12</stp>
        <stp>VGASDE 1 1/2 09/25/28</stp>
        <stp>last_price</stp>
        <stp>[P&amp;l movement_R.xlsm]pnl!R13C15</stp>
        <tr r="O13" s="24"/>
      </tp>
      <tp t="s">
        <v>#N/A Invalid Security</v>
        <stp/>
        <stp>##V3_BDPV12</stp>
        <stp>CDTFIN 0 5/8 09/22/24 equity</stp>
        <stp>last_price</stp>
        <stp>[P&amp;l movement_R.xlsm]newResult!R42C25</stp>
        <tr r="Y42" s="11"/>
      </tp>
      <tp t="s">
        <v>#N/A Invalid Security</v>
        <stp/>
        <stp>##V3_BDPV12</stp>
        <stp>RDSALN 1 1/4 05/12/28</stp>
        <stp>last_price</stp>
        <stp>[P&amp;l movement_R.xlsm]newResult!R42C25</stp>
        <tr r="Y42" s="11"/>
      </tp>
      <tp t="s">
        <v>#N/A Invalid Security</v>
        <stp/>
        <stp>##V3_BDPV12</stp>
        <stp>ENIIM 0 5/8 09/19/24</stp>
        <stp>last_price</stp>
        <stp>[P&amp;l movement_R.xlsm]newResult!R42C25</stp>
        <tr r="Y42" s="11"/>
      </tp>
      <tp t="s">
        <v>#N/A Invalid Security</v>
        <stp/>
        <stp>##V3_BDPV12</stp>
        <stp>VIEFP 0.314 10/04/23</stp>
        <stp>last_price</stp>
        <stp>[P&amp;l movement_R.xlsm]newResult!R42C25</stp>
        <tr r="Y42" s="11"/>
      </tp>
      <tp t="s">
        <v>#N/A Invalid Security</v>
        <stp/>
        <stp>##V3_BDPV12</stp>
        <stp>VIEFP 1.59 01/10/28</stp>
        <stp>last_price</stp>
        <stp>[P&amp;l movement_R.xlsm]pnl!R13C15</stp>
        <tr r="O13" s="24"/>
      </tp>
      <tp t="s">
        <v>#N/A Invalid Security</v>
        <stp/>
        <stp>##V3_BDPV12</stp>
        <stp>JAPTOB 2 3/8 04/07/81</stp>
        <stp>last_price</stp>
        <stp>[P&amp;l movement_R.xlsm]pnl!R13C15</stp>
        <tr r="O13" s="24"/>
      </tp>
      <tp t="s">
        <v>#N/A Invalid Security</v>
        <stp/>
        <stp>##V3_BDPV12</stp>
        <stp>ENELIM 5.451 01/10/74</stp>
        <stp>last_price</stp>
        <stp>[P&amp;l movement_R.xlsm]pnl!R13C15</stp>
        <tr r="O13" s="24"/>
      </tp>
      <tp>
        <v>105.54</v>
        <stp/>
        <stp>##V3_BDPV12</stp>
        <stp>USF2893TAF33@BGN corp</stp>
        <stp>px_last</stp>
        <stp>[P&amp;l movement_R.xlsm]pnl!R13C15</stp>
        <tr r="O13" s="24"/>
      </tp>
      <tp t="s">
        <v>#N/A Invalid Security</v>
        <stp/>
        <stp>##V3_BDPV12</stp>
        <stp>STATK 1 1/2 09/21/23</stp>
        <stp>last_price</stp>
        <stp>[P&amp;l movement_R.xlsm]newResult!R42C25</stp>
        <tr r="Y42" s="11"/>
      </tp>
      <tp t="s">
        <v>#N/A Invalid Security</v>
        <stp/>
        <stp>##V3_BDPV12</stp>
        <stp>ENGSM 1 1/4 02/06/25</stp>
        <stp>last_price</stp>
        <stp>[P&amp;l movement_R.xlsm]newResult!R42C25</stp>
        <tr r="Y42" s="11"/>
      </tp>
      <tp t="s">
        <v>#N/A Invalid Security</v>
        <stp/>
        <stp>##V3_BDPV12</stp>
        <stp>ENELIM 5.451 01/10/74 equity</stp>
        <stp>last_price</stp>
        <stp>[P&amp;l movement_R.xlsm]newResult!R42C25</stp>
        <tr r="Y42" s="11"/>
      </tp>
      <tp t="s">
        <v>#N/A Invalid Security</v>
        <stp/>
        <stp>##V3_BDPV12</stp>
        <stp>BGGRP 1 1/4 11/21/22</stp>
        <stp>last_price</stp>
        <stp>[P&amp;l movement_R.xlsm]newResult!R42C25</stp>
        <tr r="Y42" s="11"/>
      </tp>
      <tp t="s">
        <v>#N/A Invalid Security</v>
        <stp/>
        <stp>##V3_BDPV12</stp>
        <stp>ENELIM 6 5/8 09/15/76</stp>
        <stp>last_price</stp>
        <stp>[P&amp;l movement_R.xlsm]newResult!R42C25</stp>
        <tr r="Y42" s="11"/>
      </tp>
      <tp t="s">
        <v>#N/A Invalid Security</v>
        <stp/>
        <stp>##V3_BDPV12</stp>
        <stp>ABIBB 2 7/8 04/02/32</stp>
        <stp>last_price</stp>
        <stp>[P&amp;l movement_R.xlsm]newResult!R42C25</stp>
        <tr r="Y42" s="11"/>
      </tp>
      <tp t="s">
        <v>#N/A Invalid Security</v>
        <stp/>
        <stp>##V3_BDPV12</stp>
        <stp>VIEFP 1.496 11/30/26</stp>
        <stp>last_price</stp>
        <stp>[P&amp;l movement_R.xlsm]newResult!R42C25</stp>
        <tr r="Y42" s="11"/>
      </tp>
      <tp t="s">
        <v>#N/A Invalid Security</v>
        <stp/>
        <stp>##V3_BDPV12</stp>
        <stp>SRGIM 1 1/4 08/28/25</stp>
        <stp>last_price</stp>
        <stp>[P&amp;l movement_R.xlsm]newResult!R42C25</stp>
        <tr r="Y42" s="11"/>
      </tp>
      <tp t="s">
        <v>#N/A Invalid Security</v>
        <stp/>
        <stp>##V3_BDPV12</stp>
        <stp>EOANGR 0 7/8 08/20/31</stp>
        <stp>last_price</stp>
        <stp>[P&amp;l movement_R.xlsm]newResult!R42C25</stp>
        <tr r="Y42" s="11"/>
      </tp>
      <tp t="s">
        <v>#N/A Invalid Security</v>
        <stp/>
        <stp>##V3_BDPV12</stp>
        <stp>DUZ0 Comdty equity</stp>
        <stp>last_price</stp>
        <stp>[P&amp;l movement_R.xlsm]newResult!R42C25</stp>
        <tr r="Y42" s="11"/>
      </tp>
      <tp>
        <v>110.631</v>
        <stp/>
        <stp>##V3_BDPV12</stp>
        <stp>USH3698DCP71@BGN corp</stp>
        <stp>px_last</stp>
        <stp>[P&amp;l movement_R.xlsm]pnl!R13C15</stp>
        <tr r="O13" s="24"/>
      </tp>
      <tp t="s">
        <v>#N/A Invalid Security</v>
        <stp/>
        <stp>##V3_BDPV12</stp>
        <stp>EDF 5 1/4 PERP equity</stp>
        <stp>last_price</stp>
        <stp>[P&amp;l movement_R.xlsm]newResult!R42C25</stp>
        <tr r="Y42" s="11"/>
      </tp>
      <tp t="s">
        <v>#N/A Invalid Security</v>
        <stp/>
        <stp>##V3_BDPV12</stp>
        <stp>BNP 6 5/8 PERP equity</stp>
        <stp>last_price</stp>
        <stp>[P&amp;l movement_R.xlsm]newResult!R42C25</stp>
        <tr r="Y42" s="11"/>
      </tp>
      <tp t="s">
        <v>#N/A Invalid Security</v>
        <stp/>
        <stp>##V3_BDPV12</stp>
        <stp>EDF 2 7/8 PERP equity</stp>
        <stp>last_price</stp>
        <stp>[P&amp;l movement_R.xlsm]newResult!R42C25</stp>
        <tr r="Y42" s="11"/>
      </tp>
      <tp t="s">
        <v>#N/A Invalid Security</v>
        <stp/>
        <stp>##V3_BDPV12</stp>
        <stp>EDF 3 3/8 PERP equity</stp>
        <stp>last_price</stp>
        <stp>[P&amp;l movement_R.xlsm]newResult!R42C25</stp>
        <tr r="Y42" s="11"/>
      </tp>
      <tp t="s">
        <v>#N/A Invalid Security</v>
        <stp/>
        <stp>##V3_BDPV12</stp>
        <stp>EDF 5 3/8 PERP equity</stp>
        <stp>last_price</stp>
        <stp>[P&amp;l movement_R.xlsm]newResult!R42C25</stp>
        <tr r="Y42" s="11"/>
      </tp>
      <tp t="s">
        <v>#N/A Invalid Security</v>
        <stp/>
        <stp>##V3_BDPV12</stp>
        <stp>EDF 5 5/8 PERP equity</stp>
        <stp>last_price</stp>
        <stp>[P&amp;l movement_R.xlsm]newResult!R42C25</stp>
        <tr r="Y42" s="11"/>
      </tp>
      <tp t="s">
        <v>#N/A Invalid Security</v>
        <stp/>
        <stp>##V3_BDPV12</stp>
        <stp>EDF 5 7/8 PERP equity</stp>
        <stp>last_price</stp>
        <stp>[P&amp;l movement_R.xlsm]newResult!R42C25</stp>
        <tr r="Y42" s="11"/>
      </tp>
      <tp t="s">
        <v>#N/A Invalid Security</v>
        <stp/>
        <stp>##V3_BDPV12</stp>
        <stp>DBOERS 1 1/4 06/16/47</stp>
        <stp>last_price</stp>
        <stp>[P&amp;l movement_R.xlsm]newResult!R42C25</stp>
        <tr r="Y42" s="11"/>
      </tp>
      <tp t="s">
        <v>#N/A Invalid Security</v>
        <stp/>
        <stp>##V3_BDPV12</stp>
        <stp>SRGIM 1 1/4 08/28/25</stp>
        <stp>last_price</stp>
        <stp>[P&amp;l movement_R.xlsm]pnl!R13C15</stp>
        <tr r="O13" s="24"/>
      </tp>
      <tp t="s">
        <v>#N/A Invalid Security</v>
        <stp/>
        <stp>##V3_BDPV12</stp>
        <stp>EUROGR 1 7/8 06/10/25</stp>
        <stp>last_price</stp>
        <stp>[P&amp;l movement_R.xlsm]newResult!R42C25</stp>
        <tr r="Y42" s="11"/>
      </tp>
      <tp t="s">
        <v>#N/A Invalid Security</v>
        <stp/>
        <stp>##V3_BDPV12</stp>
        <stp>BPLN 4 1/4 PERP</stp>
        <stp>last_price</stp>
        <stp>[P&amp;l movement_R.xlsm]newResult!R42C25</stp>
        <tr r="Y42" s="11"/>
      </tp>
      <tp t="s">
        <v>#N/A Invalid Security</v>
        <stp/>
        <stp>##V3_BDPV12</stp>
        <stp>ENELIM 3 3/8 11/24/81</stp>
        <stp>last_price</stp>
        <stp>[P&amp;l movement_R.xlsm]pnl!R13C15</stp>
        <tr r="O13" s="24"/>
      </tp>
      <tp>
        <v>108.92700000000001</v>
        <stp/>
        <stp>##V3_BDPV12</stp>
        <stp>USF1R15XK938@BGN corp</stp>
        <stp>px_last</stp>
        <stp>[P&amp;l movement_R.xlsm]pnl!R13C15</stp>
        <tr r="O13" s="24"/>
      </tp>
      <tp t="s">
        <v>#N/A Invalid Security</v>
        <stp/>
        <stp>##V3_BDPV12</stp>
        <stp>RDSALN 2 1/2 03/24/26</stp>
        <stp>last_price</stp>
        <stp>[P&amp;l movement_R.xlsm]newResult!R42C25</stp>
        <tr r="Y42" s="11"/>
      </tp>
      <tp t="s">
        <v>#N/A Invalid Security</v>
        <stp/>
        <stp>##V3_BDPV12</stp>
        <stp>BAYNGR 3 1/8 11/12/79 equity</stp>
        <stp>last_price</stp>
        <stp>[P&amp;l movement_R.xlsm]newResult!R42C25</stp>
        <tr r="Y42" s="11"/>
      </tp>
      <tp t="s">
        <v>#N/A Invalid Security</v>
        <stp/>
        <stp>##V3_BDPV12</stp>
        <stp>BAYNGR 2 3/8 11/12/79 equity</stp>
        <stp>last_price</stp>
        <stp>[P&amp;l movement_R.xlsm]newResult!R42C25</stp>
        <tr r="Y42" s="11"/>
      </tp>
      <tp t="s">
        <v>#N/A Invalid Security</v>
        <stp/>
        <stp>##V3_BDPV12</stp>
        <stp>BAYNGR 2 3/8 11/12/79</stp>
        <stp>last_price</stp>
        <stp>[P&amp;l movement_R.xlsm]newResult!R42C25</stp>
        <tr r="Y42" s="11"/>
      </tp>
      <tp t="s">
        <v>#N/A Invalid Security</v>
        <stp/>
        <stp>##V3_BDPV12</stp>
        <stp>ENGIFP 0 3/8 06/21/27</stp>
        <stp>last_price</stp>
        <stp>[P&amp;l movement_R.xlsm]newResult!R42C25</stp>
        <tr r="Y42" s="11"/>
      </tp>
      <tp t="s">
        <v>#N/A Invalid Security</v>
        <stp/>
        <stp>##V3_BDPV12</stp>
        <stp>ENGIFP 0 7/8 03/27/24</stp>
        <stp>last_price</stp>
        <stp>[P&amp;l movement_R.xlsm]newResult!R42C25</stp>
        <tr r="Y42" s="11"/>
      </tp>
      <tp t="s">
        <v>#N/A Invalid Security</v>
        <stp/>
        <stp>##V3_BDPV12</stp>
        <stp>JAPTOB 2 7/8 10/07/83</stp>
        <stp>last_price</stp>
        <stp>[P&amp;l movement_R.xlsm]pnl!R13C15</stp>
        <tr r="O13" s="24"/>
      </tp>
      <tp t="s">
        <v>#N/A Invalid Security</v>
        <stp/>
        <stp>##V3_BDPV12</stp>
        <stp>REPSM 4.247 PERP equity</stp>
        <stp>last_price</stp>
        <stp>[P&amp;l movement_R.xlsm]newResult!R42C25</stp>
        <tr r="Y42" s="11"/>
      </tp>
      <tp t="s">
        <v>#N/A Invalid Security</v>
        <stp/>
        <stp>##V3_BDPV12</stp>
        <stp>OMVAV 1 1/2 04/09/24</stp>
        <stp>last_price</stp>
        <stp>[P&amp;l movement_R.xlsm]pnl!R13C15</stp>
        <tr r="O13" s="24"/>
      </tp>
      <tp t="s">
        <v>#N/A Invalid Security</v>
        <stp/>
        <stp>##V3_BDPV12</stp>
        <stp>CAPFP 1 1/8 06/23/30</stp>
        <stp>last_price</stp>
        <stp>[P&amp;l movement_R.xlsm]pnl!R13C15</stp>
        <tr r="O13" s="24"/>
      </tp>
      <tp t="s">
        <v>#N/A Invalid Security</v>
        <stp/>
        <stp>##V3_BDPV12</stp>
        <stp>BAYNGR 3 1/8 11/12/79</stp>
        <stp>last_price</stp>
        <stp>[P&amp;l movement_R.xlsm]newResult!R42C25</stp>
        <tr r="Y42" s="11"/>
      </tp>
      <tp t="s">
        <v>#N/A Invalid Security</v>
        <stp/>
        <stp>##V3_BDPV12</stp>
        <stp>MRKGR 3 3/8 12/12/74</stp>
        <stp>last_price</stp>
        <stp>[P&amp;l movement_R.xlsm]newResult!R42C25</stp>
        <tr r="Y42" s="11"/>
      </tp>
      <tp t="s">
        <v>#N/A Invalid Security</v>
        <stp/>
        <stp>##V3_BDPV12</stp>
        <stp>EDF 5 1/4 PERP</stp>
        <stp>last_price</stp>
        <stp>[P&amp;l movement_R.xlsm]newResult!R42C25</stp>
        <tr r="Y42" s="11"/>
      </tp>
      <tp t="s">
        <v>#N/A Invalid Security</v>
        <stp/>
        <stp>##V3_BDPV12</stp>
        <stp>ERGIM 0 1/2 09/11/27</stp>
        <stp>last_price</stp>
        <stp>[P&amp;l movement_R.xlsm]newResult!R42C25</stp>
        <tr r="Y42" s="11"/>
      </tp>
      <tp t="s">
        <v>#N/A Invalid Security</v>
        <stp/>
        <stp>##V3_BDPV12</stp>
        <stp>CNALN 5 1/4 04/10/75</stp>
        <stp>last_price</stp>
        <stp>[P&amp;l movement_R.xlsm]newResult!R42C25</stp>
        <tr r="Y42" s="11"/>
      </tp>
      <tp t="s">
        <v>#N/A Invalid Security</v>
        <stp/>
        <stp>##V3_BDPV12</stp>
        <stp>T 2 7/8 PERP</stp>
        <stp>last_price</stp>
        <stp>[P&amp;l movement_R.xlsm]newResult!R42C25</stp>
        <tr r="Y42" s="11"/>
      </tp>
      <tp t="s">
        <v>#N/A Invalid Security</v>
        <stp/>
        <stp>##V3_BDPV12</stp>
        <stp>ENELIM 6 5/8 09/15/76</stp>
        <stp>last_price</stp>
        <stp>[P&amp;l movement_R.xlsm]pnl!R13C15</stp>
        <tr r="O13" s="24"/>
      </tp>
      <tp t="s">
        <v>#N/A Invalid Security</v>
        <stp/>
        <stp>##V3_BDPV12</stp>
        <stp>ITXEX534_TRS1@ corp</stp>
        <stp>last_price</stp>
        <stp>[P&amp;l movement_R.xlsm]newResult!R42C25</stp>
        <tr r="Y42" s="11"/>
      </tp>
      <tp t="s">
        <v>#N/A Invalid Security</v>
        <stp/>
        <stp>##V3_BDPV12</stp>
        <stp>ITXES534_TRS1@ corp</stp>
        <stp>last_price</stp>
        <stp>[P&amp;l movement_R.xlsm]newResult!R42C25</stp>
        <tr r="Y42" s="11"/>
      </tp>
      <tp t="s">
        <v>#N/A Invalid Security</v>
        <stp/>
        <stp>##V3_BDPV12</stp>
        <stp>ITXEU534_TRS1@ corp</stp>
        <stp>last_price</stp>
        <stp>[P&amp;l movement_R.xlsm]newResult!R42C25</stp>
        <tr r="Y42" s="11"/>
      </tp>
      <tp t="s">
        <v>#N/A Invalid Security</v>
        <stp/>
        <stp>##V3_BDPV12</stp>
        <stp>ITXEB534_TRS1@ corp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ITXEX534_TRS1@ corp</stp>
        <stp>last_price</stp>
        <stp>[P&amp;l movement_R.xlsm]newResult!R42C14</stp>
        <tr r="N42" s="11"/>
      </tp>
      <tp t="s">
        <v>#N/A Invalid Security</v>
        <stp/>
        <stp>##V3_BDPV12</stp>
        <stp>ITXES534_TRS1@ corp</stp>
        <stp>last_price</stp>
        <stp>[P&amp;l movement_R.xlsm]newResult!R42C14</stp>
        <tr r="N42" s="11"/>
      </tp>
      <tp t="s">
        <v>#N/A Invalid Security</v>
        <stp/>
        <stp>##V3_BDPV12</stp>
        <stp>ITXEU534_TRS1@ corp</stp>
        <stp>last_price</stp>
        <stp>[P&amp;l movement_R.xlsm]newResult!R42C14</stp>
        <tr r="N42" s="11"/>
      </tp>
      <tp t="s">
        <v>#N/A Invalid Security</v>
        <stp/>
        <stp>##V3_BDPV12</stp>
        <stp>ITXEB534_TRS1@ corp</stp>
        <stp>last_price</stp>
        <stp>[P&amp;l movement_R.xlsm]newResult!R42C14</stp>
        <tr r="N42" s="11"/>
        <tr r="N42" s="11"/>
      </tp>
      <tp t="s">
        <v>#N/A Invalid Security</v>
        <stp/>
        <stp>##V3_BDPV12</stp>
        <stp>TOTAL 1 3/8 03/19/25</stp>
        <stp>last_price</stp>
        <stp>[P&amp;l movement_R.xlsm]pnl!R13C15</stp>
        <tr r="O13" s="24"/>
      </tp>
      <tp t="s">
        <v>#N/A Invalid Security</v>
        <stp/>
        <stp>##V3_BDPV12</stp>
        <stp>CS 6 3/8 PERP equity</stp>
        <stp>last_price</stp>
        <stp>[P&amp;l movement_R.xlsm]newResult!R42C25</stp>
        <tr r="Y42" s="11"/>
      </tp>
      <tp t="s">
        <v>#N/A Invalid Security</v>
        <stp/>
        <stp>##V3_BDPV12</stp>
        <stp>TELEFO 1.447 01/22/27</stp>
        <stp>last_price</stp>
        <stp>[P&amp;l movement_R.xlsm]newResult!R42C25</stp>
        <tr r="Y42" s="11"/>
      </tp>
      <tp t="s">
        <v>#N/A Invalid Security</v>
        <stp/>
        <stp>##V3_BDPV12</stp>
        <stp>TRNIM 0 1/8 07/25/25</stp>
        <stp>last_price</stp>
        <stp>[P&amp;l movement_R.xlsm]newResult!R42C25</stp>
        <tr r="Y42" s="11"/>
      </tp>
      <tp t="s">
        <v>#N/A Invalid Security</v>
        <stp/>
        <stp>##V3_BDPV12</stp>
        <stp>DUZ0 Curncy</stp>
        <stp>px_eval</stp>
        <stp>[P&amp;l movement_R.xlsm]newResult!R42C25</stp>
        <stp>cds_5y</stp>
        <stp>-</stp>
        <tr r="Y42" s="11"/>
      </tp>
      <tp>
        <v>1.1869000000000001</v>
        <stp/>
        <stp>##V3_BDPV12</stp>
        <stp>ECZ0 Curncy</stp>
        <stp>px_eval</stp>
        <stp>[P&amp;l movement_R.xlsm]newResult!R42C25</stp>
        <stp>cds_5y</stp>
        <stp>-</stp>
        <tr r="Y42" s="11"/>
      </tp>
      <tp>
        <v>135.37</v>
        <stp/>
        <stp>##V3_BDPV12</stp>
        <stp>OEZ0 Curncy</stp>
        <stp>px_eval</stp>
        <stp>[P&amp;l movement_R.xlsm]newResult!R42C25</stp>
        <stp>cds_5y</stp>
        <stp>-</stp>
        <tr r="Y42" s="11"/>
        <tr r="Y42" s="11"/>
      </tp>
      <tp>
        <v>225.92000000000002</v>
        <stp/>
        <stp>##V3_BDPV12</stp>
        <stp>UBZ0 Curncy</stp>
        <stp>px_eval</stp>
        <stp>[P&amp;l movement_R.xlsm]newResult!R42C25</stp>
        <stp>cds_5y</stp>
        <stp>-</stp>
        <tr r="Y42" s="11"/>
        <tr r="Y42" s="11"/>
      </tp>
      <tp>
        <v>175.20000000000002</v>
        <stp/>
        <stp>##V3_BDPV12</stp>
        <stp>RXZ0 Curncy</stp>
        <stp>px_eval</stp>
        <stp>[P&amp;l movement_R.xlsm]newResult!R42C25</stp>
        <stp>cds_5y</stp>
        <stp>-</stp>
        <tr r="Y42" s="11"/>
        <tr r="Y42" s="11"/>
      </tp>
      <tp>
        <v>0.89605000000000001</v>
        <stp/>
        <stp>##V3_BDPV12</stp>
        <stp>RPZ0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EUROGR 1 7/8 06/10/25</stp>
        <stp>last_price</stp>
        <stp>[P&amp;l movement_R.xlsm]pnl!R13C15</stp>
        <tr r="O13" s="24"/>
      </tp>
      <tp t="s">
        <v>#N/A Invalid Security</v>
        <stp/>
        <stp>##V3_BDPV12</stp>
        <stp>CS 6 3/8 PERP</stp>
        <stp>last_price</stp>
        <stp>[P&amp;l movement_R.xlsm]pnl!R13C15</stp>
        <tr r="O13" s="24"/>
      </tp>
      <tp t="s">
        <v>#N/A Invalid Security</v>
        <stp/>
        <stp>##V3_BDPV12</stp>
        <stp>BGGRP 1 1/4 11/21/22</stp>
        <stp>last_price</stp>
        <stp>[P&amp;l movement_R.xlsm]pnl!R13C15</stp>
        <tr r="O13" s="24"/>
      </tp>
      <tp t="s">
        <v>#N/A Invalid Security</v>
        <stp/>
        <stp>##V3_BDPV12</stp>
        <stp>FCAIM 4 1/2 07/07/28</stp>
        <stp>last_price</stp>
        <stp>[P&amp;l movement_R.xlsm]newResult!R42C25</stp>
        <tr r="Y42" s="11"/>
      </tp>
      <tp t="s">
        <v>#N/A Invalid Security</v>
        <stp/>
        <stp>##V3_BDPV12</stp>
        <stp>VIEFP 0.892 01/14/24</stp>
        <stp>last_price</stp>
        <stp>[P&amp;l movement_R.xlsm]newResult!R42C25</stp>
        <tr r="Y42" s="11"/>
      </tp>
      <tp t="s">
        <v>#N/A Invalid Security</v>
        <stp/>
        <stp>##V3_BDPV12</stp>
        <stp>TRNIM 1 3/8 07/26/27</stp>
        <stp>last_price</stp>
        <stp>[P&amp;l movement_R.xlsm]newResult!R42C25</stp>
        <tr r="Y42" s="11"/>
      </tp>
      <tp t="s">
        <v>#N/A Invalid Security</v>
        <stp/>
        <stp>##V3_BDPV12</stp>
        <stp>ENBW 0 1/4 10/19/30</stp>
        <stp>last_price</stp>
        <stp>[P&amp;l movement_R.xlsm]pnl!R13C15</stp>
        <tr r="O13" s="24"/>
      </tp>
      <tp t="s">
        <v>#N/A Invalid Security</v>
        <stp/>
        <stp>##V3_BDPV12</stp>
        <stp>NGGLN 2 1/8 09/05/82</stp>
        <stp>last_price</stp>
        <stp>[P&amp;l movement_R.xlsm]newResult!R42C25</stp>
        <tr r="Y42" s="11"/>
      </tp>
      <tp t="s">
        <v>#N/A Invalid Security</v>
        <stp/>
        <stp>##V3_BDPV12</stp>
        <stp>ELIATB 0 7/8 04/28/30</stp>
        <stp>last_price</stp>
        <stp>[P&amp;l movement_R.xlsm]pnl!R13C15</stp>
        <tr r="O13" s="24"/>
      </tp>
      <tp t="s">
        <v>#N/A Invalid Security</v>
        <stp/>
        <stp>##V3_BDPV12</stp>
        <stp>TOTAL 2 1/2 03/25/26</stp>
        <stp>last_price</stp>
        <stp>[P&amp;l movement_R.xlsm]pnl!R13C15</stp>
        <tr r="O13" s="24"/>
      </tp>
      <tp t="s">
        <v>#N/A Invalid Security</v>
        <stp/>
        <stp>##V3_BDPV12</stp>
        <stp>EUROGR 1 7/8 06/10/25 equity</stp>
        <stp>last_price</stp>
        <stp>[P&amp;l movement_R.xlsm]newResult!R42C25</stp>
        <tr r="Y42" s="11"/>
      </tp>
      <tp t="s">
        <v>#N/A Invalid Security</v>
        <stp/>
        <stp>##V3_BDPV12</stp>
        <stp>ENELIM 3 3/8 11/24/81</stp>
        <stp>last_price</stp>
        <stp>[P&amp;l movement_R.xlsm]newResult!R42C25</stp>
        <tr r="Y42" s="11"/>
      </tp>
      <tp t="s">
        <v>#N/A Invalid Security</v>
        <stp/>
        <stp>##V3_BDPV12</stp>
        <stp>MRKGR 1 5/8 09/09/80</stp>
        <stp>last_price</stp>
        <stp>[P&amp;l movement_R.xlsm]newResult!R42C25</stp>
        <tr r="Y42" s="11"/>
      </tp>
      <tp t="s">
        <v>#N/A Invalid Security</v>
        <stp/>
        <stp>##V3_BDPV12</stp>
        <stp>ORAFP 1 1/8 07/15/24</stp>
        <stp>last_price</stp>
        <stp>[P&amp;l movement_R.xlsm]newResult!R42C25</stp>
        <tr r="Y42" s="11"/>
      </tp>
      <tp t="s">
        <v>#N/A Invalid Security</v>
        <stp/>
        <stp>##V3_BDPV12</stp>
        <stp>ENELIM 5.451 01/10/74</stp>
        <stp>last_price</stp>
        <stp>[P&amp;l movement_R.xlsm]newResult!R42C25</stp>
        <tr r="Y42" s="11"/>
      </tp>
      <tp t="s">
        <v>#N/A Invalid Security</v>
        <stp/>
        <stp>##V3_BDPV12</stp>
        <stp>TOTAL 1.535 05/31/39</stp>
        <stp>last_price</stp>
        <stp>[P&amp;l movement_R.xlsm]pnl!R13C15</stp>
        <tr r="O13" s="24"/>
      </tp>
      <tp t="s">
        <v>#N/A Invalid Security</v>
        <stp/>
        <stp>##V3_BDPV12</stp>
        <stp>JAPTOB 2 3/8 04/07/81 equity</stp>
        <stp>last_price</stp>
        <stp>[P&amp;l movement_R.xlsm]newResult!R42C25</stp>
        <tr r="Y42" s="11"/>
      </tp>
      <tp t="s">
        <v>#N/A Invalid Security</v>
        <stp/>
        <stp>##V3_BDPV12</stp>
        <stp>ORAFP 5 3/4 PERP equity</stp>
        <stp>last_price</stp>
        <stp>[P&amp;l movement_R.xlsm]newResult!R42C25</stp>
        <tr r="Y42" s="11"/>
      </tp>
      <tp t="s">
        <v>#N/A Invalid Security</v>
        <stp/>
        <stp>##V3_BDPV12</stp>
        <stp>BPLN 3 5/8 PERP</stp>
        <stp>last_price</stp>
        <stp>[P&amp;l movement_R.xlsm]newResult!R42C25</stp>
        <tr r="Y42" s="11"/>
      </tp>
      <tp t="s">
        <v>#N/A Invalid Security</v>
        <stp/>
        <stp>##V3_BDPV12</stp>
        <stp>FRPTT 3 1/8 PERP equity</stp>
        <stp>last_price</stp>
        <stp>[P&amp;l movement_R.xlsm]newResult!R42C25</stp>
        <tr r="Y42" s="11"/>
      </tp>
      <tp>
        <v>99.375</v>
        <stp/>
        <stp>##V3_BDPV12</stp>
        <stp>FR00140007L3@BGN corp</stp>
        <stp>px_last</stp>
        <stp>[P&amp;l movement_R.xlsm]pnl!R13C15</stp>
        <tr r="O13" s="24"/>
      </tp>
      <tp>
        <v>107.395</v>
        <stp/>
        <stp>##V3_BDPV12</stp>
        <stp>USF2893TAM83@BGN corp</stp>
        <stp>px_last</stp>
        <stp>[P&amp;l movement_R.xlsm]pnl!R13C15</stp>
        <tr r="O13" s="24"/>
      </tp>
      <tp t="s">
        <v>#N/A Invalid Security</v>
        <stp/>
        <stp>##V3_BDPV12</stp>
        <stp>STEDIN 0 7/8 10/24/25</stp>
        <stp>last_price</stp>
        <stp>[P&amp;l movement_R.xlsm]newResult!R42C25</stp>
        <tr r="Y42" s="11"/>
      </tp>
      <tp t="s">
        <v>#N/A Invalid Security</v>
        <stp/>
        <stp>##V3_BDPV12</stp>
        <stp>REDEXS 1 7/8 05/28/25</stp>
        <stp>last_price</stp>
        <stp>[P&amp;l movement_R.xlsm]newResult!R42C25</stp>
        <tr r="Y42" s="11"/>
      </tp>
      <tp t="s">
        <v>#N/A Invalid Security</v>
        <stp/>
        <stp>##V3_BDPV12</stp>
        <stp>ENGIFP 1 3/4 03/27/28</stp>
        <stp>last_price</stp>
        <stp>[P&amp;l movement_R.xlsm]newResult!R42C25</stp>
        <tr r="Y42" s="11"/>
      </tp>
      <tp t="s">
        <v>#N/A Invalid Security</v>
        <stp/>
        <stp>##V3_BDPV12</stp>
        <stp>VIEFP 4 5/8 03/30/27</stp>
        <stp>last_price</stp>
        <stp>[P&amp;l movement_R.xlsm]newResult!R42C25</stp>
        <tr r="Y42" s="11"/>
      </tp>
      <tp t="s">
        <v>#N/A Invalid Security</v>
        <stp/>
        <stp>##V3_BDPV12</stp>
        <stp>EDF 5 3/8 PERP</stp>
        <stp>last_price</stp>
        <stp>[P&amp;l movement_R.xlsm]newResult!R42C25</stp>
        <tr r="Y42" s="11"/>
      </tp>
      <tp t="s">
        <v>#N/A Invalid Security</v>
        <stp/>
        <stp>##V3_BDPV12</stp>
        <stp>EDF 5 5/8 PERP</stp>
        <stp>last_price</stp>
        <stp>[P&amp;l movement_R.xlsm]newResult!R42C25</stp>
        <tr r="Y42" s="11"/>
      </tp>
      <tp t="s">
        <v>#N/A Invalid Security</v>
        <stp/>
        <stp>##V3_BDPV12</stp>
        <stp>EDF 5 7/8 PERP</stp>
        <stp>last_price</stp>
        <stp>[P&amp;l movement_R.xlsm]newResult!R42C25</stp>
        <tr r="Y42" s="11"/>
      </tp>
      <tp t="s">
        <v>#N/A Invalid Security</v>
        <stp/>
        <stp>##V3_BDPV12</stp>
        <stp>TRNIM 0 1/8 07/25/25</stp>
        <stp>last_price</stp>
        <stp>[P&amp;l movement_R.xlsm]pnl!R13C15</stp>
        <tr r="O13" s="24"/>
      </tp>
      <tp t="s">
        <v>#N/A Invalid Security</v>
        <stp/>
        <stp>##V3_BDPV12</stp>
        <stp>ACFP 2 5/8 PERP equity</stp>
        <stp>last_price</stp>
        <stp>[P&amp;l movement_R.xlsm]newResult!R42C25</stp>
        <tr r="Y42" s="11"/>
      </tp>
      <tp t="s">
        <v>#N/A Invalid Security</v>
        <stp/>
        <stp>##V3_BDPV12</stp>
        <stp>ENBW 3 5/8 04/02/76</stp>
        <stp>last_price</stp>
        <stp>[P&amp;l movement_R.xlsm]pnl!R13C15</stp>
        <tr r="O13" s="24"/>
      </tp>
      <tp t="s">
        <v>#N/A Invalid Security</v>
        <stp/>
        <stp>##V3_BDPV12</stp>
        <stp>ECZ0 Curncy equity</stp>
        <stp>last_price</stp>
        <stp>[P&amp;l movement_R.xlsm]newResult!R42C25</stp>
        <tr r="Y42" s="11"/>
      </tp>
      <tp t="s">
        <v>#N/A Invalid Security</v>
        <stp/>
        <stp>##V3_BDPV12</stp>
        <stp>OEZ0 Comdty equity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RDSALN 2 1/2 03/24/26</stp>
        <stp>last_price</stp>
        <stp>[P&amp;l movement_R.xlsm]pnl!R13C15</stp>
        <tr r="O13" s="24"/>
      </tp>
      <tp t="s">
        <v>#N/A Invalid Security</v>
        <stp/>
        <stp>##V3_BDPV12</stp>
        <stp>SSELN 2 3/8 PERP equity</stp>
        <stp>last_price</stp>
        <stp>[P&amp;l movement_R.xlsm]newResult!R42C25</stp>
        <tr r="Y42" s="11"/>
      </tp>
      <tp t="s">
        <v>#N/A Invalid Security</v>
        <stp/>
        <stp>##V3_BDPV12</stp>
        <stp>SSELN 3 1/8 PERP equity</stp>
        <stp>last_price</stp>
        <stp>[P&amp;l movement_R.xlsm]newResult!R42C25</stp>
        <tr r="Y42" s="11"/>
      </tp>
      <tp t="s">
        <v>#N/A Invalid Security</v>
        <stp/>
        <stp>##V3_BDPV12</stp>
        <stp>ISPIM 7 3/4 PERP equity</stp>
        <stp>last_price</stp>
        <stp>[P&amp;l movement_R.xlsm]newResult!R42C25</stp>
        <tr r="Y42" s="11"/>
      </tp>
      <tp t="s">
        <v>#N/A Invalid Security</v>
        <stp/>
        <stp>##V3_BDPV12</stp>
        <stp>AKFAST 3 7/8 10/05/78</stp>
        <stp>last_price</stp>
        <stp>[P&amp;l movement_R.xlsm]newResult!R42C25</stp>
        <tr r="Y42" s="11"/>
      </tp>
      <tp t="s">
        <v>#N/A Invalid Security</v>
        <stp/>
        <stp>##V3_BDPV12</stp>
        <stp>BPLN 4 1/4 PERP equity</stp>
        <stp>last_price</stp>
        <stp>[P&amp;l movement_R.xlsm]newResult!R42C25</stp>
        <tr r="Y42" s="11"/>
      </tp>
      <tp t="s">
        <v>#N/A Invalid Security</v>
        <stp/>
        <stp>##V3_BDPV12</stp>
        <stp>BPLN 4 7/8 PERP equity</stp>
        <stp>last_price</stp>
        <stp>[P&amp;l movement_R.xlsm]newResult!R42C25</stp>
        <tr r="Y42" s="11"/>
      </tp>
      <tp t="s">
        <v>#N/A Invalid Security</v>
        <stp/>
        <stp>##V3_BDPV12</stp>
        <stp>BPLN 4 3/8 PERP equity</stp>
        <stp>last_price</stp>
        <stp>[P&amp;l movement_R.xlsm]newResult!R42C25</stp>
        <tr r="Y42" s="11"/>
      </tp>
      <tp t="s">
        <v>#N/A Invalid Security</v>
        <stp/>
        <stp>##V3_BDPV12</stp>
        <stp>TELEFO 1.447 01/22/27 equity</stp>
        <stp>last_price</stp>
        <stp>[P&amp;l movement_R.xlsm]newResult!R42C25</stp>
        <tr r="Y42" s="11"/>
      </tp>
      <tp t="s">
        <v>#N/A Invalid Security</v>
        <stp/>
        <stp>##V3_BDPV12</stp>
        <stp>BPLN 3 5/8 PERP equity</stp>
        <stp>last_price</stp>
        <stp>[P&amp;l movement_R.xlsm]newResult!R42C25</stp>
        <tr r="Y42" s="11"/>
      </tp>
      <tp t="s">
        <v>#N/A Invalid Security</v>
        <stp/>
        <stp>##V3_BDPV12</stp>
        <stp>RDSALN 1 1/4 05/12/28 equity</stp>
        <stp>last_price</stp>
        <stp>[P&amp;l movement_R.xlsm]newResult!R42C25</stp>
        <tr r="Y42" s="11"/>
      </tp>
      <tp t="s">
        <v>#N/A Invalid Security</v>
        <stp/>
        <stp>##V3_BDPV12</stp>
        <stp>VIEFP 6 1/8 11/25/33</stp>
        <stp>last_price</stp>
        <stp>[P&amp;l movement_R.xlsm]newResult!R42C25</stp>
        <tr r="Y42" s="11"/>
      </tp>
      <tp t="s">
        <v>#N/A Invalid Security</v>
        <stp/>
        <stp>##V3_BDPV12</stp>
        <stp>BACR 7 1/4 PERP equity</stp>
        <stp>last_price</stp>
        <stp>[P&amp;l movement_R.xlsm]newResult!R42C25</stp>
        <tr r="Y42" s="11"/>
      </tp>
      <tp t="s">
        <v>#N/A Invalid Security</v>
        <stp/>
        <stp>##V3_BDPV12</stp>
        <stp>TENN 2.995 PERP equity</stp>
        <stp>last_price</stp>
        <stp>[P&amp;l movement_R.xlsm]newResult!R42C25</stp>
        <tr r="Y42" s="11"/>
      </tp>
      <tp t="s">
        <v>#N/A Invalid Security</v>
        <stp/>
        <stp>##V3_BDPV12</stp>
        <stp>SSELN 3 5/8 09/16/77</stp>
        <stp>last_price</stp>
        <stp>[P&amp;l movement_R.xlsm]pnl!R13C15</stp>
        <tr r="O13" s="24"/>
      </tp>
      <tp t="s">
        <v>#N/A Invalid Security</v>
        <stp/>
        <stp>##V3_BDPV12</stp>
        <stp>TRNIM 0 3/4 07/24/32</stp>
        <stp>last_price</stp>
        <stp>[P&amp;l movement_R.xlsm]pnl!R13C15</stp>
        <tr r="O13" s="24"/>
      </tp>
      <tp t="s">
        <v>#N/A Invalid Security</v>
        <stp/>
        <stp>##V3_BDPV12</stp>
        <stp>BACR 5 7/8 PERP equity</stp>
        <stp>last_price</stp>
        <stp>[P&amp;l movement_R.xlsm]newResult!R42C25</stp>
        <tr r="Y42" s="11"/>
      </tp>
      <tp t="s">
        <v>#N/A Invalid Security</v>
        <stp/>
        <stp>##V3_BDPV12</stp>
        <stp>ENBW 5 1/8 04/05/77</stp>
        <stp>last_price</stp>
        <stp>[P&amp;l movement_R.xlsm]pnl!R13C15</stp>
        <tr r="O13" s="24"/>
      </tp>
      <tp t="s">
        <v>#N/A Invalid Security</v>
        <stp/>
        <stp>##V3_BDPV12</stp>
        <stp>FCAIM 3 3/8 07/07/23</stp>
        <stp>last_price</stp>
        <stp>[P&amp;l movement_R.xlsm]newResult!R42C25</stp>
        <tr r="Y42" s="11"/>
      </tp>
      <tp t="s">
        <v>#N/A Invalid Security</v>
        <stp/>
        <stp>##V3_BDPV12</stp>
        <stp>TELEFO 1.447 01/22/27</stp>
        <stp>last_price</stp>
        <stp>[P&amp;l movement_R.xlsm]pnl!R13C15</stp>
        <tr r="O13" s="24"/>
      </tp>
      <tp t="s">
        <v>#N/A Invalid Security</v>
        <stp/>
        <stp>##V3_BDPV12</stp>
        <stp>CT413383_251220@ corp</stp>
        <stp>px_last</stp>
        <stp>[P&amp;l movement_R.xlsm]pnl!R13C15</stp>
        <tr r="O13" s="24"/>
      </tp>
      <tp t="s">
        <v>#N/A Invalid Security</v>
        <stp/>
        <stp>##V3_BDPV12</stp>
        <stp>RDSALN 1 7/8 04/07/32 equity</stp>
        <stp>last_price</stp>
        <stp>[P&amp;l movement_R.xlsm]newResult!R42C25</stp>
        <tr r="Y42" s="11"/>
      </tp>
      <tp t="s">
        <v>#N/A Invalid Security</v>
        <stp/>
        <stp>##V3_BDPV12</stp>
        <stp>CDTFIN 0 5/8 09/22/24</stp>
        <stp>last_price</stp>
        <stp>[P&amp;l movement_R.xlsm]newResult!R42C25</stp>
        <tr r="Y42" s="11"/>
      </tp>
      <tp t="s">
        <v>#N/A Invalid Security</v>
        <stp/>
        <stp>##V3_BDPV12</stp>
        <stp>TRNIM 0 3/4 07/24/32</stp>
        <stp>last_price</stp>
        <stp>[P&amp;l movement_R.xlsm]newResult!R42C25</stp>
        <tr r="Y42" s="11"/>
      </tp>
      <tp t="s">
        <v>#N/A Invalid Security</v>
        <stp/>
        <stp>##V3_BDPV12</stp>
        <stp>MRKGR 3 3/8 12/12/74</stp>
        <stp>last_price</stp>
        <stp>[P&amp;l movement_R.xlsm]pnl!R13C15</stp>
        <tr r="O13" s="24"/>
      </tp>
      <tp t="s">
        <v>#N/A Invalid Security</v>
        <stp/>
        <stp>##V3_BDPV12</stp>
        <stp>SSELN 3 5/8 09/16/77</stp>
        <stp>last_price</stp>
        <stp>[P&amp;l movement_R.xlsm]newResult!R42C25</stp>
        <tr r="Y42" s="11"/>
      </tp>
      <tp t="s">
        <v>#N/A Invalid Security</v>
        <stp/>
        <stp>##V3_BDPV12</stp>
        <stp>EDPPL 1.7 07/20/80</stp>
        <stp>last_price</stp>
        <stp>[P&amp;l movement_R.xlsm]pnl!R13C15</stp>
        <tr r="O13" s="24"/>
      </tp>
      <tp t="s">
        <v>#N/A Invalid Security</v>
        <stp/>
        <stp>##V3_BDPV12</stp>
        <stp>CDTFIN 0 5/8 09/22/24</stp>
        <stp>last_price</stp>
        <stp>[P&amp;l movement_R.xlsm]pnl!R13C15</stp>
        <tr r="O13" s="24"/>
      </tp>
      <tp t="s">
        <v>#N/A Invalid Security</v>
        <stp/>
        <stp>##V3_BDPV12</stp>
        <stp>RDSALN 1 7/8 04/07/32</stp>
        <stp>last_price</stp>
        <stp>[P&amp;l movement_R.xlsm]newResult!R42C25</stp>
        <tr r="Y42" s="11"/>
      </tp>
      <tp t="s">
        <v>#N/A Invalid Security</v>
        <stp/>
        <stp>##V3_BDPV12</stp>
        <stp>RDSALN 2 1/2 03/24/26 equity</stp>
        <stp>last_price</stp>
        <stp>[P&amp;l movement_R.xlsm]newResult!R42C25</stp>
        <tr r="Y42" s="11"/>
      </tp>
      <tp t="s">
        <v>#N/A Invalid Security</v>
        <stp/>
        <stp>##V3_BDPV12</stp>
        <stp>TELEFO 5 7/8 02/14/33</stp>
        <stp>last_price</stp>
        <stp>[P&amp;l movement_R.xlsm]newResult!R42C25</stp>
        <tr r="Y42" s="11"/>
      </tp>
      <tp t="s">
        <v>#N/A Invalid Security</v>
        <stp/>
        <stp>##V3_BDPV12</stp>
        <stp>STATK 1 1/2 09/21/23</stp>
        <stp>last_price</stp>
        <stp>[P&amp;l movement_R.xlsm]pnl!R13C15</stp>
        <tr r="O13" s="24"/>
      </tp>
      <tp t="s">
        <v>#N/A Invalid Security</v>
        <stp/>
        <stp>##V3_BDPV12</stp>
        <stp>EQNR 2 7/8 09/10/25</stp>
        <stp>last_price</stp>
        <stp>[P&amp;l movement_R.xlsm]pnl!R13C15</stp>
        <tr r="O13" s="24"/>
      </tp>
      <tp t="s">
        <v>#N/A Invalid Security</v>
        <stp/>
        <stp>##V3_BDPV12</stp>
        <stp>DAIGR 0 3/4 09/10/30</stp>
        <stp>last_price</stp>
        <stp>[P&amp;l movement_R.xlsm]newResult!R42C25</stp>
        <tr r="Y42" s="11"/>
      </tp>
      <tp t="s">
        <v>#N/A Invalid Security</v>
        <stp/>
        <stp>##V3_BDPV12</stp>
        <stp>SSELN 4 3/4 09/16/77</stp>
        <stp>last_price</stp>
        <stp>[P&amp;l movement_R.xlsm]pnl!R13C15</stp>
        <tr r="O13" s="24"/>
      </tp>
      <tp t="s">
        <v>#N/A Invalid Security</v>
        <stp/>
        <stp>##V3_BDPV12</stp>
        <stp>LXSGR 4 1/2 12/06/76</stp>
        <stp>last_price</stp>
        <stp>[P&amp;l movement_R.xlsm]pnl!R13C15</stp>
        <tr r="O13" s="24"/>
      </tp>
      <tp t="s">
        <v>#N/A Invalid Security</v>
        <stp/>
        <stp>##V3_BDPV12</stp>
        <stp>ENELIM 2 1/2 11/24/78</stp>
        <stp>last_price</stp>
        <stp>[P&amp;l movement_R.xlsm]newResult!R42C25</stp>
        <tr r="Y42" s="11"/>
      </tp>
      <tp t="s">
        <v>#N/A Invalid Security</v>
        <stp/>
        <stp>##V3_BDPV12</stp>
        <stp>JAPTOB 2 7/8 10/07/83 equity</stp>
        <stp>last_price</stp>
        <stp>[P&amp;l movement_R.xlsm]newResult!R42C25</stp>
        <tr r="Y42" s="11"/>
      </tp>
      <tp t="s">
        <v>#N/A Invalid Security</v>
        <stp/>
        <stp>##V3_BDPV12</stp>
        <stp>RDSALN 1 7/8 04/07/32</stp>
        <stp>last_price</stp>
        <stp>[P&amp;l movement_R.xlsm]pnl!R13C15</stp>
        <tr r="O13" s="24"/>
      </tp>
      <tp t="s">
        <v>#N/A Invalid Security</v>
        <stp/>
        <stp>##V3_BDPV12</stp>
        <stp>ELIATB 0 7/8 04/28/30</stp>
        <stp>last_price</stp>
        <stp>[P&amp;l movement_R.xlsm]newResult!R42C25</stp>
        <tr r="Y42" s="11"/>
      </tp>
      <tp t="s">
        <v>#N/A Invalid Security</v>
        <stp/>
        <stp>##V3_BDPV12</stp>
        <stp>BNP 6 5/8 PERP</stp>
        <stp>last_price</stp>
        <stp>[P&amp;l movement_R.xlsm]newResult!R42C25</stp>
        <tr r="Y42" s="11"/>
      </tp>
      <tp t="s">
        <v>#N/A Invalid Security</v>
        <stp/>
        <stp>##V3_BDPV12</stp>
        <stp>MRDGF 1 3/8 04/11/25</stp>
        <stp>last_price</stp>
        <stp>[P&amp;l movement_R.xlsm]newResult!R42C25</stp>
        <tr r="Y42" s="11"/>
      </tp>
      <tp t="s">
        <v>#N/A Invalid Security</v>
        <stp/>
        <stp>##V3_BDPV12</stp>
        <stp>EQNR 1 1/4 02/17/27</stp>
        <stp>last_price</stp>
        <stp>[P&amp;l movement_R.xlsm]pnl!R13C15</stp>
        <tr r="O13" s="24"/>
      </tp>
      <tp t="s">
        <v>#N/A Invalid Security</v>
        <stp/>
        <stp>##V3_BDPV12</stp>
        <stp>ORSTED 1 3/4 12/09/19 equity</stp>
        <stp>last_price</stp>
        <stp>[P&amp;l movement_R.xlsm]newResult!R42C25</stp>
        <tr r="Y42" s="11"/>
      </tp>
      <tp t="s">
        <v>#N/A Invalid Security</v>
        <stp/>
        <stp>##V3_BDPV12</stp>
        <stp>ENGSM 0 3/8 11/05/32</stp>
        <stp>last_price</stp>
        <stp>[P&amp;l movement_R.xlsm]newResult!R42C25</stp>
        <tr r="Y42" s="11"/>
      </tp>
      <tp t="s">
        <v>#N/A Invalid Security</v>
        <stp/>
        <stp>##V3_BDPV12</stp>
        <stp>ENGSM 1 3/8 05/05/28</stp>
        <stp>last_price</stp>
        <stp>[P&amp;l movement_R.xlsm]newResult!R42C25</stp>
        <tr r="Y42" s="11"/>
      </tp>
      <tp t="s">
        <v>#N/A Invalid Security</v>
        <stp/>
        <stp>##V3_BDPV12</stp>
        <stp>ERGIM 1 7/8 04/11/25</stp>
        <stp>last_price</stp>
        <stp>[P&amp;l movement_R.xlsm]newResult!R42C25</stp>
        <tr r="Y42" s="11"/>
      </tp>
      <tp t="s">
        <v>#N/A Invalid Security</v>
        <stp/>
        <stp>##V3_BDPV12</stp>
        <stp>EDF 2 7/8 PERP</stp>
        <stp>last_price</stp>
        <stp>[P&amp;l movement_R.xlsm]newResult!R42C25</stp>
        <tr r="Y42" s="11"/>
      </tp>
      <tp t="s">
        <v>#N/A Invalid Security</v>
        <stp/>
        <stp>##V3_BDPV12</stp>
        <stp>SSELN 1 1/4 04/16/25</stp>
        <stp>last_price</stp>
        <stp>[P&amp;l movement_R.xlsm]pnl!R13C15</stp>
        <tr r="O13" s="24"/>
      </tp>
      <tp t="s">
        <v>#N/A Invalid Security</v>
        <stp/>
        <stp>##V3_BDPV12</stp>
        <stp>RENAUL 2 3/8 05/25/26</stp>
        <stp>last_price</stp>
        <stp>[P&amp;l movement_R.xlsm]newResult!R42C25</stp>
        <tr r="Y42" s="11"/>
      </tp>
      <tp t="s">
        <v>#N/A Invalid Security</v>
        <stp/>
        <stp>##V3_BDPV12</stp>
        <stp>OMVAV 1 7/8 12/04/28</stp>
        <stp>last_price</stp>
        <stp>[P&amp;l movement_R.xlsm]pnl!R13C15</stp>
        <tr r="O13" s="24"/>
      </tp>
      <tp t="s">
        <v>#N/A Invalid Security</v>
        <stp/>
        <stp>##V3_BDPV12</stp>
        <stp>TELIAS 1 3/8 05/11/81</stp>
        <stp>last_price</stp>
        <stp>[P&amp;l movement_R.xlsm]newResult!R42C25</stp>
        <tr r="Y42" s="11"/>
      </tp>
      <tp t="s">
        <v>#N/A Invalid Security</v>
        <stp/>
        <stp>##V3_BDPV12</stp>
        <stp>EDF 3 3/8 PERP</stp>
        <stp>last_price</stp>
        <stp>[P&amp;l movement_R.xlsm]newResult!R42C25</stp>
        <tr r="Y42" s="11"/>
      </tp>
      <tp t="s">
        <v>#N/A Invalid Security</v>
        <stp/>
        <stp>##V3_BDPV12</stp>
        <stp>ORAFP 1 1/8 07/15/24</stp>
        <stp>last_price</stp>
        <stp>[P&amp;l movement_R.xlsm]pnl!R13C15</stp>
        <tr r="O13" s="24"/>
      </tp>
      <tp t="s">
        <v>#N/A Invalid Security</v>
        <stp/>
        <stp>##V3_BDPV12</stp>
        <stp>NGGLN 5 5/8 06/18/73</stp>
        <stp>last_price</stp>
        <stp>[P&amp;l movement_R.xlsm]newResult!R42C25</stp>
        <tr r="Y42" s="11"/>
      </tp>
      <tp t="s">
        <v>#N/A Invalid Security</v>
        <stp/>
        <stp>##V3_BDPV12</stp>
        <stp>EOANGR 0 3/4 11/30/22</stp>
        <stp>last_price</stp>
        <stp>[P&amp;l movement_R.xlsm]newResult!R42C25</stp>
        <tr r="Y42" s="11"/>
      </tp>
      <tp t="s">
        <v>#N/A Invalid Security</v>
        <stp/>
        <stp>##V3_BDPV12</stp>
        <stp>RDSALN 1 1/4 05/12/28</stp>
        <stp>last_price</stp>
        <stp>[P&amp;l movement_R.xlsm]pnl!R13C15</stp>
        <tr r="O13" s="24"/>
      </tp>
      <tp t="s">
        <v>#N/A Invalid Security</v>
        <stp/>
        <stp>##V3_BDPV12</stp>
        <stp>BPLN 4 7/8 PERP</stp>
        <stp>last_price</stp>
        <stp>[P&amp;l movement_R.xlsm]newResult!R42C25</stp>
        <tr r="Y42" s="11"/>
      </tp>
      <tp t="s">
        <v>#N/A Invalid Security</v>
        <stp/>
        <stp>##V3_BDPV12</stp>
        <stp>BPLN 4 3/8 PERP</stp>
        <stp>last_price</stp>
        <stp>[P&amp;l movement_R.xlsm]newResult!R42C25</stp>
        <tr r="Y42" s="11"/>
      </tp>
      <tp t="s">
        <v>#N/A Invalid Security</v>
        <stp/>
        <stp>##V3_BDPV12</stp>
        <stp>TELEFO 5 7/8 02/14/33</stp>
        <stp>last_price</stp>
        <stp>[P&amp;l movement_R.xlsm]pnl!R13C15</stp>
        <tr r="O13" s="24"/>
      </tp>
      <tp t="s">
        <v>#N/A Invalid Security</v>
        <stp/>
        <stp>##V3_BDPV12</stp>
        <stp>MT7000016820@ corp</stp>
        <stp>px_last</stp>
        <stp>[P&amp;l movement_R.xlsm]pnl!R13C15</stp>
        <tr r="O13" s="24"/>
      </tp>
      <tp t="s">
        <v>#N/A Invalid Security</v>
        <stp/>
        <stp>##V3_BDPV12</stp>
        <stp>XS208242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XS149096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US456837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XS104852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XS154847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XS205232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XS217883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XS170555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XS140576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XS221840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XS222520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FR001122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FR001342 Curncy</stp>
        <stp>px_eval</stp>
        <stp>[P&amp;l movement_R.xlsm]newResult!R42C25</stp>
        <stp>cds_5y</stp>
        <stp>-</stp>
        <tr r="Y42" s="11"/>
        <tr r="Y42" s="11"/>
      </tp>
      <tp t="s">
        <v>#N/A N/A</v>
        <stp/>
        <stp>##V3_BDPV12</stp>
        <stp>CT413383 Curncy</stp>
        <stp>px_eval</stp>
        <stp>[P&amp;l movement_R.xlsm]newResult!R42C25</stp>
        <stp>cds_5y</stp>
        <stp>-</stp>
        <tr r="Y42" s="11"/>
      </tp>
      <tp>
        <v>105.52800000000001</v>
        <stp/>
        <stp>##V3_BDPV12</stp>
        <stp>USF2893TAF33@BGN corp</stp>
        <stp>last_price</stp>
        <stp>[P&amp;l movement_R.xlsm]newResult!R42C14</stp>
        <tr r="N42" s="11"/>
      </tp>
      <tp>
        <v>107.521</v>
        <stp/>
        <stp>##V3_BDPV12</stp>
        <stp>USF2893TAM83@BGN corp</stp>
        <stp>last_price</stp>
        <stp>[P&amp;l movement_R.xlsm]newResult!R42C14</stp>
        <tr r="N42" s="11"/>
      </tp>
      <tp>
        <v>105.52800000000001</v>
        <stp/>
        <stp>##V3_BDPV12</stp>
        <stp>USF2893TAF33@BGN corp</stp>
        <stp>last_price</stp>
        <stp>[P&amp;l movement_R.xlsm]newResult!R42C25</stp>
        <tr r="Y42" s="11"/>
      </tp>
      <tp>
        <v>107.521</v>
        <stp/>
        <stp>##V3_BDPV12</stp>
        <stp>USF2893TAM83@BGN corp</stp>
        <stp>last_price</stp>
        <stp>[P&amp;l movement_R.xlsm]newResult!R42C25</stp>
        <tr r="Y42" s="11"/>
      </tp>
      <tp t="s">
        <v>#N/A Invalid Security</v>
        <stp/>
        <stp>##V3_BDPV12</stp>
        <stp>ENELIM 5 07/12/21 equity</stp>
        <stp>last_price</stp>
        <stp>[P&amp;l movement_R.xlsm]newResult!R42C25</stp>
        <tr r="Y42" s="11"/>
      </tp>
      <tp t="s">
        <v>#N/A Invalid Security</v>
        <stp/>
        <stp>##V3_BDPV12</stp>
        <stp>EDF 5 PERP</stp>
        <stp>last_price</stp>
        <stp>[P&amp;l movement_R.xlsm]newResult!R42C25</stp>
        <tr r="Y42" s="11"/>
      </tp>
      <tp t="s">
        <v>#N/A Invalid Security</v>
        <stp/>
        <stp>##V3_BDPV12</stp>
        <stp>XS119062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XS121601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XS201003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XS122471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XS212512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DE000113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FR001003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FR001333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FR001343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FR001353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ABIBB 3.7 04/02/40 equity</stp>
        <stp>last_price</stp>
        <stp>[P&amp;l movement_R.xlsm]newResult!R42C25</stp>
        <tr r="Y42" s="11"/>
      </tp>
      <tp t="s">
        <v>#N/A Invalid Security</v>
        <stp/>
        <stp>##V3_BDPV12</stp>
        <stp>EDF 6 PERP</stp>
        <stp>last_price</stp>
        <stp>[P&amp;l movement_R.xlsm]newResult!R42C25</stp>
        <tr r="Y42" s="11"/>
      </tp>
      <tp t="s">
        <v>#N/A Invalid Security</v>
        <stp/>
        <stp>##V3_BDPV12</stp>
        <stp>USX10001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XS188818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XS178897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XS188268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XS149844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XS219631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XS119671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XS204750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XS114181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XS224272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XS224292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XS215441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XS225162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XS165286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XS206910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XS220902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XS210511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XS210731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XS211441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XS121602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XS191759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XS152775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XS202060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XS113931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DE000110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FR001400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FR001140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FR001170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FR001350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FR001260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BE632093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ELIATB 3 04/07/29</stp>
        <stp>last_price</stp>
        <stp>[P&amp;l movement_R.xlsm]newResult!R42C25</stp>
        <tr r="Y42" s="11"/>
      </tp>
      <tp t="s">
        <v>#N/A Invalid Security</v>
        <stp/>
        <stp>##V3_BDPV12</stp>
        <stp>BALDER 3 03/07/78</stp>
        <stp>last_price</stp>
        <stp>[P&amp;l movement_R.xlsm]newResult!R42C25</stp>
        <tr r="Y42" s="11"/>
      </tp>
      <tp t="s">
        <v>#N/A Invalid Security</v>
        <stp/>
        <stp>##V3_BDPV12</stp>
        <stp>XS218600 Curncy</stp>
        <stp>px_eval</stp>
        <stp>[P&amp;l movement_R.xlsm]newResult!R42C25</stp>
        <stp>cds_5y</stp>
        <stp>-</stp>
        <tr r="Y42" s="11"/>
      </tp>
      <tp>
        <v>1.1873499999999999</v>
        <stp/>
        <stp>##V3_BDPV12</stp>
        <stp>ECZ0 Curncy</stp>
        <stp>last_price</stp>
        <stp>[P&amp;l movement_R.xlsm]pnl!R13C15</stp>
        <tr r="O13" s="24"/>
      </tp>
      <tp t="s">
        <v>#N/A Invalid Security</v>
        <stp/>
        <stp>##V3_BDPV12</stp>
        <stp>XS119520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XS104851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XS104481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XS224793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XS224293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XS215650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XS197478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XS157234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XS161507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XS111550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XS171346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XS222943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XS222443 Curncy</stp>
        <stp>px_eval</stp>
        <stp>[P&amp;l movement_R.xlsm]newResult!R42C25</stp>
        <stp>cds_5y</stp>
        <stp>-</stp>
        <tr r="Y42" s="11"/>
      </tp>
      <tp>
        <v>0.89634999999999998</v>
        <stp/>
        <stp>##V3_BDPV12</stp>
        <stp>RPZ0 Curncy</stp>
        <stp>last_price</stp>
        <stp>[P&amp;l movement_R.xlsm]pnl!R13C15</stp>
        <tr r="O13" s="24"/>
      </tp>
      <tp t="s">
        <v>#N/A Invalid Security</v>
        <stp/>
        <stp>##V3_BDPV12</stp>
        <stp>FR001321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FR001351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BE632152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VOD 4.2 10/03/78</stp>
        <stp>last_price</stp>
        <stp>[P&amp;l movement_R.xlsm]newResult!R42C25</stp>
        <tr r="Y42" s="11"/>
      </tp>
      <tp t="s">
        <v>#N/A Invalid Security</v>
        <stp/>
        <stp>##V3_BDPV12</stp>
        <stp>MT700001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SESGFP 2 07/02/28</stp>
        <stp>last_price</stp>
        <stp>[P&amp;l movement_R.xlsm]newResult!R42C25</stp>
        <tr r="Y42" s="11"/>
      </tp>
      <tp t="s">
        <v>#N/A Invalid Security</v>
        <stp/>
        <stp>##V3_BDPV12</stp>
        <stp>IBESM 1 03/07/24</stp>
        <stp>last_price</stp>
        <stp>[P&amp;l movement_R.xlsm]newResult!R42C25</stp>
        <tr r="Y42" s="11"/>
      </tp>
      <tp>
        <v>106.527</v>
        <stp/>
        <stp>##V3_BDPV12</stp>
        <stp>US05565QDU94@BGN corp</stp>
        <stp>last_price</stp>
        <stp>[P&amp;l movement_R.xlsm]newResult!R42C14</stp>
        <tr r="N42" s="11"/>
      </tp>
      <tp>
        <v>106.527</v>
        <stp/>
        <stp>##V3_BDPV12</stp>
        <stp>US05565QDU94@BGN corp</stp>
        <stp>last_price</stp>
        <stp>[P&amp;l movement_R.xlsm]newResult!R42C25</stp>
        <tr r="Y42" s="11"/>
      </tp>
      <tp t="s">
        <v>#N/A Invalid Security</v>
        <stp/>
        <stp>##V3_BDPV12</stp>
        <stp>XS129434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XS159673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XS149332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XS224494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XS155013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XS105046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XS205166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XS157133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XS203556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FR001266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BE000246 Curncy</stp>
        <stp>px_eval</stp>
        <stp>[P&amp;l movement_R.xlsm]newResult!R42C25</stp>
        <stp>cds_5y</stp>
        <stp>-</stp>
        <tr r="Y42" s="11"/>
      </tp>
      <tp>
        <v>121.83499999999999</v>
        <stp/>
        <stp>##V3_BDPV12</stp>
        <stp>US92857WBQ24@BGN corp</stp>
        <stp>last_price</stp>
        <stp>[P&amp;l movement_R.xlsm]newResult!R42C25</stp>
        <tr r="Y42" s="11"/>
      </tp>
      <tp>
        <v>121.83499999999999</v>
        <stp/>
        <stp>##V3_BDPV12</stp>
        <stp>US92857WBQ24@BGN corp</stp>
        <stp>last_price</stp>
        <stp>[P&amp;l movement_R.xlsm]newResult!R42C14</stp>
        <tr r="N42" s="11"/>
      </tp>
      <tp t="s">
        <v>#N/A Invalid Security</v>
        <stp/>
        <stp>##V3_BDPV12</stp>
        <stp>IREIM 1 07/01/30</stp>
        <stp>last_price</stp>
        <stp>[P&amp;l movement_R.xlsm]newResult!R42C25</stp>
        <tr r="Y42" s="11"/>
      </tp>
      <tp>
        <v>108.83</v>
        <stp/>
        <stp>##V3_BDPV12</stp>
        <stp>USF1R15XK938@BGN corp</stp>
        <stp>last_price</stp>
        <stp>[P&amp;l movement_R.xlsm]newResult!R42C14</stp>
        <tr r="N42" s="11"/>
      </tp>
      <tp>
        <v>108.83</v>
        <stp/>
        <stp>##V3_BDPV12</stp>
        <stp>USF1R15XK938@BGN corp</stp>
        <stp>last_price</stp>
        <stp>[P&amp;l movement_R.xlsm]newResult!R42C25</stp>
        <tr r="Y42" s="11"/>
      </tp>
      <tp t="s">
        <v>#N/A Invalid Security</v>
        <stp/>
        <stp>##V3_BDPV12</stp>
        <stp>XS179540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XS219366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XS124325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XS165801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XS205637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XS016286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XS207767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XS167791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XS222515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FR001347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RTEFRA 1 10/19/26</stp>
        <stp>last_price</stp>
        <stp>[P&amp;l movement_R.xlsm]newResult!R42C25</stp>
        <tr r="Y42" s="11"/>
      </tp>
      <tp t="s">
        <v>#N/A Invalid Security</v>
        <stp/>
        <stp>##V3_BDPV12</stp>
        <stp>RTEFRA 1 10/19/26 equity</stp>
        <stp>last_price</stp>
        <stp>[P&amp;l movement_R.xlsm]newResult!R42C25</stp>
        <tr r="Y42" s="11"/>
      </tp>
      <tp t="s">
        <v>#N/A Invalid Security</v>
        <stp/>
        <stp>##V3_BDPV12</stp>
        <stp>XS219935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XS179713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XS219735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XS169382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XS215205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XS226206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XS217895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XS117745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XS210235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XS201004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XS141140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FR001324 Curncy</stp>
        <stp>px_eval</stp>
        <stp>[P&amp;l movement_R.xlsm]newResult!R42C25</stp>
        <stp>cds_5y</stp>
        <stp>-</stp>
        <tr r="Y42" s="11"/>
        <tr r="Y42" s="11"/>
        <tr r="Y42" s="11"/>
        <tr r="Y42" s="11"/>
      </tp>
      <tp t="s">
        <v>#N/A Invalid Security</v>
        <stp/>
        <stp>##V3_BDPV12</stp>
        <stp>FR001344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FR001294 Curncy</stp>
        <stp>px_eval</stp>
        <stp>[P&amp;l movement_R.xlsm]newResult!R42C25</stp>
        <stp>cds_5y</stp>
        <stp>-</stp>
        <tr r="Y42" s="11"/>
      </tp>
      <tp>
        <v>109.518</v>
        <stp/>
        <stp>##V3_BDPV12</stp>
        <stp>US05565QDV77@BGN corp</stp>
        <stp>last_price</stp>
        <stp>[P&amp;l movement_R.xlsm]newResult!R42C14</stp>
        <tr r="N42" s="11"/>
      </tp>
      <tp>
        <v>109.518</v>
        <stp/>
        <stp>##V3_BDPV12</stp>
        <stp>US05565QDV77@BGN corp</stp>
        <stp>last_price</stp>
        <stp>[P&amp;l movement_R.xlsm]newResult!R42C25</stp>
        <tr r="Y42" s="11"/>
      </tp>
      <tp t="s">
        <v>#N/A Invalid Security</v>
        <stp/>
        <stp>##V3_BDPV12</stp>
        <stp>ENGIFP 1 03/13/26 equity</stp>
        <stp>last_price</stp>
        <stp>[P&amp;l movement_R.xlsm]newResult!R42C25</stp>
        <tr r="Y42" s="11"/>
      </tp>
      <tp t="s">
        <v>#N/A Invalid Security</v>
        <stp/>
        <stp>##V3_BDPV12</stp>
        <stp>ENGIFP 0 03/04/27 equity</stp>
        <stp>last_price</stp>
        <stp>[P&amp;l movement_R.xlsm]newResult!R42C25</stp>
        <tr r="Y42" s="11"/>
      </tp>
      <tp t="s">
        <v>#N/A Invalid Security</v>
        <stp/>
        <stp>##V3_BDPV12</stp>
        <stp>CNALN 3 04/10/76</stp>
        <stp>last_price</stp>
        <stp>[P&amp;l movement_R.xlsm]newResult!R42C25</stp>
        <tr r="Y42" s="11"/>
      </tp>
      <tp t="s">
        <v>#N/A Invalid Security</v>
        <stp/>
        <stp>##V3_BDPV12</stp>
        <stp>SRGIM 1 09/12/34</stp>
        <stp>last_price</stp>
        <stp>[P&amp;l movement_R.xlsm]newResult!R42C25</stp>
        <tr r="Y42" s="11"/>
      </tp>
      <tp t="s">
        <v>#N/A Invalid Security</v>
        <stp/>
        <stp>##V3_BDPV12</stp>
        <stp>ENELIM 5 07/12/21</stp>
        <stp>last_price</stp>
        <stp>[P&amp;l movement_R.xlsm]pnl!R13C15</stp>
        <tr r="O13" s="24"/>
      </tp>
      <tp t="s">
        <v>#N/A Invalid Security</v>
        <stp/>
        <stp>##V3_BDPV12</stp>
        <stp>XS139636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XS139676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XS129357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XS215434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XS115234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XS172142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XS203335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FR001315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FR001325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FR001345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KPN 2 PERP</stp>
        <stp>last_price</stp>
        <stp>[P&amp;l movement_R.xlsm]newResult!R42C25</stp>
        <tr r="Y42" s="11"/>
      </tp>
      <tp t="s">
        <v>#N/A Invalid Security</v>
        <stp/>
        <stp>##V3_BDPV12</stp>
        <stp>ENELIM 5 07/12/21</stp>
        <stp>last_price</stp>
        <stp>[P&amp;l movement_R.xlsm]newResult!R42C25</stp>
        <tr r="Y42" s="11"/>
      </tp>
      <tp t="s">
        <v>#N/A Invalid Security</v>
        <stp/>
        <stp>##V3_BDPV12</stp>
        <stp>SRGIM 1 09/12/34</stp>
        <stp>last_price</stp>
        <stp>[P&amp;l movement_R.xlsm]pnl!R13C15</stp>
        <tr r="O13" s="24"/>
      </tp>
      <tp t="s">
        <v>#N/A Invalid Security</v>
        <stp/>
        <stp>##V3_BDPV12</stp>
        <stp>ENGIFP 0 03/04/27</stp>
        <stp>last_price</stp>
        <stp>[P&amp;l movement_R.xlsm]newResult!R42C25</stp>
        <tr r="Y42" s="11"/>
      </tp>
      <tp t="s">
        <v>#N/A Invalid Security</v>
        <stp/>
        <stp>##V3_BDPV12</stp>
        <stp>XS199293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XS187412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XS090353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XS223878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BMW 0 04/14/23</stp>
        <stp>last_price</stp>
        <stp>[P&amp;l movement_R.xlsm]pnl!R13C15</stp>
        <tr r="O13" s="24"/>
      </tp>
      <tp t="s">
        <v>#N/A Invalid Security</v>
        <stp/>
        <stp>##V3_BDPV12</stp>
        <stp>ENGIFP 1 03/13/26</stp>
        <stp>last_price</stp>
        <stp>[P&amp;l movement_R.xlsm]newResult!R42C25</stp>
        <tr r="Y42" s="11"/>
      </tp>
      <tp t="s">
        <v>#N/A Invalid Security</v>
        <stp/>
        <stp>##V3_BDPV12</stp>
        <stp>XS199292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XS121949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XS122259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XS223119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IBM 1.2 02/11/40</stp>
        <stp>last_price</stp>
        <stp>[P&amp;l movement_R.xlsm]newResult!R42C25</stp>
        <tr r="Y42" s="11"/>
      </tp>
      <tp t="s">
        <v>#N/A Invalid Security</v>
        <stp/>
        <stp>##V3_BDPV12</stp>
        <stp>EOANGR 0 08/28/24 equity</stp>
        <stp>last_price</stp>
        <stp>[P&amp;l movement_R.xlsm]newResult!R42C25</stp>
        <tr r="Y42" s="11"/>
      </tp>
      <tp t="s">
        <v>#N/A Invalid Security</v>
        <stp/>
        <stp>##V3_BDPV12</stp>
        <stp>XS218599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XS219519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EDPPL 1.7 07/20/80</stp>
        <stp>last_price</stp>
        <stp>[P&amp;l movement_R.xlsm]newResult!R42C25</stp>
        <tr r="Y42" s="11"/>
      </tp>
      <tp t="s">
        <v>#N/A Invalid Security</v>
        <stp/>
        <stp>##V3_BDPV12</stp>
        <stp>XS200438 Curncy</stp>
        <stp>px_eval</stp>
        <stp>[P&amp;l movement_R.xlsm]newResult!R42C25</stp>
        <stp>cds_5y</stp>
        <stp>-</stp>
        <tr r="Y42" s="11"/>
        <tr r="Y42" s="11"/>
      </tp>
      <tp t="s">
        <v>#N/A Invalid Security</v>
        <stp/>
        <stp>##V3_BDPV12</stp>
        <stp>XS101498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XS211509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XS113949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DE000A28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FR001328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FR001338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PTEDPKOM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PTEDPLOM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TELIAS 3 04/04/78 equity</stp>
        <stp>last_price</stp>
        <stp>[P&amp;l movement_R.xlsm]newResult!R42C25</stp>
        <tr r="Y42" s="11"/>
      </tp>
      <tp t="s">
        <v>#N/A Invalid Security</v>
        <stp/>
        <stp>##V3_BDPV12</stp>
        <stp>XS198270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XS215678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XS217758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XS182921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XS113968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FR001169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FR001339 Curncy</stp>
        <stp>px_eval</stp>
        <stp>[P&amp;l movement_R.xlsm]newResult!R42C25</stp>
        <stp>cds_5y</stp>
        <stp>-</stp>
        <tr r="Y42" s="11"/>
        <tr r="Y42" s="11"/>
        <tr r="Y42" s="11"/>
      </tp>
      <tp t="s">
        <v>#N/A Invalid Security</v>
        <stp/>
        <stp>##V3_BDPV12</stp>
        <stp>BALDER 3 03/07/78 equity</stp>
        <stp>last_price</stp>
        <stp>[P&amp;l movement_R.xlsm]newResult!R42C25</stp>
        <tr r="Y42" s="11"/>
      </tp>
      <tp t="s">
        <v>#N/A Invalid Security</v>
        <stp/>
        <stp>##V3_BDPV12</stp>
        <stp>XS095467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XS175629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XS096957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ABIBB 3.7 04/02/40</stp>
        <stp>last_price</stp>
        <stp>[P&amp;l movement_R.xlsm]newResult!R42C25</stp>
        <tr r="Y42" s="11"/>
      </tp>
      <tp t="s">
        <v>#N/A Invalid Security</v>
        <stp/>
        <stp>##V3_BDPV12</stp>
        <stp>XS188817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XS198106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XS064729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TELIAS 3 04/04/78</stp>
        <stp>last_price</stp>
        <stp>[P&amp;l movement_R.xlsm]newResult!R42C25</stp>
        <tr r="Y42" s="11"/>
      </tp>
      <tp t="s">
        <v>#N/A Invalid Security</v>
        <stp/>
        <stp>##V3_BDPV12</stp>
        <stp>ELIATB 3 04/07/29 equity</stp>
        <stp>last_price</stp>
        <stp>[P&amp;l movement_R.xlsm]newResult!R42C25</stp>
        <tr r="Y42" s="11"/>
      </tp>
      <tp t="s">
        <v>#N/A Invalid Security</v>
        <stp/>
        <stp>##V3_BDPV12</stp>
        <stp>XS159169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XS195605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XS150419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XS190105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XS140338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XS141358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EOANGR 0 08/28/24</stp>
        <stp>last_price</stp>
        <stp>[P&amp;l movement_R.xlsm]newResult!R42C25</stp>
        <tr r="Y42" s="11"/>
      </tp>
      <tp t="s">
        <v>#N/A Invalid Security</v>
        <stp/>
        <stp>##V3_BDPV12</stp>
        <stp>ELIATB 3 04/07/29</stp>
        <stp>last_price</stp>
        <stp>[P&amp;l movement_R.xlsm]pnl!R13C15</stp>
        <tr r="O13" s="24"/>
      </tp>
      <tp t="s">
        <v>#N/A Invalid Security</v>
        <stp/>
        <stp>##V3_BDPV12</stp>
        <stp>XS159078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XS195744 Curncy</stp>
        <stp>px_eval</stp>
        <stp>[P&amp;l movement_R.xlsm]newResult!R42C25</stp>
        <stp>cds_5y</stp>
        <stp>-</stp>
        <tr r="Y42" s="11"/>
      </tp>
      <tp t="s">
        <v>#N/A Invalid Security</v>
        <stp/>
        <stp>##V3_BDPV12</stp>
        <stp>XS191094 Curncy</stp>
        <stp>px_eval</stp>
        <stp>[P&amp;l movement_R.xlsm]newResult!R42C25</stp>
        <stp>cds_5y</stp>
        <stp>-</stp>
        <tr r="Y42" s="11"/>
      </tp>
      <tp>
        <v>102.80800000000001</v>
        <stp/>
        <stp>##V3_BDPV12</stp>
        <stp>XS2242929532@CBBT corp</stp>
        <stp>last_price</stp>
        <stp>[P&amp;l movement_R.xlsm]newResult!R42C14</stp>
        <tr r="N42" s="11"/>
      </tp>
      <tp>
        <v>102.80800000000001</v>
        <stp/>
        <stp>##V3_BDPV12</stp>
        <stp>XS2242929532@CBBT corp</stp>
        <stp>last_price</stp>
        <stp>[P&amp;l movement_R.xlsm]newResult!R42C25</stp>
        <tr r="Y42" s="11"/>
      </tp>
      <tp>
        <v>49.970999999999997</v>
        <stp/>
        <stp>##V3_BDPV12</stp>
        <stp>ITXEB534 Curncy</stp>
        <stp>last_price</stp>
        <stp>[P&amp;l movement_R.xlsm]newResult!R26C5</stp>
        <tr r="E26" s="11"/>
      </tp>
      <tp t="s">
        <v>#N/A Invalid Security</v>
        <stp/>
        <stp>##V3_BDPV12</stp>
        <stp>IREIM 1 07/01/30</stp>
        <stp>last_price</stp>
        <stp>[P&amp;l movement_R.xlsm]pnl!R13C15</stp>
        <tr r="O13" s="24"/>
      </tp>
      <tp t="s">
        <v>#N/A Invalid Security</v>
        <stp/>
        <stp>##V3_BDPV12</stp>
        <stp>SESGFP 2 07/02/28</stp>
        <stp>last_price</stp>
        <stp>[P&amp;l movement_R.xlsm]pnl!R13C15</stp>
        <tr r="O13" s="24"/>
      </tp>
      <tp t="s">
        <v>#N/A Invalid Security</v>
        <stp/>
        <stp>##V3_BDPV12</stp>
        <stp>EDPPL 2 04/22/25</stp>
        <stp>last_price</stp>
        <stp>[P&amp;l movement_R.xlsm]newResult!R42C25</stp>
        <tr r="Y42" s="11"/>
      </tp>
      <tp>
        <v>110.676</v>
        <stp/>
        <stp>##V3_BDPV12</stp>
        <stp>USH3698DCP71@BGN corp</stp>
        <stp>last_price</stp>
        <stp>[P&amp;l movement_R.xlsm]newResult!R42C14</stp>
        <tr r="N42" s="11"/>
      </tp>
      <tp>
        <v>110.676</v>
        <stp/>
        <stp>##V3_BDPV12</stp>
        <stp>USH3698DCP71@BGN corp</stp>
        <stp>last_price</stp>
        <stp>[P&amp;l movement_R.xlsm]newResult!R42C25</stp>
        <tr r="Y42" s="11"/>
      </tp>
      <tp t="s">
        <v>#N/A Invalid Security</v>
        <stp/>
        <stp>##V3_BDPV12</stp>
        <stp>BALDER 3 03/07/78</stp>
        <stp>last_price</stp>
        <stp>[P&amp;l movement_R.xlsm]pnl!R13C15</stp>
        <tr r="O13" s="24"/>
      </tp>
      <tp t="s">
        <v>#N/A Invalid Security</v>
        <stp/>
        <stp>##V3_BDPV12</stp>
        <stp>EDPPL 1.7 07/20/80 equity</stp>
        <stp>last_price</stp>
        <stp>[P&amp;l movement_R.xlsm]newResult!R42C25</stp>
        <tr r="Y42" s="11"/>
      </tp>
      <tp t="s">
        <v>#N/A Invalid Security</v>
        <stp/>
        <stp>##V3_BDPV12</stp>
        <stp>EOANGR 0 08/28/24</stp>
        <stp>last_price</stp>
        <stp>[P&amp;l movement_R.xlsm]pnl!R13C15</stp>
        <tr r="O13" s="24"/>
      </tp>
      <tp t="s">
        <v>#N/A Invalid Security</v>
        <stp/>
        <stp>##V3_BDPV12</stp>
        <stp>SEVFP 1 04/03/25</stp>
        <stp>last_price</stp>
        <stp>[P&amp;l movement_R.xlsm]pnl!R13C15</stp>
        <tr r="O13" s="24"/>
      </tp>
      <tp t="s">
        <v>#N/A Invalid Security</v>
        <stp/>
        <stp>##V3_BDPV12</stp>
        <stp>RBS_JP_2025-12-20</stp>
        <stp>last_price</stp>
        <stp>[P&amp;l movement_R.xlsm]pnl!R13C15</stp>
        <tr r="O13" s="24"/>
      </tp>
      <tp t="s">
        <v>#N/A Invalid Security</v>
        <stp/>
        <stp>##V3_BDPV12</stp>
        <stp>TELIAS 3 04/04/78</stp>
        <stp>last_price</stp>
        <stp>[P&amp;l movement_R.xlsm]pnl!R13C15</stp>
        <tr r="O13" s="24"/>
      </tp>
      <tp t="s">
        <v>#N/A Invalid Security</v>
        <stp/>
        <stp>##V3_BDPV12</stp>
        <stp/>
        <stp>last_price</stp>
        <stp>[P&amp;l movement_R.xlsm]pnl!R13C15</stp>
        <tr r="O13" s="24"/>
        <tr r="O13" s="24"/>
      </tp>
      <tp t="s">
        <v>#N/A Invalid Security</v>
        <stp/>
        <stp>##V3_BDPV12</stp>
        <stp>TTRX LN</stp>
        <stp>last_price</stp>
        <stp>[P&amp;l movement_R.xlsm]pnl!R13C15</stp>
        <tr r="O13" s="24"/>
      </tp>
      <tp>
        <v>1.1166</v>
        <stp/>
        <stp>##V3_BDPV12</stp>
        <stp>gbpeur curncy</stp>
        <stp>last_price</stp>
        <stp>[P&amp;l movement_R.xlsm]newResult!R28C12</stp>
        <tr r="L28" s="11"/>
      </tp>
      <tp>
        <v>0.8427</v>
        <stp/>
        <stp>##V3_BDPV12</stp>
        <stp>usdeur curncy</stp>
        <stp>last_price</stp>
        <stp>[P&amp;l movement_R.xlsm]newResult!R29C12</stp>
        <tr r="L29" s="11"/>
      </tp>
      <tp t="s">
        <v>#N/A Invalid Security</v>
        <stp/>
        <stp>##V3_BDPV12</stp>
        <stp>IBESM 1 03/07/24</stp>
        <stp>last_price</stp>
        <stp>[P&amp;l movement_R.xlsm]pnl!R13C15</stp>
        <tr r="O13" s="24"/>
      </tp>
      <tp t="s">
        <v>#N/A Invalid Security</v>
        <stp/>
        <stp>##V3_BDPV12</stp>
        <stp>SEVFP 1 04/03/25</stp>
        <stp>last_price</stp>
        <stp>[P&amp;l movement_R.xlsm]newResult!R42C25</stp>
        <tr r="Y42" s="11"/>
      </tp>
      <tp t="s">
        <v>#N/A Invalid Security</v>
        <stp/>
        <stp>##V3_BDPV12</stp>
        <stp>SESGFP 2 07/02/28 equity</stp>
        <stp>last_price</stp>
        <stp>[P&amp;l movement_R.xlsm]newResult!R42C25</stp>
        <tr r="Y42" s="11"/>
      </tp>
      <tp t="s">
        <v>#N/A Invalid Security</v>
        <stp/>
        <stp>##V3_BDPV12</stp>
        <stp>EDF 5 PERP equity</stp>
        <stp>last_price</stp>
        <stp>[P&amp;l movement_R.xlsm]newResult!R42C25</stp>
        <tr r="Y42" s="11"/>
      </tp>
      <tp t="s">
        <v>#N/A Invalid Security</v>
        <stp/>
        <stp>##V3_BDPV12</stp>
        <stp>EDF 6 PERP equity</stp>
        <stp>last_price</stp>
        <stp>[P&amp;l movement_R.xlsm]newResult!R42C25</stp>
        <tr r="Y42" s="11"/>
      </tp>
      <tp t="s">
        <v>#N/A Invalid Security</v>
        <stp/>
        <stp>##V3_BDPV12</stp>
        <stp>KPN 2 PERP equity</stp>
        <stp>last_price</stp>
        <stp>[P&amp;l movement_R.xlsm]newResult!R42C25</stp>
        <tr r="Y42" s="11"/>
      </tp>
      <tp>
        <v>-2.4398196754661967</v>
        <stp/>
        <stp>##V3_BDPV12</stp>
        <stp>ITXEB534 Curncy</stp>
        <stp>upfront_last_realtime</stp>
        <stp>[P&amp;l movement_R.xlsm]newResult!R28C5</stp>
        <tr r="E28" s="11"/>
      </tp>
      <tp>
        <v>103.55800000000001</v>
        <stp/>
        <stp>##V3_BDPV12</stp>
        <stp>XS2242931603@CBBT corp</stp>
        <stp>last_price</stp>
        <stp>[P&amp;l movement_R.xlsm]newResult!R42C25</stp>
        <tr r="Y42" s="11"/>
      </tp>
      <tp>
        <v>103.55800000000001</v>
        <stp/>
        <stp>##V3_BDPV12</stp>
        <stp>XS2242931603@CBBT corp</stp>
        <stp>last_price</stp>
        <stp>[P&amp;l movement_R.xlsm]newResult!R42C14</stp>
        <tr r="N42" s="11"/>
      </tp>
      <tp t="s">
        <v>#N/A Invalid Security</v>
        <stp/>
        <stp>##V3_BDPV12</stp>
        <stp>VOD 3 08/27/80</stp>
        <stp>last_price</stp>
        <stp>[P&amp;l movement_R.xlsm]pnl!R13C15</stp>
        <tr r="O13" s="24"/>
      </tp>
      <tp t="s">
        <v>#N/A Invalid Security</v>
        <stp/>
        <stp>##V3_BDPV12</stp>
        <stp>CNALN 3 04/10/76</stp>
        <stp>last_price</stp>
        <stp>[P&amp;l movement_R.xlsm]pnl!R13C15</stp>
        <tr r="O13" s="24"/>
      </tp>
      <tp t="s">
        <v>#N/A Invalid Security</v>
        <stp/>
        <stp>##V3_BDPV12</stp>
        <stp>VOD 7 04/04/79</stp>
        <stp>last_price</stp>
        <stp>[P&amp;l movement_R.xlsm]pnl!R13C15</stp>
        <tr r="O13" s="24"/>
      </tp>
      <tp t="s">
        <v>#N/A Invalid Security</v>
        <stp/>
        <stp>##V3_BDPV12</stp>
        <stp>RTEFRA 1 10/19/26</stp>
        <stp>last_price</stp>
        <stp>[P&amp;l movement_R.xlsm]pnl!R13C15</stp>
        <tr r="O13" s="24"/>
      </tp>
      <tp t="s">
        <v>#N/A Invalid Security</v>
        <stp/>
        <stp>##V3_BDPV12</stp>
        <stp>ENGIFP 1 03/13/26</stp>
        <stp>last_price</stp>
        <stp>[P&amp;l movement_R.xlsm]pnl!R13C15</stp>
        <tr r="O13" s="24"/>
      </tp>
      <tp t="s">
        <v>#N/A Invalid Security</v>
        <stp/>
        <stp>##V3_BDPV12</stp>
        <stp>ENGIFP 0 03/04/27</stp>
        <stp>last_price</stp>
        <stp>[P&amp;l movement_R.xlsm]pnl!R13C15</stp>
        <tr r="O13" s="24"/>
      </tp>
      <tp>
        <v>135.38999999999999</v>
        <stp/>
        <stp>##V3_BDPV12</stp>
        <stp>OEZ0 Comdty</stp>
        <stp>last_price</stp>
        <stp>[P&amp;l movement_R.xlsm]pnl!R13C15</stp>
        <tr r="O13" s="24"/>
        <tr r="O13" s="24"/>
      </tp>
      <tp>
        <v>112.315</v>
        <stp/>
        <stp>##V3_BDPV12</stp>
        <stp>DUZ0 Comdty</stp>
        <stp>last_price</stp>
        <stp>[P&amp;l movement_R.xlsm]pnl!R13C15</stp>
        <tr r="O13" s="24"/>
      </tp>
      <tp>
        <v>175.24</v>
        <stp/>
        <stp>##V3_BDPV12</stp>
        <stp>RXZ0 Comdty</stp>
        <stp>last_price</stp>
        <stp>[P&amp;l movement_R.xlsm]pnl!R13C15</stp>
        <tr r="O13" s="24"/>
        <tr r="O13" s="24"/>
      </tp>
      <tp>
        <v>226.14</v>
        <stp/>
        <stp>##V3_BDPV12</stp>
        <stp>UBZ0 Comdty</stp>
        <stp>last_price</stp>
        <stp>[P&amp;l movement_R.xlsm]pnl!R13C15</stp>
        <tr r="O13" s="24"/>
      </tp>
      <tp t="s">
        <v>#N/A Invalid Security</v>
        <stp/>
        <stp>##V3_BDPV12</stp>
        <stp>OEZ0@EX corp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DUZ0@EX corp</stp>
        <stp>last_price</stp>
        <stp>[P&amp;l movement_R.xlsm]newResult!R42C25</stp>
        <tr r="Y42" s="11"/>
      </tp>
      <tp t="s">
        <v>#N/A Invalid Security</v>
        <stp/>
        <stp>##V3_BDPV12</stp>
        <stp>ECZ0@EX corp</stp>
        <stp>last_price</stp>
        <stp>[P&amp;l movement_R.xlsm]newResult!R42C25</stp>
        <tr r="Y42" s="11"/>
      </tp>
      <tp t="s">
        <v>#N/A Invalid Security</v>
        <stp/>
        <stp>##V3_BDPV12</stp>
        <stp>RXZ0@EX corp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RPZ0@EX corp</stp>
        <stp>last_price</stp>
        <stp>[P&amp;l movement_R.xlsm]newResult!R42C25</stp>
        <tr r="Y42" s="11"/>
      </tp>
      <tp t="s">
        <v>#N/A Invalid Security</v>
        <stp/>
        <stp>##V3_BDPV12</stp>
        <stp>UBZ0@EX corp</stp>
        <stp>last_price</stp>
        <stp>[P&amp;l movement_R.xlsm]newResult!R42C25</stp>
        <tr r="Y42" s="11"/>
        <tr r="Y42" s="11"/>
      </tp>
      <tp t="s">
        <v>#N/A Invalid Security</v>
        <stp/>
        <stp>##V3_BDPV12</stp>
        <stp>OEZ0@EX corp</stp>
        <stp>last_price</stp>
        <stp>[P&amp;l movement_R.xlsm]newResult!R42C14</stp>
        <tr r="N42" s="11"/>
        <tr r="N42" s="11"/>
      </tp>
      <tp t="s">
        <v>#N/A Invalid Security</v>
        <stp/>
        <stp>##V3_BDPV12</stp>
        <stp>ECZ0@EX corp</stp>
        <stp>last_price</stp>
        <stp>[P&amp;l movement_R.xlsm]newResult!R42C14</stp>
        <tr r="N42" s="11"/>
      </tp>
      <tp t="s">
        <v>#N/A Invalid Security</v>
        <stp/>
        <stp>##V3_BDPV12</stp>
        <stp>DUZ0@EX corp</stp>
        <stp>last_price</stp>
        <stp>[P&amp;l movement_R.xlsm]newResult!R42C14</stp>
        <tr r="N42" s="11"/>
      </tp>
      <tp t="s">
        <v>#N/A Invalid Security</v>
        <stp/>
        <stp>##V3_BDPV12</stp>
        <stp>RXZ0@EX corp</stp>
        <stp>last_price</stp>
        <stp>[P&amp;l movement_R.xlsm]newResult!R42C14</stp>
        <tr r="N42" s="11"/>
        <tr r="N42" s="11"/>
      </tp>
      <tp t="s">
        <v>#N/A Invalid Security</v>
        <stp/>
        <stp>##V3_BDPV12</stp>
        <stp>RPZ0@EX corp</stp>
        <stp>last_price</stp>
        <stp>[P&amp;l movement_R.xlsm]newResult!R42C14</stp>
        <tr r="N42" s="11"/>
      </tp>
      <tp t="s">
        <v>#N/A Invalid Security</v>
        <stp/>
        <stp>##V3_BDPV12</stp>
        <stp>UBZ0@EX corp</stp>
        <stp>last_price</stp>
        <stp>[P&amp;l movement_R.xlsm]newResult!R42C14</stp>
        <tr r="N42" s="11"/>
        <tr r="N42" s="11"/>
      </tp>
      <tp>
        <v>105.30500000000001</v>
        <stp/>
        <stp>##V3_BDPV12</stp>
        <stp>XS2238783422@CBBT corp</stp>
        <stp>last_price</stp>
        <stp>[P&amp;l movement_R.xlsm]newResult!R42C25</stp>
        <tr r="Y42" s="11"/>
      </tp>
      <tp>
        <v>105.30500000000001</v>
        <stp/>
        <stp>##V3_BDPV12</stp>
        <stp>XS2238783422@CBBT corp</stp>
        <stp>last_price</stp>
        <stp>[P&amp;l movement_R.xlsm]newResult!R42C14</stp>
        <tr r="N42" s="11"/>
      </tp>
      <tp t="s">
        <v>#N/A Invalid Security</v>
        <stp/>
        <stp>##V3_BDPV12</stp>
        <stp>RBS_JP_2025-12-20</stp>
        <stp>last_price</stp>
        <stp>[P&amp;l movement_R.xlsm]newResult!R42C25</stp>
        <tr r="Y42" s="11"/>
      </tp>
      <tp t="s">
        <v>#N/A Invalid Security</v>
        <stp/>
        <stp>##V3_BDPV12</stp>
        <stp>EDPPL 2 04/22/25</stp>
        <stp>last_price</stp>
        <stp>[P&amp;l movement_R.xlsm]pnl!R13C15</stp>
        <tr r="O13" s="24"/>
      </tp>
      <tp t="s">
        <v>#N/A Invalid Security</v>
        <stp/>
        <stp>##V3_BDPV12</stp>
        <stp>VIEFP 1.59 01/10/28 equity</stp>
        <stp>last_price</stp>
        <stp>[P&amp;l movement_R.xlsm]newResult!R42C25</stp>
        <tr r="Y42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31750</xdr:colOff>
      <xdr:row>7</xdr:row>
      <xdr:rowOff>38100</xdr:rowOff>
    </xdr:from>
    <xdr:to>
      <xdr:col>27</xdr:col>
      <xdr:colOff>419100</xdr:colOff>
      <xdr:row>14</xdr:row>
      <xdr:rowOff>69850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470150" y="1149350"/>
          <a:ext cx="12471400" cy="1320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/>
            <a:t>Current P&amp;L extracted from Paladyne</a:t>
          </a:r>
          <a:endParaRPr lang="en-GB" sz="1100" b="1"/>
        </a:p>
        <a:p>
          <a:r>
            <a:rPr lang="en-GB" sz="1100"/>
            <a:t>Note: the Paladyne file is updated every 15 minutes</a:t>
          </a:r>
        </a:p>
        <a:p>
          <a:endParaRPr lang="en-GB" sz="1100"/>
        </a:p>
        <a:p>
          <a:endParaRPr lang="en-GB" sz="1100"/>
        </a:p>
        <a:p>
          <a:r>
            <a:rPr lang="en-GB" sz="800"/>
            <a:t>start price:</a:t>
          </a:r>
        </a:p>
        <a:p>
          <a:r>
            <a:rPr lang="en-GB" sz="800"/>
            <a:t>if open price = 0, then use unit</a:t>
          </a:r>
          <a:r>
            <a:rPr lang="en-GB" sz="800" baseline="0"/>
            <a:t> cost.</a:t>
          </a:r>
          <a:endParaRPr lang="en-GB" sz="800"/>
        </a:p>
      </xdr:txBody>
    </xdr:sp>
    <xdr:clientData/>
  </xdr:twoCellAnchor>
  <xdr:twoCellAnchor>
    <xdr:from>
      <xdr:col>2</xdr:col>
      <xdr:colOff>565150</xdr:colOff>
      <xdr:row>5</xdr:row>
      <xdr:rowOff>6350</xdr:rowOff>
    </xdr:from>
    <xdr:to>
      <xdr:col>5</xdr:col>
      <xdr:colOff>0</xdr:colOff>
      <xdr:row>7</xdr:row>
      <xdr:rowOff>152400</xdr:rowOff>
    </xdr:to>
    <xdr:sp macro="[0]!export_to_html" textlink="">
      <xdr:nvSpPr>
        <xdr:cNvPr id="3" name="TextBox 2">
          <a:extLst>
            <a:ext uri="{FF2B5EF4-FFF2-40B4-BE49-F238E27FC236}">
              <a16:creationId xmlns:a16="http://schemas.microsoft.com/office/drawing/2014/main" id="{4C84A12F-B510-438A-B828-B92C32C5FBFB}"/>
            </a:ext>
          </a:extLst>
        </xdr:cNvPr>
        <xdr:cNvSpPr txBox="1"/>
      </xdr:nvSpPr>
      <xdr:spPr>
        <a:xfrm>
          <a:off x="1174750" y="933450"/>
          <a:ext cx="2101850" cy="5143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 b="1"/>
            <a:t>Export to HTML</a:t>
          </a:r>
        </a:p>
      </xdr:txBody>
    </xdr:sp>
    <xdr:clientData/>
  </xdr:twoCellAnchor>
  <xdr:twoCellAnchor>
    <xdr:from>
      <xdr:col>2</xdr:col>
      <xdr:colOff>565150</xdr:colOff>
      <xdr:row>9</xdr:row>
      <xdr:rowOff>38100</xdr:rowOff>
    </xdr:from>
    <xdr:to>
      <xdr:col>5</xdr:col>
      <xdr:colOff>0</xdr:colOff>
      <xdr:row>12</xdr:row>
      <xdr:rowOff>19050</xdr:rowOff>
    </xdr:to>
    <xdr:sp macro="[0]!snap_data" textlink="">
      <xdr:nvSpPr>
        <xdr:cNvPr id="4" name="TextBox 3">
          <a:extLst>
            <a:ext uri="{FF2B5EF4-FFF2-40B4-BE49-F238E27FC236}">
              <a16:creationId xmlns:a16="http://schemas.microsoft.com/office/drawing/2014/main" id="{12732641-32C5-40E6-9C41-F4B52C3624E4}"/>
            </a:ext>
          </a:extLst>
        </xdr:cNvPr>
        <xdr:cNvSpPr txBox="1"/>
      </xdr:nvSpPr>
      <xdr:spPr>
        <a:xfrm>
          <a:off x="1174750" y="1701800"/>
          <a:ext cx="2089150" cy="533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 b="1"/>
            <a:t>Snap the Data</a:t>
          </a:r>
          <a:endParaRPr lang="en-GB" sz="105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10</xdr:col>
      <xdr:colOff>139700</xdr:colOff>
      <xdr:row>11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828800" y="368300"/>
          <a:ext cx="6248400" cy="1092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/>
            <a:t>Current P&amp;L extracted from Paladyne</a:t>
          </a:r>
          <a:endParaRPr lang="en-GB" sz="1100" b="1"/>
        </a:p>
        <a:p>
          <a:r>
            <a:rPr lang="en-GB" sz="1100"/>
            <a:t>Note: the Paladyne file is updated every 15 minutes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3ECDD163-D2AF-4FAA-8DFD-48411F258998}" autoFormatId="16" applyNumberFormats="0" applyBorderFormats="0" applyFontFormats="0" applyPatternFormats="0" applyAlignmentFormats="0" applyWidthHeightFormats="0">
  <queryTableRefresh nextId="16">
    <queryTableFields count="15">
      <queryTableField id="1" name="Trade Date" tableColumnId="1"/>
      <queryTableField id="2" name="TradeTime" tableColumnId="2"/>
      <queryTableField id="3" name="Security Isin" tableColumnId="3"/>
      <queryTableField id="4" name="Security Ticker" tableColumnId="4"/>
      <queryTableField id="5" name="Transaction Type Name" tableColumnId="5"/>
      <queryTableField id="6" name="Quantity" tableColumnId="6"/>
      <queryTableField id="7" name="Trade Price" tableColumnId="7"/>
      <queryTableField id="8" name="Broker Name" tableColumnId="8"/>
      <queryTableField id="9" name="Strategy Code" tableColumnId="9"/>
      <queryTableField id="10" name="Risk Category Name" tableColumnId="10"/>
      <queryTableField id="11" name="Fund Name" tableColumnId="11"/>
      <queryTableField id="12" name="Security Currency" tableColumnId="12"/>
      <queryTableField id="13" name="Trade Total Commission" tableColumnId="13"/>
      <queryTableField id="14" name="End Price" tableColumnId="14"/>
      <queryTableField id="15" name="Security Type Name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C97C562B-709F-456E-9DDC-8B7BE4C2A469}" autoFormatId="16" applyNumberFormats="0" applyBorderFormats="0" applyFontFormats="0" applyPatternFormats="0" applyAlignmentFormats="0" applyWidthHeightFormats="0">
  <queryTableRefresh nextId="38">
    <queryTableFields count="30">
      <queryTableField id="1" name=" " tableColumnId="1"/>
      <queryTableField id="2" name=" _1" tableColumnId="2"/>
      <queryTableField id="3" name=" _2" tableColumnId="3"/>
      <queryTableField id="4" name=" _3" tableColumnId="4"/>
      <queryTableField id="5" name=" _4" tableColumnId="5"/>
      <queryTableField id="6" name="'Isin'" tableColumnId="6"/>
      <queryTableField id="7" name="'Security Name'" tableColumnId="7"/>
      <queryTableField id="8" name="'Position'" tableColumnId="8"/>
      <queryTableField id="9" name="'Security Ticker'" tableColumnId="9"/>
      <queryTableField id="10" name="'Security Workout Date'" tableColumnId="10"/>
      <queryTableField id="11" name="'coupon'" tableColumnId="11"/>
      <queryTableField id="34" name="'Security Issuer Ticker'" tableColumnId="28"/>
      <queryTableField id="12" name="'RH_ISIN'" tableColumnId="12"/>
      <queryTableField id="13" name="'Security Isin'" tableColumnId="13"/>
      <queryTableField id="14" name="'close'" tableColumnId="14"/>
      <queryTableField id="15" name="'Market Price'" tableColumnId="15"/>
      <queryTableField id="16" name="'DTD P/L'" tableColumnId="16"/>
      <queryTableField id="17" name="'DV01 Exposure'" tableColumnId="17"/>
      <queryTableField id="18" name="'CR01 Exposure'" tableColumnId="18"/>
      <queryTableField id="19" name="'Security Type Name'" tableColumnId="19"/>
      <queryTableField id="20" name="'Unit Cost'" tableColumnId="20"/>
      <queryTableField id="21" name="'Risk Category Name'" tableColumnId="21"/>
      <queryTableField id="23" name="'Security PRICING_SOURCE'" tableColumnId="23"/>
      <queryTableField id="24" name="'DTD Realized'" tableColumnId="22"/>
      <queryTableField id="25" name="'DTD Local Realized'" tableColumnId="24"/>
      <queryTableField id="26" name="'DTD Trading P/L'" tableColumnId="25"/>
      <queryTableField id="32" name="'DTD Begin Position'" tableColumnId="31"/>
      <queryTableField id="35" name="'Security Currency'" tableColumnId="29"/>
      <queryTableField id="27" name="Column1" tableColumnId="26"/>
      <queryTableField id="28" name="_5" tableColumnId="2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BFBAE069-0524-4737-A0C3-A9DF5D9B72B2}" autoFormatId="16" applyNumberFormats="0" applyBorderFormats="0" applyFontFormats="0" applyPatternFormats="0" applyAlignmentFormats="0" applyWidthHeightFormats="0">
  <queryTableRefresh nextId="33">
    <queryTableFields count="32">
      <queryTableField id="1" name=" " tableColumnId="1"/>
      <queryTableField id="2" name=" _1" tableColumnId="2"/>
      <queryTableField id="3" name=" _2" tableColumnId="3"/>
      <queryTableField id="4" name=" _3" tableColumnId="4"/>
      <queryTableField id="5" name=" _4" tableColumnId="5"/>
      <queryTableField id="6" name="'RH_ISIN'" tableColumnId="6"/>
      <queryTableField id="7" name="'Security Symbol'" tableColumnId="7"/>
      <queryTableField id="8" name="'Security Ticker'" tableColumnId="8"/>
      <queryTableField id="9" name="'Security Issuer Ticker'" tableColumnId="9"/>
      <queryTableField id="10" name="'Ccy'" tableColumnId="10"/>
      <queryTableField id="11" name="'Security Workout Date'" tableColumnId="11"/>
      <queryTableField id="12" name="'Security Type Name'" tableColumnId="12"/>
      <queryTableField id="13" name="'Strategy Portfolio Name'" tableColumnId="13"/>
      <queryTableField id="14" name="'Position'" tableColumnId="14"/>
      <queryTableField id="15" name="'Market Price'" tableColumnId="15"/>
      <queryTableField id="16" name="'Security Spread (Z Spread) (bps)'" tableColumnId="16"/>
      <queryTableField id="17" name="'DTD P/L Price G/L'" tableColumnId="17"/>
      <queryTableField id="18" name="'DTD Carry Price G/L'" tableColumnId="18"/>
      <queryTableField id="19" name="'RH_Seniority'" tableColumnId="19"/>
      <queryTableField id="20" name="'RH_DV01 Exp'" tableColumnId="20"/>
      <queryTableField id="21" name="'RH_CR01 Exp'" tableColumnId="21"/>
      <queryTableField id="22" name="'CR01 %'" tableColumnId="22"/>
      <queryTableField id="23" name="'CR01%Norm'" tableColumnId="23"/>
      <queryTableField id="24" name="'Market Value'" tableColumnId="24"/>
      <queryTableField id="25" name="'Security PRICING_SOURCE'" tableColumnId="25"/>
      <queryTableField id="26" name="'DTD Begin Price'" tableColumnId="26"/>
      <queryTableField id="27" name="'DTD Begin Position'" tableColumnId="27"/>
      <queryTableField id="28" name="'Risk Category Name'" tableColumnId="28"/>
      <queryTableField id="29" name="'Fund Name'" tableColumnId="29"/>
      <queryTableField id="30" name="'RH_CommitmentExposure'" tableColumnId="30"/>
      <queryTableField id="31" name="'RH_GrossExposure'" tableColumnId="31"/>
      <queryTableField id="32" name="'Security IsDelayed'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25E12B-05FE-411F-9BD4-F729F598D994}" name="Intraday_blotter_DL" displayName="Intraday_blotter_DL" ref="A1:O61" tableType="queryTable" totalsRowShown="0">
  <autoFilter ref="A1:O61" xr:uid="{5B5E6507-E711-44A8-AF26-B6599F3EAB13}"/>
  <tableColumns count="15">
    <tableColumn id="1" xr3:uid="{7A717CC8-CA55-40CC-85E3-8AF00C97AD97}" uniqueName="1" name="Trade Date" queryTableFieldId="1" dataDxfId="49"/>
    <tableColumn id="2" xr3:uid="{87A5D603-2D53-4CC6-8273-0625714B1712}" uniqueName="2" name="TradeTime" queryTableFieldId="2" dataDxfId="48"/>
    <tableColumn id="3" xr3:uid="{C42E7ED4-CE74-40C4-9B0B-C1B063954D9C}" uniqueName="3" name="Security Isin" queryTableFieldId="3" dataDxfId="47"/>
    <tableColumn id="4" xr3:uid="{D2BE4C2C-3DDB-4C9E-B1F4-E0FEBA3D663B}" uniqueName="4" name="Security Ticker" queryTableFieldId="4" dataDxfId="46"/>
    <tableColumn id="5" xr3:uid="{E7C2C612-42AC-4FF0-A136-3E6851E19855}" uniqueName="5" name="Transaction Type Name" queryTableFieldId="5" dataDxfId="45"/>
    <tableColumn id="6" xr3:uid="{DF094668-E13C-4929-BEA7-AB0C64207C93}" uniqueName="6" name="Quantity" queryTableFieldId="6"/>
    <tableColumn id="7" xr3:uid="{4D685278-1898-4A03-B5DA-12F914E8387D}" uniqueName="7" name="Trade Price" queryTableFieldId="7"/>
    <tableColumn id="8" xr3:uid="{7DBC3571-3C62-4DD0-9D18-49E838CF0FED}" uniqueName="8" name="Broker Name" queryTableFieldId="8" dataDxfId="44"/>
    <tableColumn id="9" xr3:uid="{D95D8874-EB75-4AF4-A371-84FA87C7D7B2}" uniqueName="9" name="Strategy Code" queryTableFieldId="9" dataDxfId="43"/>
    <tableColumn id="10" xr3:uid="{7425AA9D-9E58-4EF3-A603-BC9AB2871BF4}" uniqueName="10" name="Risk Category Name" queryTableFieldId="10" dataDxfId="42"/>
    <tableColumn id="11" xr3:uid="{4D5CD5EB-2C64-4ECE-9190-36608923FF42}" uniqueName="11" name="Fund Name" queryTableFieldId="11" dataDxfId="41"/>
    <tableColumn id="12" xr3:uid="{4E894BE4-FF29-42AC-8342-1936FFE01B81}" uniqueName="12" name="Security Currency" queryTableFieldId="12" dataDxfId="40"/>
    <tableColumn id="13" xr3:uid="{525C4B39-52FD-46DA-9AF2-D1C5D4C4D197}" uniqueName="13" name="Trade Total Commission" queryTableFieldId="13"/>
    <tableColumn id="14" xr3:uid="{F78E387B-77E0-40D6-9DDC-0EDB2A3610F3}" uniqueName="14" name="End Price" queryTableFieldId="14"/>
    <tableColumn id="15" xr3:uid="{9781204E-CF57-4E48-AE4D-4A73810810A4}" uniqueName="15" name="Security Type Name" queryTableFieldId="1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081599-0A0D-44AE-8779-F53FCEE52BEB}" name="export_data_DL" displayName="export_data_DL" ref="A1:AD325" tableType="queryTable" totalsRowShown="0">
  <autoFilter ref="A1:AD325" xr:uid="{F766A994-C8C8-473F-85F5-C0AA00B1EDC0}"/>
  <tableColumns count="30">
    <tableColumn id="1" xr3:uid="{5702020F-FCCB-42CF-89BE-6CEBD04DFD0F}" uniqueName="1" name=" " queryTableFieldId="1" dataDxfId="38"/>
    <tableColumn id="2" xr3:uid="{B3C56341-54B4-4EB1-9C41-1228A3ADED6C}" uniqueName="2" name=" _1" queryTableFieldId="2" dataDxfId="37"/>
    <tableColumn id="3" xr3:uid="{8E67891F-CF33-4683-B3AF-0610B97C8951}" uniqueName="3" name=" _2" queryTableFieldId="3" dataDxfId="36"/>
    <tableColumn id="4" xr3:uid="{A963E5EB-8169-4432-AFE9-EB1329EEBAE5}" uniqueName="4" name=" _3" queryTableFieldId="4" dataDxfId="35"/>
    <tableColumn id="5" xr3:uid="{905FE917-2836-46C6-8D1B-BE6A60D6D01D}" uniqueName="5" name=" _4" queryTableFieldId="5" dataDxfId="34"/>
    <tableColumn id="6" xr3:uid="{6AA7624F-29E8-46E3-8369-3AD31076DA15}" uniqueName="6" name="'Isin'" queryTableFieldId="6" dataDxfId="33"/>
    <tableColumn id="7" xr3:uid="{372A2981-A066-408C-B1C9-400D6B67C9C0}" uniqueName="7" name="'Security Name'" queryTableFieldId="7" dataDxfId="32"/>
    <tableColumn id="8" xr3:uid="{D91EC658-B71E-40C0-8BC8-A9F2656B51FF}" uniqueName="8" name="'Position'" queryTableFieldId="8"/>
    <tableColumn id="9" xr3:uid="{15AD1590-D6E9-4069-879A-A22A171A12BE}" uniqueName="9" name="'Security Ticker'" queryTableFieldId="9" dataDxfId="31"/>
    <tableColumn id="10" xr3:uid="{788729E4-10D5-4B0D-B232-645F778F08C2}" uniqueName="10" name="'Security Workout Date'" queryTableFieldId="10" dataDxfId="30"/>
    <tableColumn id="11" xr3:uid="{D7A3AF85-D83C-4376-B0E1-6BC9C85BF7A6}" uniqueName="11" name="'coupon'" queryTableFieldId="11"/>
    <tableColumn id="28" xr3:uid="{64A9BCE3-EC61-48CE-9EAE-06D767053F37}" uniqueName="28" name="'Security Issuer Ticker'" queryTableFieldId="34" dataDxfId="29"/>
    <tableColumn id="12" xr3:uid="{4F58B723-F3BA-487D-A55E-07AAA3A0BD22}" uniqueName="12" name="'RH_ISIN'" queryTableFieldId="12" dataDxfId="28"/>
    <tableColumn id="13" xr3:uid="{7AF44C9A-A33B-4237-BE2C-7EA13B15197F}" uniqueName="13" name="'Security Isin'" queryTableFieldId="13" dataDxfId="27"/>
    <tableColumn id="14" xr3:uid="{EADCBA4A-9BB8-4213-8B87-99A31DF71559}" uniqueName="14" name="'close'" queryTableFieldId="14"/>
    <tableColumn id="15" xr3:uid="{4930E4FA-FB61-4D07-9F25-0208E3A64C2F}" uniqueName="15" name="'Market Price'" queryTableFieldId="15"/>
    <tableColumn id="16" xr3:uid="{2A752D97-4EF3-4255-B9E3-CCD6786F3CF8}" uniqueName="16" name="'DTD P/L'" queryTableFieldId="16"/>
    <tableColumn id="17" xr3:uid="{F472C554-E557-4424-AE00-D86C4C652999}" uniqueName="17" name="'DV01 Exposure'" queryTableFieldId="17"/>
    <tableColumn id="18" xr3:uid="{DB73922A-6BC9-4B79-A417-24680C0AF1EB}" uniqueName="18" name="'CR01 Exposure'" queryTableFieldId="18"/>
    <tableColumn id="19" xr3:uid="{12EE043A-A92F-46A5-9EED-ACDE10FFDF11}" uniqueName="19" name="'Security Type Name'" queryTableFieldId="19" dataDxfId="26"/>
    <tableColumn id="20" xr3:uid="{A157AEC4-AD76-4E03-80DE-D210C0995724}" uniqueName="20" name="'Unit Cost'" queryTableFieldId="20"/>
    <tableColumn id="21" xr3:uid="{19C9A430-CBD0-4D3F-8B9D-67D274E10CA3}" uniqueName="21" name="'Risk Category Name'" queryTableFieldId="21" dataDxfId="25"/>
    <tableColumn id="23" xr3:uid="{E52C8EA1-A699-4678-98A9-DC28665BE5E8}" uniqueName="23" name="'Security PRICING_SOURCE'" queryTableFieldId="23" dataDxfId="24"/>
    <tableColumn id="22" xr3:uid="{D5C72CB9-2621-4014-AB05-DB83A89A61AA}" uniqueName="22" name="'DTD Realized'" queryTableFieldId="24" dataDxfId="23"/>
    <tableColumn id="24" xr3:uid="{467F960E-BED0-4224-83A0-DA5361D481B0}" uniqueName="24" name="'DTD Local Realized'" queryTableFieldId="25" dataDxfId="22"/>
    <tableColumn id="25" xr3:uid="{880EB4DF-8D93-4D6D-A672-D8B43C24A5E6}" uniqueName="25" name="'DTD Trading P/L'" queryTableFieldId="26" dataDxfId="21"/>
    <tableColumn id="31" xr3:uid="{F2E8D716-DF5C-4806-B538-7B98D11D76FA}" uniqueName="31" name="'DTD Begin Position'" queryTableFieldId="32"/>
    <tableColumn id="29" xr3:uid="{DAF44EE5-7407-4415-8305-E325DF48ECFA}" uniqueName="29" name="'Security Currency'" queryTableFieldId="35" dataDxfId="20"/>
    <tableColumn id="26" xr3:uid="{C31C2F40-EC96-422B-B4DC-FFF2888BB7C6}" uniqueName="26" name="Column1" queryTableFieldId="27" dataDxfId="19"/>
    <tableColumn id="27" xr3:uid="{CC5FFF3F-CBC4-4C61-8A58-10F7D63226EC}" uniqueName="27" name="_5" queryTableFieldId="28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6C689B-68AA-452E-AD6E-DB31BDF8B31E}" name="PnL_report_DL" displayName="PnL_report_DL" ref="A1:AF368" tableType="queryTable" totalsRowShown="0">
  <autoFilter ref="A1:AF368" xr:uid="{77715C79-8278-4417-9F87-13E47AD14D18}"/>
  <tableColumns count="32">
    <tableColumn id="1" xr3:uid="{819B8743-C7D4-49B7-8D34-85A92B94ABA7}" uniqueName="1" name=" " queryTableFieldId="1" dataDxfId="17"/>
    <tableColumn id="2" xr3:uid="{C8D07CD4-BBCB-4B9D-AD71-8CA56370D637}" uniqueName="2" name=" _1" queryTableFieldId="2" dataDxfId="16"/>
    <tableColumn id="3" xr3:uid="{40145248-A305-4B27-9208-268419FC8A48}" uniqueName="3" name=" _2" queryTableFieldId="3" dataDxfId="15"/>
    <tableColumn id="4" xr3:uid="{1668040B-4CF9-4316-916D-619F917EB445}" uniqueName="4" name=" _3" queryTableFieldId="4" dataDxfId="14"/>
    <tableColumn id="5" xr3:uid="{E49EFA12-7BC8-4579-890B-76130C591F52}" uniqueName="5" name=" _4" queryTableFieldId="5" dataDxfId="13"/>
    <tableColumn id="6" xr3:uid="{6FF88290-BA99-4004-BAD8-E06593DEBA54}" uniqueName="6" name="'RH_ISIN'" queryTableFieldId="6" dataDxfId="12"/>
    <tableColumn id="7" xr3:uid="{1CD12E23-2547-49B2-A814-4174531E7FDB}" uniqueName="7" name="'Security Symbol'" queryTableFieldId="7" dataDxfId="11"/>
    <tableColumn id="8" xr3:uid="{4389524B-BC5D-460E-94C0-7F8D46CC8521}" uniqueName="8" name="'Security Ticker'" queryTableFieldId="8" dataDxfId="10"/>
    <tableColumn id="9" xr3:uid="{31846A4D-CC11-42EA-AA7E-2D6C8E5E4C2E}" uniqueName="9" name="'Security Issuer Ticker'" queryTableFieldId="9" dataDxfId="9"/>
    <tableColumn id="10" xr3:uid="{D43D1A0C-E675-4CDD-94D0-3D7AF3E4CE20}" uniqueName="10" name="'Ccy'" queryTableFieldId="10" dataDxfId="8"/>
    <tableColumn id="11" xr3:uid="{E9AB8FDA-1CBE-464E-8A71-95C0581776C0}" uniqueName="11" name="'Security Workout Date'" queryTableFieldId="11" dataDxfId="7"/>
    <tableColumn id="12" xr3:uid="{5A1D7BD5-2C2E-481E-A689-09BC2C3508E8}" uniqueName="12" name="'Security Type Name'" queryTableFieldId="12" dataDxfId="6"/>
    <tableColumn id="13" xr3:uid="{B908EF5B-93B3-46F8-B3BA-A3E845C84031}" uniqueName="13" name="'Strategy Portfolio Name'" queryTableFieldId="13" dataDxfId="5"/>
    <tableColumn id="14" xr3:uid="{D4FD3226-B8A0-41A3-A262-B0AD4065AE55}" uniqueName="14" name="'Position'" queryTableFieldId="14"/>
    <tableColumn id="15" xr3:uid="{914B4F94-09AD-4638-BD7E-1297A0E4BCB1}" uniqueName="15" name="'Market Price'" queryTableFieldId="15"/>
    <tableColumn id="16" xr3:uid="{E71DD33D-DBDF-4A49-8DAB-7A4CC7F22D59}" uniqueName="16" name="'Security Spread (Z Spread) (bps)'" queryTableFieldId="16"/>
    <tableColumn id="17" xr3:uid="{C9AFD3F4-ABA5-414F-8355-74C5761D8C43}" uniqueName="17" name="'DTD P/L Price G/L'" queryTableFieldId="17"/>
    <tableColumn id="18" xr3:uid="{E0E2CCDB-6B31-44DA-96AA-69C111448EF6}" uniqueName="18" name="'DTD Carry Price G/L'" queryTableFieldId="18"/>
    <tableColumn id="19" xr3:uid="{3B816451-B89A-4550-9C13-32034274FA64}" uniqueName="19" name="'RH_Seniority'" queryTableFieldId="19" dataDxfId="4"/>
    <tableColumn id="20" xr3:uid="{AE491F49-A59B-4714-93CA-7189A39CA862}" uniqueName="20" name="'RH_DV01 Exp'" queryTableFieldId="20"/>
    <tableColumn id="21" xr3:uid="{2E6401B8-CD8B-428E-9496-D37822DD2C12}" uniqueName="21" name="'RH_CR01 Exp'" queryTableFieldId="21"/>
    <tableColumn id="22" xr3:uid="{FD3F88D0-88B5-458D-937C-77BD3BBBFF52}" uniqueName="22" name="'CR01 %'" queryTableFieldId="22"/>
    <tableColumn id="23" xr3:uid="{1D5F1FA4-C7BC-47A1-99A2-5454C44EFC4E}" uniqueName="23" name="'CR01%Norm'" queryTableFieldId="23"/>
    <tableColumn id="24" xr3:uid="{3FB888FB-0C6B-4AF0-B6C3-25E9DBBB9598}" uniqueName="24" name="'Market Value'" queryTableFieldId="24"/>
    <tableColumn id="25" xr3:uid="{85FFC483-10B1-4089-864B-3D1A88E51C2D}" uniqueName="25" name="'Security PRICING_SOURCE'" queryTableFieldId="25" dataDxfId="3"/>
    <tableColumn id="26" xr3:uid="{2CA16E40-3FEA-480F-9384-EAC7CE3E4BD7}" uniqueName="26" name="'DTD Begin Price'" queryTableFieldId="26"/>
    <tableColumn id="27" xr3:uid="{D7CC0940-8F00-4785-8A8E-8F7DBACE5941}" uniqueName="27" name="'DTD Begin Position'" queryTableFieldId="27"/>
    <tableColumn id="28" xr3:uid="{0AB6B7C9-02AE-418F-9647-4813A389E8E2}" uniqueName="28" name="'Risk Category Name'" queryTableFieldId="28" dataDxfId="2"/>
    <tableColumn id="29" xr3:uid="{235C68EA-BC28-41D8-A912-C06C9C533978}" uniqueName="29" name="'Fund Name'" queryTableFieldId="29" dataDxfId="1"/>
    <tableColumn id="30" xr3:uid="{F7F4663A-495E-4C49-A709-74E561B3673F}" uniqueName="30" name="'RH_CommitmentExposure'" queryTableFieldId="30"/>
    <tableColumn id="31" xr3:uid="{78DBBA60-3F61-462A-9A02-F96844A551AD}" uniqueName="31" name="'RH_GrossExposure'" queryTableFieldId="31"/>
    <tableColumn id="32" xr3:uid="{CC167DB8-8C40-4CE1-B0FA-B98BBD2EB03D}" uniqueName="32" name="'Security IsDelayed'" queryTableFieldId="32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F505B7-E4D0-41A7-AECB-C23C972B8EBC}" name="PnL_report_DL_medium" displayName="PnL_report_DL_medium" ref="A1:AF405" totalsRowShown="0">
  <autoFilter ref="A1:AF405" xr:uid="{EB5DD94E-C031-4860-950A-7D2BA9FA2E33}"/>
  <tableColumns count="32">
    <tableColumn id="1" xr3:uid="{C9CC18E4-610A-4CFE-B5FB-E83E0328D519}" name=" " dataDxfId="88"/>
    <tableColumn id="2" xr3:uid="{478ABC13-A261-4EB3-88CF-9EE63BFC2D48}" name=" _1" dataDxfId="87"/>
    <tableColumn id="3" xr3:uid="{949EA0B4-DC33-42B1-B1EC-886F0CCC679B}" name=" _2" dataDxfId="86"/>
    <tableColumn id="4" xr3:uid="{DB8A7B20-62B8-4BD2-AEF5-D42F6BB0687B}" name=" _3" dataDxfId="85"/>
    <tableColumn id="5" xr3:uid="{6193ABDA-9991-4923-AE65-673463AA4409}" name=" _4" dataDxfId="84"/>
    <tableColumn id="6" xr3:uid="{52DD801E-3993-4110-B71C-B73E7164D868}" name="'RH_ISIN'" dataDxfId="83"/>
    <tableColumn id="7" xr3:uid="{E48371D0-118D-41C0-84A9-36CA4E5915A5}" name="'Security Symbol'" dataDxfId="82"/>
    <tableColumn id="8" xr3:uid="{CC9F735F-B68B-4D55-B285-B057C345DF0D}" name="'Security Ticker'" dataDxfId="81"/>
    <tableColumn id="9" xr3:uid="{C5A36567-F771-41D4-805D-D475905479D4}" name="'Security Issuer Ticker'" dataDxfId="80"/>
    <tableColumn id="10" xr3:uid="{E7D2D41C-CE0E-458C-9000-3CE116483783}" name="'Ccy'" dataDxfId="79"/>
    <tableColumn id="11" xr3:uid="{8C991154-5B4E-4128-84F5-C285C574A71E}" name="'Security Workout Date'" dataDxfId="78"/>
    <tableColumn id="12" xr3:uid="{424285A0-880F-454A-A0ED-9AD4479463B1}" name="'Security Type Name'" dataDxfId="77"/>
    <tableColumn id="13" xr3:uid="{3B4A7EB1-145F-4EF7-9E49-DB2F7142E14B}" name="'Strategy Portfolio Name'" dataDxfId="76"/>
    <tableColumn id="14" xr3:uid="{747C6555-4489-4F9C-A6C1-4E8DBA5580D0}" name="'Position'"/>
    <tableColumn id="15" xr3:uid="{FBBA0D87-2CDE-4490-9BA1-9028FFCADA9C}" name="'Market Price'"/>
    <tableColumn id="16" xr3:uid="{BBAAC752-539D-4AB0-9FF1-0DAAFC3BBCC8}" name="'Security Spread (Z Spread) (bps)'"/>
    <tableColumn id="17" xr3:uid="{4F094C6F-46C2-4EE2-A8F1-F4FA9F538C70}" name="'DTD P/L Price G/L'"/>
    <tableColumn id="18" xr3:uid="{C5378B25-7E46-4934-A956-7D88CC7B670B}" name="'DTD Carry Price G/L'"/>
    <tableColumn id="19" xr3:uid="{4C2893BA-FB9A-4005-BEF1-D4302316B81C}" name="'RH_Seniority'" dataDxfId="75"/>
    <tableColumn id="20" xr3:uid="{B5B2AA9A-7EA1-440F-B2F7-C12851162D73}" name="'RH_DV01 Exp'"/>
    <tableColumn id="21" xr3:uid="{1DF1B56B-1DDE-4DFF-BD25-C216D133ECD7}" name="'RH_CR01 Exp'"/>
    <tableColumn id="22" xr3:uid="{3E6ADCE2-33D6-42C7-B314-DF86ADF05C39}" name="'CR01 %'"/>
    <tableColumn id="23" xr3:uid="{6847C8CE-D609-4914-A5D5-34E9B2570681}" name="'CR01%Norm'"/>
    <tableColumn id="24" xr3:uid="{06521B0B-F5E1-4F73-A930-8DE47CD3EAD0}" name="'Market Value'"/>
    <tableColumn id="25" xr3:uid="{73C7445E-EBE0-4EC6-99AD-4E2E0C3242ED}" name="'Security PRICING_SOURCE'" dataDxfId="74"/>
    <tableColumn id="26" xr3:uid="{1B993481-F0EC-41E8-BD7F-CB7266D2D376}" name="'DTD Begin Price'"/>
    <tableColumn id="27" xr3:uid="{C3044475-1D86-4254-88ED-0E5A65320444}" name="'DTD Begin Position'"/>
    <tableColumn id="28" xr3:uid="{BDB90C5B-E1C4-4D87-947A-3F76738A99FE}" name="'Risk Category Name'" dataDxfId="73"/>
    <tableColumn id="29" xr3:uid="{4278AAC3-2110-42F6-A623-B178FB5FECAF}" name="'Fund Name'" dataDxfId="72"/>
    <tableColumn id="30" xr3:uid="{F0421833-E92D-460B-9C1C-EB8172F5E010}" name="'RH_CommitmentExposure'"/>
    <tableColumn id="31" xr3:uid="{95F656B0-7CAC-4C4E-BECC-FF9B7BEACBDC}" name="'RH_GrossExposure'"/>
    <tableColumn id="32" xr3:uid="{62442FE1-D401-42F9-A2AE-0F55A542E9BC}" name="'Security IsDelayed'" dataDxfId="7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D8F63F-E540-4792-862A-0E06232AD861}" name="PnL_report_DL_old" displayName="PnL_report_DL_old" ref="A1:AF404" totalsRowShown="0">
  <autoFilter ref="A1:AF404" xr:uid="{BF9485A4-7390-483F-921D-FDEAA663CB8E}"/>
  <tableColumns count="32">
    <tableColumn id="1" xr3:uid="{9CB213B0-88F7-4AB3-9D97-E12F395F7A29}" name=" " dataDxfId="70"/>
    <tableColumn id="2" xr3:uid="{0C893FE1-4428-4F3D-B792-C46081B8443F}" name=" _1" dataDxfId="69"/>
    <tableColumn id="3" xr3:uid="{27CA3891-CBDB-4AFE-9895-E6AF0C510775}" name=" _2" dataDxfId="68"/>
    <tableColumn id="4" xr3:uid="{A9CDFF41-6043-43E8-B729-499D0F67F077}" name=" _3" dataDxfId="67"/>
    <tableColumn id="5" xr3:uid="{3E1A8FB7-2B98-4E71-854F-C3760053E50C}" name=" _4" dataDxfId="66"/>
    <tableColumn id="6" xr3:uid="{1CF6DE94-777B-40A2-B0FD-D1B10E843769}" name="'RH_ISIN'" dataDxfId="65"/>
    <tableColumn id="7" xr3:uid="{4CD62F56-0236-4D5A-997E-622DB72C6AC0}" name="'Security Symbol'" dataDxfId="64"/>
    <tableColumn id="8" xr3:uid="{1ED8C505-0A0B-4AA7-AF42-F3DCBAEF0DE5}" name="'Security Ticker'" dataDxfId="63"/>
    <tableColumn id="9" xr3:uid="{C7019C3B-A9F6-49DC-8D5E-3B851A9AE574}" name="'Security Issuer Ticker'" dataDxfId="62"/>
    <tableColumn id="10" xr3:uid="{B386C96B-FCD5-404F-A3CA-AC1D640E35C5}" name="'Ccy'" dataDxfId="61"/>
    <tableColumn id="11" xr3:uid="{ADC27840-9E69-4C01-A51C-E3A3A5855727}" name="'Security Workout Date'" dataDxfId="60"/>
    <tableColumn id="12" xr3:uid="{AC373AEA-683F-4EFD-AA54-0AE9439EEE6E}" name="'Security Type Name'" dataDxfId="59"/>
    <tableColumn id="13" xr3:uid="{16017801-B6BB-48F6-B2A2-DF11EE18DE9C}" name="'Strategy Portfolio Name'" dataDxfId="58"/>
    <tableColumn id="14" xr3:uid="{0FE78D05-588A-4E8B-A1FC-7B507F5E1501}" name="'Position'"/>
    <tableColumn id="15" xr3:uid="{C69EB2B8-A3D5-428C-B318-71E779027087}" name="'Market Price'"/>
    <tableColumn id="16" xr3:uid="{37ED2378-5AE7-41E5-BFC4-85C527CC8AE6}" name="'Security Spread (Z Spread) (bps)'"/>
    <tableColumn id="17" xr3:uid="{D7207A7A-9059-458F-9328-2BAB3C0C9382}" name="'DTD P/L Price G/L'"/>
    <tableColumn id="18" xr3:uid="{20536084-4307-42EC-ACC5-AC1BEFCA46EF}" name="'DTD Carry Price G/L'"/>
    <tableColumn id="19" xr3:uid="{CED6037A-2A03-40FE-B992-B63C5DBA273E}" name="'RH_Seniority'" dataDxfId="57"/>
    <tableColumn id="20" xr3:uid="{45474CF2-8467-436C-8214-C0F660917F16}" name="'RH_DV01 Exp'"/>
    <tableColumn id="21" xr3:uid="{AEF2AE13-9B86-4258-AF83-3D282E4DA65B}" name="'RH_CR01 Exp'"/>
    <tableColumn id="22" xr3:uid="{E45862B7-88B5-4438-8464-BB6C9700FC0D}" name="'CR01 %'"/>
    <tableColumn id="23" xr3:uid="{41B1D131-7F26-4FCA-9E2C-F6BE1FBBCD3C}" name="'CR01%Norm'"/>
    <tableColumn id="24" xr3:uid="{8FCA3C14-AA48-40E5-80C5-71EDF8929C52}" name="'Market Value'"/>
    <tableColumn id="25" xr3:uid="{A282E87E-34AE-4667-BA3C-4BE4596BB6B9}" name="'Security PRICING_SOURCE'" dataDxfId="56"/>
    <tableColumn id="26" xr3:uid="{1A48D0DD-F754-4CBD-AAD1-EC51276AE539}" name="'DTD Begin Price'"/>
    <tableColumn id="27" xr3:uid="{1F7674B9-A35E-4452-8966-139DCF28D4BE}" name="'DTD Begin Position'"/>
    <tableColumn id="28" xr3:uid="{3F5D2E6F-6375-4C4C-BE6B-6E4A4445E1C7}" name="'Risk Category Name'" dataDxfId="55"/>
    <tableColumn id="29" xr3:uid="{C8ADCCD8-A486-4347-A2E4-999032576713}" name="'Fund Name'" dataDxfId="54"/>
    <tableColumn id="30" xr3:uid="{A45FFFD0-E35B-4471-A0EB-20A34F228DB2}" name="'RH_CommitmentExposure'"/>
    <tableColumn id="31" xr3:uid="{E24D1C38-3785-423D-9713-C5FB09A79295}" name="'RH_GrossExposure'"/>
    <tableColumn id="32" xr3:uid="{489E4CE0-4F63-4695-8AB7-D660A290EF3C}" name="'Security IsDelayed'" dataDxfId="5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87FC-E533-4A4D-A04D-7A6035828C80}">
  <sheetPr codeName="Sheet8"/>
  <dimension ref="C8:AA189"/>
  <sheetViews>
    <sheetView workbookViewId="0">
      <selection activeCell="N8" sqref="N8"/>
    </sheetView>
  </sheetViews>
  <sheetFormatPr defaultRowHeight="14.5" x14ac:dyDescent="0.35"/>
  <cols>
    <col min="3" max="3" width="16" bestFit="1" customWidth="1"/>
    <col min="4" max="4" width="11.6328125" bestFit="1" customWidth="1"/>
    <col min="5" max="5" width="26.81640625" bestFit="1" customWidth="1"/>
    <col min="6" max="7" width="26.81640625" customWidth="1"/>
    <col min="8" max="8" width="8.81640625" bestFit="1" customWidth="1"/>
    <col min="9" max="9" width="8.81640625" customWidth="1"/>
    <col min="10" max="10" width="12.7265625" style="104" bestFit="1" customWidth="1"/>
    <col min="11" max="11" width="14.453125" style="104" bestFit="1" customWidth="1"/>
    <col min="12" max="12" width="11" style="104" bestFit="1" customWidth="1"/>
    <col min="16" max="17" width="8.81640625" style="104" customWidth="1"/>
    <col min="18" max="18" width="8.81640625" style="104" bestFit="1" customWidth="1"/>
    <col min="19" max="20" width="9.81640625" style="104" bestFit="1" customWidth="1"/>
    <col min="26" max="26" width="19.81640625" bestFit="1" customWidth="1"/>
  </cols>
  <sheetData>
    <row r="8" spans="3:27" x14ac:dyDescent="0.35">
      <c r="R8" s="104">
        <f>SUM(_xlfn.ANCHORARRAY(R13))</f>
        <v>-54221.319999995132</v>
      </c>
      <c r="S8" s="104">
        <f ca="1">SUM(_xlfn.ANCHORARRAY(S13))</f>
        <v>48998.520000000375</v>
      </c>
    </row>
    <row r="12" spans="3:27" s="107" customFormat="1" ht="43.5" x14ac:dyDescent="0.35">
      <c r="C12" s="105" t="s">
        <v>1158</v>
      </c>
      <c r="D12" s="105" t="s">
        <v>1644</v>
      </c>
      <c r="E12" s="105" t="s">
        <v>1645</v>
      </c>
      <c r="F12" s="105" t="s">
        <v>855</v>
      </c>
      <c r="G12" s="105" t="s">
        <v>928</v>
      </c>
      <c r="H12" s="105" t="s">
        <v>1650</v>
      </c>
      <c r="I12" s="105" t="s">
        <v>1653</v>
      </c>
      <c r="J12" s="106" t="s">
        <v>1646</v>
      </c>
      <c r="K12" s="106" t="s">
        <v>1647</v>
      </c>
      <c r="L12" s="106" t="s">
        <v>1648</v>
      </c>
      <c r="M12" s="106" t="s">
        <v>1649</v>
      </c>
      <c r="N12" s="106" t="s">
        <v>1154</v>
      </c>
      <c r="O12" s="106" t="s">
        <v>915</v>
      </c>
      <c r="P12" s="106"/>
      <c r="Q12" s="106" t="s">
        <v>1710</v>
      </c>
      <c r="R12" s="106" t="s">
        <v>1722</v>
      </c>
      <c r="S12" s="106" t="s">
        <v>1723</v>
      </c>
      <c r="T12" s="106" t="s">
        <v>1721</v>
      </c>
      <c r="V12" s="107" t="s">
        <v>1720</v>
      </c>
      <c r="Z12" s="105" t="s">
        <v>1713</v>
      </c>
      <c r="AA12" s="105" t="s">
        <v>1714</v>
      </c>
    </row>
    <row r="13" spans="3:27" x14ac:dyDescent="0.35">
      <c r="C13" t="str" cm="1">
        <f t="array" aca="1" ref="C13:C185" ca="1">_xlfn._xlws.FILTER(export_data_DL[''Isin''],export_data_DL[''Isin'']&lt;&gt;"")</f>
        <v>IE00BL6XZW69</v>
      </c>
      <c r="D13" t="str" cm="1">
        <f t="array" aca="1" ref="D13:D185" ca="1">_xlfn._xlws.FILTER(export_data_DL[''Risk Category Name''],export_data_DL[''Isin'']&lt;&gt;"")</f>
        <v>VOON</v>
      </c>
      <c r="E13" t="str" cm="1">
        <f t="array" ref="E13:E189">_xlfn.ANCHORARRAY(C13)&amp;"_"&amp;_xlfn.ANCHORARRAY(D13)</f>
        <v>XS1693822634_CAZZANIGA</v>
      </c>
      <c r="F13" t="str" cm="1">
        <f t="array" aca="1" ref="F13:F185" ca="1">_xlfn._xlws.FILTER(export_data_DL[''Security Ticker''],export_data_DL[''Isin'']&lt;&gt;"")</f>
        <v>TTRX LN</v>
      </c>
      <c r="G13" t="str" cm="1">
        <f t="array" aca="1" ref="G13:G185" ca="1">_xlfn._xlws.FILTER(export_data_DL[''Security Type Name''],export_data_DL[''Isin'']&lt;&gt;"")</f>
        <v>Exchange Traded Fund</v>
      </c>
      <c r="H13" t="str" cm="1">
        <f t="array" aca="1" ref="H13:H185" ca="1">_xlfn._xlws.FILTER(export_data_DL[''Security PRICING_SOURCE''],export_data_DL[''Isin'']&lt;&gt;"")</f>
        <v>LN</v>
      </c>
      <c r="I13" t="str" cm="1">
        <f t="array" aca="1" ref="I13:I185" ca="1">_xlfn._xlws.FILTER(export_data_DL[''Security PRICING_SOURCE''],export_data_DL[''Isin'']&lt;&gt;"")</f>
        <v>LN</v>
      </c>
      <c r="J13" s="104" cm="1">
        <f t="array" aca="1" ref="J13:J185" ca="1">_xlfn._xlws.FILTER(export_data_DL[''DTD Begin Position''],export_data_DL[''Isin'']&lt;&gt;"")*1</f>
        <v>50500</v>
      </c>
      <c r="K13" s="104" cm="1">
        <f t="array" aca="1" ref="K13:K185" ca="1">_xlfn._xlws.FILTER(export_data_DL[''Position''],export_data_DL[''Isin'']&lt;&gt;"")*1</f>
        <v>50500</v>
      </c>
      <c r="L13" s="104" cm="1">
        <f t="array" ref="L13:L189">_xlfn.ANCHORARRAY(K13)-_xlfn.ANCHORARRAY(J13)</f>
        <v>0</v>
      </c>
      <c r="M13" s="104" cm="1">
        <f t="array" aca="1" ref="M13:M185" ca="1">_xlfn._xlws.FILTER(export_data_DL[''close''],export_data_DL[''Isin'']&lt;&gt;"")*1</f>
        <v>102</v>
      </c>
      <c r="N13" s="104" cm="1">
        <f t="array" ref="N13:N189">_xlfn.ANCHORARRAY(M13)</f>
        <v>104.41</v>
      </c>
      <c r="O13" t="str" cm="1">
        <f t="array" aca="1" ref="O13:O185" ca="1">IF(LEFT(_xlfn.ANCHORARRAY(G13),4)="bond",_xll.BDP(_xlfn.ANCHORARRAY(C13)&amp;"@"&amp;_xlfn.ANCHORARRAY(H13)&amp;" corp","px_last"),IF(_xlfn.ANCHORARRAY(G13)="future",_xll.BDP(_xlfn.ANCHORARRAY(F13),"last_price"),"-"))</f>
        <v>-</v>
      </c>
      <c r="Q13" s="104" cm="1">
        <f t="array" ref="Q13:Q189">(_xlfn.ANCHORARRAY(G13)="bond corporate")*1+(_xlfn.ANCHORARRAY(G13)="bond sovereign")*1+(_xlfn.ANCHORARRAY(G13)="future")*2+(_xlfn.ANCHORARRAY(G13)="cds index swap")*3+(_xlfn.ANCHORARRAY(G13)="Credit Default Swap")*4+(_xlfn.ANCHORARRAY(G13)="Exchange Traded Fund")*5</f>
        <v>1</v>
      </c>
      <c r="R13" s="104" cm="1">
        <f t="array" ref="R13:R189">IFERROR(IF(_xlfn.ANCHORARRAY(G13)="future",100000,1)*_xlfn.ANCHORARRAY(J13)*(_xlfn.ANCHORARRAY(O13)-_xlfn.ANCHORARRAY(N13))/100,"-")</f>
        <v>-765.00000000002899</v>
      </c>
      <c r="S13" s="104" cm="1">
        <f t="array" aca="1" ref="S13:S185" ca="1">SUMIF(_xlfn.ANCHORARRAY(trades!C6),_xlfn.ANCHORARRAY(C13),_xlfn.ANCHORARRAY(trades!O6))</f>
        <v>0</v>
      </c>
      <c r="T13" s="104" cm="1">
        <f t="array" ref="T13:T189">_xlfn.ANCHORARRAY(R13)+_xlfn.ANCHORARRAY(S13)</f>
        <v>-765.00000000002899</v>
      </c>
      <c r="V13" cm="1">
        <f t="array" ref="V13:V189">CHOOSE(_xlfn.ANCHORARRAY(Q13),_xlfn.ANCHORARRAY(J13)*(_xlfn.ANCHORARRAY(O13)-_xlfn.ANCHORARRAY(N13))/100,"future","cds index","cds","etf")</f>
        <v>-765.00000000002899</v>
      </c>
      <c r="Z13" t="s">
        <v>30</v>
      </c>
      <c r="AA13">
        <v>1</v>
      </c>
    </row>
    <row r="14" spans="3:27" x14ac:dyDescent="0.35">
      <c r="C14" t="str">
        <f ca="1"/>
        <v>MT7000016820</v>
      </c>
      <c r="D14" t="str">
        <f ca="1"/>
        <v>GIORGETTI</v>
      </c>
      <c r="E14" t="str">
        <v>FR0013457157_SEMINARA</v>
      </c>
      <c r="F14" t="str">
        <f ca="1"/>
        <v/>
      </c>
      <c r="G14" t="str">
        <f ca="1"/>
        <v>Fund</v>
      </c>
      <c r="H14" t="str">
        <f ca="1"/>
        <v/>
      </c>
      <c r="I14" t="str">
        <f ca="1"/>
        <v/>
      </c>
      <c r="J14" s="104">
        <f ca="1"/>
        <v>2348</v>
      </c>
      <c r="K14" s="104">
        <f ca="1"/>
        <v>2348</v>
      </c>
      <c r="L14" s="104">
        <v>0</v>
      </c>
      <c r="M14">
        <f ca="1"/>
        <v>106.49</v>
      </c>
      <c r="N14">
        <v>91.16</v>
      </c>
      <c r="O14" t="str">
        <f ca="1"/>
        <v>-</v>
      </c>
      <c r="Q14" s="104">
        <v>1</v>
      </c>
      <c r="R14" s="104">
        <v>-168.00000000000637</v>
      </c>
      <c r="S14" s="104">
        <f ca="1"/>
        <v>0</v>
      </c>
      <c r="T14" s="104">
        <v>-168.00000000000637</v>
      </c>
      <c r="V14">
        <v>-168.00000000000637</v>
      </c>
      <c r="Z14" t="s">
        <v>13</v>
      </c>
      <c r="AA14">
        <v>2</v>
      </c>
    </row>
    <row r="15" spans="3:27" x14ac:dyDescent="0.35">
      <c r="C15" t="str">
        <f ca="1"/>
        <v>RXZ0</v>
      </c>
      <c r="D15" t="str">
        <f ca="1"/>
        <v>VOON</v>
      </c>
      <c r="E15" t="str">
        <v>XS1788973573_SEMINARA</v>
      </c>
      <c r="F15" t="str">
        <f ca="1"/>
        <v>RXZ0 Comdty</v>
      </c>
      <c r="G15" t="str">
        <f ca="1"/>
        <v>Future</v>
      </c>
      <c r="H15" t="str">
        <f ca="1"/>
        <v>EX</v>
      </c>
      <c r="I15" t="str">
        <f ca="1"/>
        <v>EX</v>
      </c>
      <c r="J15" s="104">
        <f ca="1"/>
        <v>-90</v>
      </c>
      <c r="K15" s="104">
        <f ca="1"/>
        <v>-71</v>
      </c>
      <c r="L15" s="104">
        <v>0</v>
      </c>
      <c r="M15">
        <f ca="1"/>
        <v>174.93</v>
      </c>
      <c r="N15">
        <v>105.3</v>
      </c>
      <c r="O15">
        <f ca="1"/>
        <v>175.22</v>
      </c>
      <c r="Q15" s="104">
        <v>1</v>
      </c>
      <c r="R15" s="104">
        <v>415.79999999997096</v>
      </c>
      <c r="S15" s="104">
        <f ca="1"/>
        <v>429.9999999997226</v>
      </c>
      <c r="T15" s="104">
        <v>415.79999999997096</v>
      </c>
      <c r="V15">
        <v>415.79999999997096</v>
      </c>
      <c r="Z15" t="s">
        <v>5</v>
      </c>
      <c r="AA15">
        <v>3</v>
      </c>
    </row>
    <row r="16" spans="3:27" x14ac:dyDescent="0.35">
      <c r="C16" t="str">
        <f ca="1"/>
        <v>RXZ0</v>
      </c>
      <c r="D16" t="str">
        <f ca="1"/>
        <v>TIGER</v>
      </c>
      <c r="E16" t="str">
        <v>XS1550134602_VOON</v>
      </c>
      <c r="F16" t="str">
        <f ca="1"/>
        <v>RXZ0 Comdty</v>
      </c>
      <c r="G16" t="str">
        <f ca="1"/>
        <v>Future</v>
      </c>
      <c r="H16" t="str">
        <f ca="1"/>
        <v>EX</v>
      </c>
      <c r="I16" t="str">
        <f ca="1"/>
        <v>EX</v>
      </c>
      <c r="J16" s="104">
        <f ca="1"/>
        <v>-4</v>
      </c>
      <c r="K16" s="104">
        <f ca="1"/>
        <v>-4</v>
      </c>
      <c r="L16" s="104">
        <v>0</v>
      </c>
      <c r="M16">
        <f ca="1"/>
        <v>174.93</v>
      </c>
      <c r="N16">
        <v>102.79</v>
      </c>
      <c r="O16">
        <f ca="1"/>
        <v>175.22</v>
      </c>
      <c r="Q16" s="104">
        <v>1</v>
      </c>
      <c r="R16" s="104">
        <v>299.99999999972715</v>
      </c>
      <c r="S16" s="104">
        <f ca="1"/>
        <v>429.9999999997226</v>
      </c>
      <c r="T16" s="104">
        <v>299.99999999972715</v>
      </c>
      <c r="V16">
        <v>299.99999999972715</v>
      </c>
      <c r="Z16" t="s">
        <v>832</v>
      </c>
      <c r="AA16">
        <v>4</v>
      </c>
    </row>
    <row r="17" spans="3:27" x14ac:dyDescent="0.35">
      <c r="C17" t="str">
        <f ca="1"/>
        <v>OEZ0</v>
      </c>
      <c r="D17" t="str">
        <f ca="1"/>
        <v>VOON</v>
      </c>
      <c r="E17" t="str">
        <v>BE6320935271_VOON</v>
      </c>
      <c r="F17" t="str">
        <f ca="1"/>
        <v>OEZ0 Comdty</v>
      </c>
      <c r="G17" t="str">
        <f ca="1"/>
        <v>Future</v>
      </c>
      <c r="H17" t="str">
        <f ca="1"/>
        <v>EX</v>
      </c>
      <c r="I17" t="str">
        <f ca="1"/>
        <v>EX</v>
      </c>
      <c r="J17" s="104">
        <f ca="1"/>
        <v>-70</v>
      </c>
      <c r="K17" s="104">
        <f ca="1"/>
        <v>-80</v>
      </c>
      <c r="L17" s="104">
        <v>0</v>
      </c>
      <c r="M17">
        <f ca="1"/>
        <v>135.30000000000001</v>
      </c>
      <c r="N17">
        <v>124.62</v>
      </c>
      <c r="O17">
        <f ca="1"/>
        <v>135.38</v>
      </c>
      <c r="Q17" s="104">
        <v>1</v>
      </c>
      <c r="R17" s="104">
        <v>-1034.9999999998261</v>
      </c>
      <c r="S17" s="104">
        <f ca="1"/>
        <v>110.00000000026942</v>
      </c>
      <c r="T17" s="104">
        <v>-1034.9999999998261</v>
      </c>
      <c r="V17">
        <v>-1034.9999999998261</v>
      </c>
      <c r="Z17" t="s">
        <v>245</v>
      </c>
      <c r="AA17">
        <v>5</v>
      </c>
    </row>
    <row r="18" spans="3:27" x14ac:dyDescent="0.35">
      <c r="C18" t="str">
        <f ca="1"/>
        <v>OEZ0</v>
      </c>
      <c r="D18" t="str">
        <f ca="1"/>
        <v>TIGER</v>
      </c>
      <c r="E18" t="str">
        <v>FR0013425170_SEMINARA</v>
      </c>
      <c r="F18" t="str">
        <f ca="1"/>
        <v>OEZ0 Comdty</v>
      </c>
      <c r="G18" t="str">
        <f ca="1"/>
        <v>Future</v>
      </c>
      <c r="H18" t="str">
        <f ca="1"/>
        <v>EX</v>
      </c>
      <c r="I18" t="str">
        <f ca="1"/>
        <v>EX</v>
      </c>
      <c r="J18" s="104">
        <f ca="1"/>
        <v>-2</v>
      </c>
      <c r="K18" s="104">
        <f ca="1"/>
        <v>-2</v>
      </c>
      <c r="L18" s="104">
        <v>0</v>
      </c>
      <c r="M18">
        <f ca="1"/>
        <v>135.30000000000001</v>
      </c>
      <c r="N18">
        <v>105.09</v>
      </c>
      <c r="O18">
        <f ca="1"/>
        <v>135.38</v>
      </c>
      <c r="Q18" s="104">
        <v>1</v>
      </c>
      <c r="R18" s="104">
        <v>-360.0000000000137</v>
      </c>
      <c r="S18" s="104">
        <f ca="1"/>
        <v>110.00000000026942</v>
      </c>
      <c r="T18" s="104">
        <v>-360.0000000000137</v>
      </c>
      <c r="V18">
        <v>-360.0000000000137</v>
      </c>
      <c r="Z18" t="s">
        <v>20</v>
      </c>
      <c r="AA18">
        <v>6</v>
      </c>
    </row>
    <row r="19" spans="3:27" x14ac:dyDescent="0.35">
      <c r="C19" t="str">
        <f ca="1"/>
        <v>UBZ0</v>
      </c>
      <c r="D19" t="str">
        <f ca="1"/>
        <v>VOON</v>
      </c>
      <c r="E19" t="str">
        <v>XS2114413565_SEMINARA</v>
      </c>
      <c r="F19" t="str">
        <f ca="1"/>
        <v>UBZ0 Comdty</v>
      </c>
      <c r="G19" t="str">
        <f ca="1"/>
        <v>Future</v>
      </c>
      <c r="H19" t="str">
        <f ca="1"/>
        <v>EX</v>
      </c>
      <c r="I19" t="str">
        <f ca="1"/>
        <v>EX</v>
      </c>
      <c r="J19" s="104">
        <f ca="1"/>
        <v>-17</v>
      </c>
      <c r="K19" s="104">
        <f ca="1"/>
        <v>-13</v>
      </c>
      <c r="L19" s="104">
        <v>0</v>
      </c>
      <c r="M19">
        <f ca="1"/>
        <v>224.94</v>
      </c>
      <c r="N19">
        <v>99.44</v>
      </c>
      <c r="O19">
        <f ca="1"/>
        <v>226.14</v>
      </c>
      <c r="Q19" s="104">
        <v>1</v>
      </c>
      <c r="R19" s="104">
        <v>210.00000000000796</v>
      </c>
      <c r="S19" s="104">
        <f ca="1"/>
        <v>2519.9999999998963</v>
      </c>
      <c r="T19" s="104">
        <v>210.00000000000796</v>
      </c>
      <c r="V19">
        <v>210.00000000000796</v>
      </c>
      <c r="Z19" t="s">
        <v>894</v>
      </c>
      <c r="AA19">
        <v>7</v>
      </c>
    </row>
    <row r="20" spans="3:27" x14ac:dyDescent="0.35">
      <c r="C20" t="str">
        <f ca="1"/>
        <v>RPZ0</v>
      </c>
      <c r="D20" t="str">
        <f ca="1"/>
        <v>GIORGETTI</v>
      </c>
      <c r="E20" t="str">
        <v>XS1658012023_CAZZANIGA</v>
      </c>
      <c r="F20" t="str">
        <f ca="1"/>
        <v>RPZ0 Curncy</v>
      </c>
      <c r="G20" t="str">
        <f ca="1"/>
        <v>Future</v>
      </c>
      <c r="H20" t="str">
        <f ca="1"/>
        <v>EX</v>
      </c>
      <c r="I20" t="str">
        <f ca="1"/>
        <v>EX</v>
      </c>
      <c r="J20" s="104">
        <f ca="1"/>
        <v>42</v>
      </c>
      <c r="K20" s="104">
        <f ca="1"/>
        <v>42</v>
      </c>
      <c r="L20" s="104">
        <v>0</v>
      </c>
      <c r="M20">
        <f ca="1"/>
        <v>0.9</v>
      </c>
      <c r="N20">
        <v>101.09</v>
      </c>
      <c r="O20">
        <f ca="1"/>
        <v>0.89605000000000001</v>
      </c>
      <c r="Q20" s="104">
        <v>1</v>
      </c>
      <c r="R20" s="104">
        <v>-271.99999999999136</v>
      </c>
      <c r="S20" s="104">
        <f ca="1"/>
        <v>0</v>
      </c>
      <c r="T20" s="104">
        <v>-271.99999999999136</v>
      </c>
      <c r="V20">
        <v>-271.99999999999136</v>
      </c>
      <c r="Z20" t="s">
        <v>1715</v>
      </c>
      <c r="AA20">
        <v>8</v>
      </c>
    </row>
    <row r="21" spans="3:27" x14ac:dyDescent="0.35">
      <c r="C21" t="str">
        <f ca="1"/>
        <v>ECZ0</v>
      </c>
      <c r="D21" t="str">
        <f ca="1"/>
        <v>GIORGETTI</v>
      </c>
      <c r="E21" t="str">
        <v>XS1571333811_CAZZANIGA</v>
      </c>
      <c r="F21" t="str">
        <f ca="1"/>
        <v>ECZ0 Curncy</v>
      </c>
      <c r="G21" t="str">
        <f ca="1"/>
        <v>Future</v>
      </c>
      <c r="H21" t="str">
        <f ca="1"/>
        <v>EX</v>
      </c>
      <c r="I21" t="str">
        <f ca="1"/>
        <v>EX</v>
      </c>
      <c r="J21" s="104">
        <f ca="1"/>
        <v>76</v>
      </c>
      <c r="K21" s="104">
        <f ca="1"/>
        <v>76</v>
      </c>
      <c r="L21" s="104">
        <v>0</v>
      </c>
      <c r="M21">
        <f ca="1"/>
        <v>1.18</v>
      </c>
      <c r="N21">
        <v>106.63</v>
      </c>
      <c r="O21">
        <f ca="1"/>
        <v>1.1871499999999999</v>
      </c>
      <c r="Q21" s="104">
        <v>1</v>
      </c>
      <c r="R21" s="104">
        <v>153.99999999999636</v>
      </c>
      <c r="S21" s="104">
        <f ca="1"/>
        <v>0</v>
      </c>
      <c r="T21" s="104">
        <v>153.99999999999636</v>
      </c>
      <c r="V21">
        <v>153.99999999999636</v>
      </c>
    </row>
    <row r="22" spans="3:27" x14ac:dyDescent="0.35">
      <c r="C22" t="str">
        <f ca="1"/>
        <v>IE00BD3WYB25</v>
      </c>
      <c r="D22" t="str">
        <f ca="1"/>
        <v>GIORGETTI</v>
      </c>
      <c r="E22" t="str">
        <v>XS2077670003_SEMINARA</v>
      </c>
      <c r="F22" t="str">
        <f ca="1"/>
        <v/>
      </c>
      <c r="G22" t="str">
        <f ca="1"/>
        <v>Fund</v>
      </c>
      <c r="H22" t="str">
        <f ca="1"/>
        <v>ID</v>
      </c>
      <c r="I22" t="str">
        <f ca="1"/>
        <v>ID</v>
      </c>
      <c r="J22" s="104">
        <f ca="1"/>
        <v>21028</v>
      </c>
      <c r="K22" s="104">
        <f ca="1"/>
        <v>21028</v>
      </c>
      <c r="L22" s="104">
        <v>0</v>
      </c>
      <c r="M22">
        <f ca="1"/>
        <v>119.41</v>
      </c>
      <c r="N22">
        <v>100.29</v>
      </c>
      <c r="O22" t="str">
        <f ca="1"/>
        <v>-</v>
      </c>
      <c r="Q22" s="104">
        <v>1</v>
      </c>
      <c r="R22" s="104">
        <v>1852.9999999999093</v>
      </c>
      <c r="S22" s="104">
        <f ca="1"/>
        <v>0</v>
      </c>
      <c r="T22" s="104">
        <v>1852.9999999999093</v>
      </c>
      <c r="V22">
        <v>1852.9999999999093</v>
      </c>
    </row>
    <row r="23" spans="3:27" x14ac:dyDescent="0.35">
      <c r="C23" t="str">
        <f ca="1"/>
        <v>ITXEB534</v>
      </c>
      <c r="D23" t="str">
        <f ca="1"/>
        <v>VOON</v>
      </c>
      <c r="E23" t="str">
        <v>XS1139688268_VOON</v>
      </c>
      <c r="F23" t="str">
        <f ca="1"/>
        <v>ITXEB534_JP_2025-12-20</v>
      </c>
      <c r="G23" t="str">
        <f ca="1"/>
        <v>CDS Index Swap</v>
      </c>
      <c r="H23" t="str">
        <f ca="1"/>
        <v/>
      </c>
      <c r="I23" t="str">
        <f ca="1"/>
        <v/>
      </c>
      <c r="J23" s="104">
        <f ca="1"/>
        <v>20000000</v>
      </c>
      <c r="K23" s="104">
        <f ca="1"/>
        <v>20000000</v>
      </c>
      <c r="L23" s="104">
        <v>0</v>
      </c>
      <c r="M23">
        <f ca="1"/>
        <v>-2.58</v>
      </c>
      <c r="N23">
        <v>102.46</v>
      </c>
      <c r="O23" t="str">
        <f ca="1"/>
        <v>-</v>
      </c>
      <c r="Q23" s="104">
        <v>1</v>
      </c>
      <c r="R23" s="104">
        <v>0</v>
      </c>
      <c r="S23" s="104">
        <f ca="1"/>
        <v>0</v>
      </c>
      <c r="T23" s="104">
        <v>0</v>
      </c>
      <c r="V23">
        <v>0</v>
      </c>
    </row>
    <row r="24" spans="3:27" x14ac:dyDescent="0.35">
      <c r="C24" t="str">
        <f ca="1"/>
        <v>ITXEB534</v>
      </c>
      <c r="D24" t="str">
        <f ca="1"/>
        <v>SEMINARA</v>
      </c>
      <c r="E24" t="str">
        <v>XS2102355588_VOON</v>
      </c>
      <c r="F24" t="str">
        <f ca="1"/>
        <v>ITXEB534_JP_2025-12-20</v>
      </c>
      <c r="G24" t="str">
        <f ca="1"/>
        <v>CDS Index Swap</v>
      </c>
      <c r="H24" t="str">
        <f ca="1"/>
        <v/>
      </c>
      <c r="I24" t="str">
        <f ca="1"/>
        <v/>
      </c>
      <c r="J24" s="104">
        <f ca="1"/>
        <v>5000000</v>
      </c>
      <c r="K24" s="104">
        <f ca="1"/>
        <v>5000000</v>
      </c>
      <c r="L24" s="104">
        <v>0</v>
      </c>
      <c r="M24">
        <f ca="1"/>
        <v>-2.58</v>
      </c>
      <c r="N24">
        <v>100.47</v>
      </c>
      <c r="O24" t="str">
        <f ca="1"/>
        <v>-</v>
      </c>
      <c r="Q24" s="104">
        <v>1</v>
      </c>
      <c r="R24" s="104">
        <v>-91.199999999787451</v>
      </c>
      <c r="S24" s="104">
        <f ca="1"/>
        <v>0</v>
      </c>
      <c r="T24" s="104">
        <v>-91.199999999787451</v>
      </c>
      <c r="V24">
        <v>-91.199999999787451</v>
      </c>
    </row>
    <row r="25" spans="3:27" x14ac:dyDescent="0.35">
      <c r="C25" t="str">
        <f ca="1"/>
        <v>ITXEU534</v>
      </c>
      <c r="D25" t="str">
        <f ca="1"/>
        <v>TIGER</v>
      </c>
      <c r="E25" t="str">
        <v>USF1R15XK938_CAZZANIGA</v>
      </c>
      <c r="F25" t="str">
        <f ca="1"/>
        <v>ITXEU534_JP_2025-12-20</v>
      </c>
      <c r="G25" t="str">
        <f ca="1"/>
        <v>CDS Index Swap</v>
      </c>
      <c r="H25" t="str">
        <f ca="1"/>
        <v/>
      </c>
      <c r="I25" t="str">
        <f ca="1"/>
        <v/>
      </c>
      <c r="J25" s="104">
        <f ca="1"/>
        <v>1500000</v>
      </c>
      <c r="K25" s="104">
        <f ca="1"/>
        <v>1500000</v>
      </c>
      <c r="L25" s="104">
        <v>0</v>
      </c>
      <c r="M25">
        <f ca="1"/>
        <v>0.85</v>
      </c>
      <c r="N25">
        <v>108.9</v>
      </c>
      <c r="O25" t="str">
        <f ca="1"/>
        <v>-</v>
      </c>
      <c r="Q25" s="104">
        <v>1</v>
      </c>
      <c r="R25" s="104">
        <v>67.500000000002558</v>
      </c>
      <c r="S25" s="104">
        <f ca="1"/>
        <v>0</v>
      </c>
      <c r="T25" s="104">
        <v>67.500000000002558</v>
      </c>
      <c r="V25">
        <v>67.500000000002558</v>
      </c>
    </row>
    <row r="26" spans="3:27" x14ac:dyDescent="0.35">
      <c r="C26" t="str">
        <f ca="1"/>
        <v>ITXES534</v>
      </c>
      <c r="D26" t="str">
        <f ca="1"/>
        <v>TIGER</v>
      </c>
      <c r="E26" t="str">
        <v>XS1992931508_VOON</v>
      </c>
      <c r="F26" t="str">
        <f ca="1"/>
        <v>ITXES534_JP_2025-12-20</v>
      </c>
      <c r="G26" t="str">
        <f ca="1"/>
        <v>CDS Index Swap</v>
      </c>
      <c r="H26" t="str">
        <f ca="1"/>
        <v/>
      </c>
      <c r="I26" t="str">
        <f ca="1"/>
        <v/>
      </c>
      <c r="J26" s="104">
        <f ca="1"/>
        <v>-3000000</v>
      </c>
      <c r="K26" s="104">
        <f ca="1"/>
        <v>-3000000</v>
      </c>
      <c r="L26" s="104">
        <v>0</v>
      </c>
      <c r="M26">
        <f ca="1"/>
        <v>-1.89</v>
      </c>
      <c r="N26">
        <v>104.56</v>
      </c>
      <c r="O26" t="str">
        <f ca="1"/>
        <v>-</v>
      </c>
      <c r="Q26" s="104">
        <v>1</v>
      </c>
      <c r="R26" s="104">
        <v>244.19999999990409</v>
      </c>
      <c r="S26" s="104">
        <f ca="1"/>
        <v>0</v>
      </c>
      <c r="T26" s="104">
        <v>244.19999999990409</v>
      </c>
      <c r="V26">
        <v>244.19999999990409</v>
      </c>
    </row>
    <row r="27" spans="3:27" x14ac:dyDescent="0.35">
      <c r="C27" t="str">
        <f ca="1"/>
        <v>DUZ0</v>
      </c>
      <c r="D27" t="str">
        <f ca="1"/>
        <v>VOON</v>
      </c>
      <c r="E27" t="str">
        <v>XS1992927902_VOON</v>
      </c>
      <c r="F27" t="str">
        <f ca="1"/>
        <v>DUZ0 Comdty</v>
      </c>
      <c r="G27" t="str">
        <f ca="1"/>
        <v>Future</v>
      </c>
      <c r="H27" t="str">
        <f ca="1"/>
        <v>EX</v>
      </c>
      <c r="I27" t="str">
        <f ca="1"/>
        <v>EX</v>
      </c>
      <c r="J27" s="104">
        <f ca="1"/>
        <v>-50</v>
      </c>
      <c r="K27" s="104">
        <f ca="1"/>
        <v>-50</v>
      </c>
      <c r="L27" s="104">
        <v>0</v>
      </c>
      <c r="M27">
        <f ca="1"/>
        <v>112.31</v>
      </c>
      <c r="N27">
        <v>107.85</v>
      </c>
      <c r="O27">
        <f ca="1"/>
        <v>112.315</v>
      </c>
      <c r="Q27" s="104">
        <v>1</v>
      </c>
      <c r="R27" s="104">
        <v>-1347.5000000004159</v>
      </c>
      <c r="S27" s="104">
        <f ca="1"/>
        <v>0</v>
      </c>
      <c r="T27" s="104">
        <v>-1347.5000000004159</v>
      </c>
      <c r="V27">
        <v>-1347.5000000004159</v>
      </c>
    </row>
    <row r="28" spans="3:27" x14ac:dyDescent="0.35">
      <c r="C28" t="str">
        <f ca="1"/>
        <v>BE6320935271</v>
      </c>
      <c r="D28" t="str">
        <f ca="1"/>
        <v>VOON</v>
      </c>
      <c r="E28" t="str">
        <v>US05565QDU94_SEMINARA</v>
      </c>
      <c r="F28" t="str">
        <f ca="1"/>
        <v>ABIBB 2 7/8 04/02/32</v>
      </c>
      <c r="G28" t="str">
        <f ca="1"/>
        <v>Bond Corporate</v>
      </c>
      <c r="H28" t="str">
        <f ca="1"/>
        <v>BGN</v>
      </c>
      <c r="I28" t="str">
        <f ca="1"/>
        <v>BGN</v>
      </c>
      <c r="J28" s="104">
        <f ca="1"/>
        <v>-1500000</v>
      </c>
      <c r="K28" s="104">
        <f ca="1"/>
        <v>-1500000</v>
      </c>
      <c r="L28" s="104">
        <v>7000000</v>
      </c>
      <c r="M28">
        <f ca="1"/>
        <v>124.62</v>
      </c>
      <c r="N28">
        <v>106.43</v>
      </c>
      <c r="O28">
        <f ca="1"/>
        <v>124.68899999999999</v>
      </c>
      <c r="Q28" s="104">
        <v>1</v>
      </c>
      <c r="R28" s="104">
        <v>4079.9999999995862</v>
      </c>
      <c r="S28" s="104">
        <f ca="1"/>
        <v>0</v>
      </c>
      <c r="T28" s="104">
        <v>7369.9999999993797</v>
      </c>
      <c r="V28">
        <v>4079.9999999995862</v>
      </c>
    </row>
    <row r="29" spans="3:27" x14ac:dyDescent="0.35">
      <c r="C29" t="str">
        <f ca="1"/>
        <v>XS1693822634</v>
      </c>
      <c r="D29" t="str">
        <f ca="1"/>
        <v>CAZZANIGA</v>
      </c>
      <c r="E29" t="str">
        <v>US05565QDV77_SEMINARA</v>
      </c>
      <c r="F29" t="str">
        <f ca="1"/>
        <v>ABNANV 4 3/4 PERP</v>
      </c>
      <c r="G29" t="str">
        <f ca="1"/>
        <v>Bond Corporate</v>
      </c>
      <c r="H29" t="str">
        <f ca="1"/>
        <v>BGN</v>
      </c>
      <c r="I29" t="str">
        <f ca="1"/>
        <v>BGN</v>
      </c>
      <c r="J29" s="104">
        <f ca="1"/>
        <v>-500000</v>
      </c>
      <c r="K29" s="104">
        <f ca="1"/>
        <v>-500000</v>
      </c>
      <c r="L29" s="104">
        <v>0</v>
      </c>
      <c r="M29">
        <f ca="1"/>
        <v>104.41</v>
      </c>
      <c r="N29">
        <v>109.31</v>
      </c>
      <c r="O29">
        <f ca="1"/>
        <v>104.563</v>
      </c>
      <c r="Q29" s="104">
        <v>1</v>
      </c>
      <c r="R29" s="104">
        <v>-8999.9999999996307</v>
      </c>
      <c r="S29" s="104">
        <f ca="1"/>
        <v>0</v>
      </c>
      <c r="T29" s="104">
        <v>-8999.9999999996307</v>
      </c>
      <c r="V29">
        <v>-8999.9999999996307</v>
      </c>
    </row>
    <row r="30" spans="3:27" x14ac:dyDescent="0.35">
      <c r="C30" t="str">
        <f ca="1"/>
        <v>FR0013457157</v>
      </c>
      <c r="D30" t="str">
        <f ca="1"/>
        <v>SEMINARA</v>
      </c>
      <c r="E30" t="str">
        <v>RXZ0_VOON</v>
      </c>
      <c r="F30" t="str">
        <f ca="1"/>
        <v>ACFP 2 5/8 PERP</v>
      </c>
      <c r="G30" t="str">
        <f ca="1"/>
        <v>Bond Corporate</v>
      </c>
      <c r="H30" t="str">
        <f ca="1"/>
        <v>BGN</v>
      </c>
      <c r="I30" t="str">
        <f ca="1"/>
        <v>BGN</v>
      </c>
      <c r="J30" s="104">
        <f ca="1"/>
        <v>-700000</v>
      </c>
      <c r="K30" s="104">
        <f ca="1"/>
        <v>-700000</v>
      </c>
      <c r="L30" s="104">
        <v>3</v>
      </c>
      <c r="M30">
        <f ca="1"/>
        <v>91.16</v>
      </c>
      <c r="N30">
        <v>174.93</v>
      </c>
      <c r="O30">
        <f ca="1"/>
        <v>91.183999999999997</v>
      </c>
      <c r="Q30" s="104">
        <v>2</v>
      </c>
      <c r="R30" s="104">
        <v>-8999.9999999994889</v>
      </c>
      <c r="S30" s="104">
        <f ca="1"/>
        <v>0</v>
      </c>
      <c r="T30" s="104">
        <v>-8969.9999999995161</v>
      </c>
      <c r="V30" t="str">
        <v>future</v>
      </c>
    </row>
    <row r="31" spans="3:27" x14ac:dyDescent="0.35">
      <c r="C31" t="str">
        <f ca="1"/>
        <v>FR0013425170</v>
      </c>
      <c r="D31" t="str">
        <f ca="1"/>
        <v>SEMINARA</v>
      </c>
      <c r="E31" t="str">
        <v>RXZ0_TIGER</v>
      </c>
      <c r="F31" t="str">
        <f ca="1"/>
        <v>AKEFP 2 3/4 PERP</v>
      </c>
      <c r="G31" t="str">
        <f ca="1"/>
        <v>Bond Corporate</v>
      </c>
      <c r="H31" t="str">
        <f ca="1"/>
        <v>BGN</v>
      </c>
      <c r="I31" t="str">
        <f ca="1"/>
        <v>BGN</v>
      </c>
      <c r="J31" s="104">
        <f ca="1"/>
        <v>-400000</v>
      </c>
      <c r="K31" s="104">
        <f ca="1"/>
        <v>-400000</v>
      </c>
      <c r="L31" s="104">
        <v>0</v>
      </c>
      <c r="M31">
        <f ca="1"/>
        <v>105.09</v>
      </c>
      <c r="N31">
        <v>174.93</v>
      </c>
      <c r="O31">
        <f ca="1"/>
        <v>105.18</v>
      </c>
      <c r="Q31" s="104">
        <v>2</v>
      </c>
      <c r="R31" s="104">
        <v>-399.99999999997732</v>
      </c>
      <c r="S31" s="104">
        <f ca="1"/>
        <v>0</v>
      </c>
      <c r="T31" s="104">
        <v>-370.0000000000046</v>
      </c>
      <c r="V31" t="str">
        <v>future</v>
      </c>
    </row>
    <row r="32" spans="3:27" x14ac:dyDescent="0.35">
      <c r="C32" t="str">
        <f ca="1"/>
        <v>XS1788973573</v>
      </c>
      <c r="D32" t="str">
        <f ca="1"/>
        <v>SEMINARA</v>
      </c>
      <c r="E32" t="str">
        <v>OEZ0_VOON</v>
      </c>
      <c r="F32" t="str">
        <f ca="1"/>
        <v>AKFAST 3 7/8 10/05/78</v>
      </c>
      <c r="G32" t="str">
        <f ca="1"/>
        <v>Bond Corporate</v>
      </c>
      <c r="H32" t="str">
        <f ca="1"/>
        <v>BGN</v>
      </c>
      <c r="I32" t="str">
        <f ca="1"/>
        <v>BGN</v>
      </c>
      <c r="J32" s="104">
        <f ca="1"/>
        <v>945000</v>
      </c>
      <c r="K32" s="104">
        <f ca="1"/>
        <v>945000</v>
      </c>
      <c r="L32" s="104">
        <v>5</v>
      </c>
      <c r="M32">
        <f ca="1"/>
        <v>105.3</v>
      </c>
      <c r="N32">
        <v>135.30000000000001</v>
      </c>
      <c r="O32">
        <f ca="1"/>
        <v>105.34399999999999</v>
      </c>
      <c r="Q32" s="104">
        <v>2</v>
      </c>
      <c r="R32" s="104">
        <v>-3499.9999999988063</v>
      </c>
      <c r="S32" s="104">
        <f ca="1"/>
        <v>0</v>
      </c>
      <c r="T32" s="104">
        <v>-3399.9999999988972</v>
      </c>
      <c r="V32" t="str">
        <v>future</v>
      </c>
    </row>
    <row r="33" spans="3:22" x14ac:dyDescent="0.35">
      <c r="C33" t="str">
        <f ca="1"/>
        <v>XS1658012023</v>
      </c>
      <c r="D33" t="str">
        <f ca="1"/>
        <v>CAZZANIGA</v>
      </c>
      <c r="E33" t="str">
        <v>OEZ0_TIGER</v>
      </c>
      <c r="F33" t="str">
        <f ca="1"/>
        <v>BACR 5 7/8 PERP</v>
      </c>
      <c r="G33" t="str">
        <f ca="1"/>
        <v>Bond Corporate</v>
      </c>
      <c r="H33" t="str">
        <f ca="1"/>
        <v>BGN</v>
      </c>
      <c r="I33" t="str">
        <f ca="1"/>
        <v>BGN</v>
      </c>
      <c r="J33" s="104">
        <f ca="1"/>
        <v>-200000</v>
      </c>
      <c r="K33" s="104">
        <f ca="1"/>
        <v>-200000</v>
      </c>
      <c r="L33" s="104">
        <v>0</v>
      </c>
      <c r="M33">
        <f ca="1"/>
        <v>101.09</v>
      </c>
      <c r="N33">
        <v>135.30000000000001</v>
      </c>
      <c r="O33">
        <f ca="1"/>
        <v>101.226</v>
      </c>
      <c r="Q33" s="104">
        <v>2</v>
      </c>
      <c r="R33" s="104">
        <v>-99.999999999965894</v>
      </c>
      <c r="S33" s="104">
        <f ca="1"/>
        <v>0</v>
      </c>
      <c r="T33" s="104">
        <v>-5.6829208006092813E-11</v>
      </c>
      <c r="V33" t="str">
        <v>future</v>
      </c>
    </row>
    <row r="34" spans="3:22" x14ac:dyDescent="0.35">
      <c r="C34" t="str">
        <f ca="1"/>
        <v>XS1571333811</v>
      </c>
      <c r="D34" t="str">
        <f ca="1"/>
        <v>CAZZANIGA</v>
      </c>
      <c r="E34" t="str">
        <v>UBZ0_VOON</v>
      </c>
      <c r="F34" t="str">
        <f ca="1"/>
        <v>BACR 7 1/4 PERP</v>
      </c>
      <c r="G34" t="str">
        <f ca="1"/>
        <v>Bond Corporate</v>
      </c>
      <c r="H34" t="str">
        <f ca="1"/>
        <v>BGN</v>
      </c>
      <c r="I34" t="str">
        <f ca="1"/>
        <v>BGN</v>
      </c>
      <c r="J34" s="104">
        <f ca="1"/>
        <v>200000</v>
      </c>
      <c r="K34" s="104">
        <f ca="1"/>
        <v>200000</v>
      </c>
      <c r="L34" s="104">
        <v>2</v>
      </c>
      <c r="M34">
        <f ca="1"/>
        <v>106.63</v>
      </c>
      <c r="N34">
        <v>224.94</v>
      </c>
      <c r="O34">
        <f ca="1"/>
        <v>106.70699999999999</v>
      </c>
      <c r="Q34" s="104">
        <v>2</v>
      </c>
      <c r="R34" s="104">
        <v>-7479.9999999999618</v>
      </c>
      <c r="S34" s="104">
        <f ca="1"/>
        <v>0</v>
      </c>
      <c r="T34" s="104">
        <v>-7179.9999999999791</v>
      </c>
      <c r="V34" t="str">
        <v>future</v>
      </c>
    </row>
    <row r="35" spans="3:22" x14ac:dyDescent="0.35">
      <c r="C35" t="str">
        <f ca="1"/>
        <v>XS1677911825</v>
      </c>
      <c r="D35" t="str">
        <f ca="1"/>
        <v>SEMINARA</v>
      </c>
      <c r="E35" t="str">
        <v>DUZ0_VOON</v>
      </c>
      <c r="F35" t="str">
        <f ca="1"/>
        <v>BALDER 3 03/07/78</v>
      </c>
      <c r="G35" t="str">
        <f ca="1"/>
        <v>Bond Corporate</v>
      </c>
      <c r="H35" t="str">
        <f ca="1"/>
        <v>BGN</v>
      </c>
      <c r="I35" t="str">
        <f ca="1"/>
        <v>BGN</v>
      </c>
      <c r="J35" s="104">
        <f ca="1"/>
        <v>177000</v>
      </c>
      <c r="K35" s="104">
        <f ca="1"/>
        <v>177000</v>
      </c>
      <c r="L35" s="104">
        <v>0</v>
      </c>
      <c r="M35">
        <f ca="1"/>
        <v>100.26</v>
      </c>
      <c r="N35">
        <v>112.31</v>
      </c>
      <c r="O35">
        <f ca="1"/>
        <v>100.253</v>
      </c>
      <c r="Q35" s="104">
        <v>2</v>
      </c>
      <c r="R35" s="104">
        <v>0</v>
      </c>
      <c r="S35" s="104">
        <f ca="1"/>
        <v>0</v>
      </c>
      <c r="T35" s="104">
        <v>0</v>
      </c>
      <c r="V35" t="str">
        <v>future</v>
      </c>
    </row>
    <row r="36" spans="3:22" x14ac:dyDescent="0.35">
      <c r="C36" t="str">
        <f ca="1"/>
        <v>XS2077670003</v>
      </c>
      <c r="D36" t="str">
        <f ca="1"/>
        <v>SEMINARA</v>
      </c>
      <c r="E36" t="str">
        <v>XS1493320656_VOON</v>
      </c>
      <c r="F36" t="str">
        <f ca="1"/>
        <v>BAYNGR 2 3/8 11/12/79</v>
      </c>
      <c r="G36" t="str">
        <f ca="1"/>
        <v>Bond Corporate</v>
      </c>
      <c r="H36" t="str">
        <f ca="1"/>
        <v>BGN</v>
      </c>
      <c r="I36" t="str">
        <f ca="1"/>
        <v>BGN</v>
      </c>
      <c r="J36" s="104">
        <f ca="1"/>
        <v>1700000</v>
      </c>
      <c r="K36" s="104">
        <f ca="1"/>
        <v>1700000</v>
      </c>
      <c r="L36" s="104">
        <v>0</v>
      </c>
      <c r="M36">
        <f ca="1"/>
        <v>100.29</v>
      </c>
      <c r="N36">
        <v>102.96</v>
      </c>
      <c r="O36">
        <f ca="1"/>
        <v>100.399</v>
      </c>
      <c r="Q36" s="104">
        <v>1</v>
      </c>
      <c r="R36" s="104">
        <v>-384.00000000001455</v>
      </c>
      <c r="S36" s="104">
        <f ca="1"/>
        <v>0</v>
      </c>
      <c r="T36" s="104">
        <v>-384.00000000001455</v>
      </c>
      <c r="V36">
        <v>-384.00000000001455</v>
      </c>
    </row>
    <row r="37" spans="3:22" x14ac:dyDescent="0.35">
      <c r="C37" t="str">
        <f ca="1"/>
        <v>XS1139688268</v>
      </c>
      <c r="D37" t="str">
        <f ca="1"/>
        <v>VOON</v>
      </c>
      <c r="E37" t="str">
        <v>FR0013519071_VOON</v>
      </c>
      <c r="F37" t="str">
        <f ca="1"/>
        <v>BGGRP 1 1/4 11/21/22</v>
      </c>
      <c r="G37" t="str">
        <f ca="1"/>
        <v>Bond Corporate</v>
      </c>
      <c r="H37" t="str">
        <f ca="1"/>
        <v>BGN</v>
      </c>
      <c r="I37" t="str">
        <f ca="1"/>
        <v>BGN</v>
      </c>
      <c r="J37" s="104">
        <f ca="1"/>
        <v>-2850000</v>
      </c>
      <c r="K37" s="104">
        <f ca="1"/>
        <v>-2850000</v>
      </c>
      <c r="L37" s="104">
        <v>0</v>
      </c>
      <c r="M37">
        <f ca="1"/>
        <v>102.46</v>
      </c>
      <c r="N37">
        <v>105.94</v>
      </c>
      <c r="O37">
        <f ca="1"/>
        <v>102.46</v>
      </c>
      <c r="Q37" s="104">
        <v>1</v>
      </c>
      <c r="R37" s="104">
        <v>-160.00000000005343</v>
      </c>
      <c r="S37" s="104">
        <f ca="1"/>
        <v>0</v>
      </c>
      <c r="T37" s="104">
        <v>-160.00000000005343</v>
      </c>
      <c r="V37">
        <v>-160.00000000005343</v>
      </c>
    </row>
    <row r="38" spans="3:22" x14ac:dyDescent="0.35">
      <c r="C38" t="str">
        <f ca="1"/>
        <v>XS2102355588</v>
      </c>
      <c r="D38" t="str">
        <f ca="1"/>
        <v>VOON</v>
      </c>
      <c r="E38" t="str">
        <v>XS1216019585_SEMINARA</v>
      </c>
      <c r="F38" t="str">
        <f ca="1"/>
        <v>BMW 0 04/14/23</v>
      </c>
      <c r="G38" t="str">
        <f ca="1"/>
        <v>Bond Corporate</v>
      </c>
      <c r="H38" t="str">
        <f ca="1"/>
        <v>BGN</v>
      </c>
      <c r="I38" t="str">
        <f ca="1"/>
        <v>BGN</v>
      </c>
      <c r="J38" s="104">
        <f ca="1"/>
        <v>-4560000</v>
      </c>
      <c r="K38" s="104">
        <f ca="1"/>
        <v>-4560000</v>
      </c>
      <c r="L38" s="104">
        <v>0</v>
      </c>
      <c r="M38">
        <f ca="1"/>
        <v>100.47</v>
      </c>
      <c r="N38">
        <v>106.59</v>
      </c>
      <c r="O38">
        <f ca="1"/>
        <v>100.47199999999999</v>
      </c>
      <c r="Q38" s="104">
        <v>1</v>
      </c>
      <c r="R38" s="104">
        <v>-11354.399999999016</v>
      </c>
      <c r="S38" s="104">
        <f ca="1"/>
        <v>0</v>
      </c>
      <c r="T38" s="104">
        <v>-11354.399999999016</v>
      </c>
      <c r="V38">
        <v>-11354.399999999016</v>
      </c>
    </row>
    <row r="39" spans="3:22" x14ac:dyDescent="0.35">
      <c r="C39" t="str">
        <f ca="1"/>
        <v>USF1R15XK938</v>
      </c>
      <c r="D39" t="str">
        <f ca="1"/>
        <v>CAZZANIGA</v>
      </c>
      <c r="E39" t="str">
        <v>XS1216020161_SEMINARA</v>
      </c>
      <c r="F39" t="str">
        <f ca="1"/>
        <v>BNP 6 5/8 PERP</v>
      </c>
      <c r="G39" t="str">
        <f ca="1"/>
        <v>Bond Corporate</v>
      </c>
      <c r="H39" t="str">
        <f ca="1"/>
        <v>BGN</v>
      </c>
      <c r="I39" t="str">
        <f ca="1"/>
        <v>BGN</v>
      </c>
      <c r="J39" s="104">
        <f ca="1"/>
        <v>250000</v>
      </c>
      <c r="K39" s="104">
        <f ca="1"/>
        <v>250000</v>
      </c>
      <c r="L39" s="104">
        <v>0</v>
      </c>
      <c r="M39">
        <f ca="1"/>
        <v>108.9</v>
      </c>
      <c r="N39">
        <v>100.66</v>
      </c>
      <c r="O39">
        <f ca="1"/>
        <v>108.92700000000001</v>
      </c>
      <c r="Q39" s="104">
        <v>1</v>
      </c>
      <c r="R39" s="104">
        <v>1490.2200000000564</v>
      </c>
      <c r="S39" s="104">
        <f ca="1"/>
        <v>0</v>
      </c>
      <c r="T39" s="104">
        <v>1490.2200000000564</v>
      </c>
      <c r="V39">
        <v>1490.2200000000564</v>
      </c>
    </row>
    <row r="40" spans="3:22" x14ac:dyDescent="0.35">
      <c r="C40" t="str">
        <f ca="1"/>
        <v>XS1992931508</v>
      </c>
      <c r="D40" t="str">
        <f ca="1"/>
        <v>VOON</v>
      </c>
      <c r="E40" t="str">
        <v>FR0014000D49_VOON</v>
      </c>
      <c r="F40" t="str">
        <f ca="1"/>
        <v>BPLN 0.831 11/08/27</v>
      </c>
      <c r="G40" t="str">
        <f ca="1"/>
        <v>Bond Corporate</v>
      </c>
      <c r="H40" t="str">
        <f ca="1"/>
        <v>BGN</v>
      </c>
      <c r="I40" t="str">
        <f ca="1"/>
        <v>BGN</v>
      </c>
      <c r="J40" s="104">
        <f ca="1"/>
        <v>1110000</v>
      </c>
      <c r="K40" s="104">
        <f ca="1"/>
        <v>1110000</v>
      </c>
      <c r="L40" s="104">
        <v>0</v>
      </c>
      <c r="M40">
        <f ca="1"/>
        <v>104.56</v>
      </c>
      <c r="N40">
        <v>100.72</v>
      </c>
      <c r="O40">
        <f ca="1"/>
        <v>104.58199999999999</v>
      </c>
      <c r="Q40" s="104">
        <v>1</v>
      </c>
      <c r="R40" s="104">
        <v>480.00000000001819</v>
      </c>
      <c r="S40" s="104">
        <f ca="1"/>
        <v>0</v>
      </c>
      <c r="T40" s="104">
        <v>480.00000000001819</v>
      </c>
      <c r="V40">
        <v>480.00000000001819</v>
      </c>
    </row>
    <row r="41" spans="3:22" x14ac:dyDescent="0.35">
      <c r="C41" t="str">
        <f ca="1"/>
        <v>XS2193663619</v>
      </c>
      <c r="D41" t="str">
        <f ca="1"/>
        <v>SEMINARA</v>
      </c>
      <c r="E41" t="str">
        <v>XS1982704824_SEMINARA</v>
      </c>
      <c r="F41" t="str">
        <f ca="1"/>
        <v>BPLN 4 1/4 PERP</v>
      </c>
      <c r="G41" t="str">
        <f ca="1"/>
        <v>Bond Corporate</v>
      </c>
      <c r="H41" t="str">
        <f ca="1"/>
        <v>BGN</v>
      </c>
      <c r="I41" t="str">
        <f ca="1"/>
        <v>BGN</v>
      </c>
      <c r="J41" s="104">
        <f ca="1"/>
        <v>0</v>
      </c>
      <c r="K41" s="104">
        <f ca="1"/>
        <v>1000000</v>
      </c>
      <c r="L41" s="104">
        <v>0</v>
      </c>
      <c r="M41">
        <f ca="1"/>
        <v>105.99</v>
      </c>
      <c r="N41">
        <v>100.74</v>
      </c>
      <c r="O41">
        <f ca="1"/>
        <v>106.286</v>
      </c>
      <c r="Q41" s="104">
        <v>1</v>
      </c>
      <c r="R41" s="104">
        <v>-2187.0000000000828</v>
      </c>
      <c r="S41" s="104">
        <f ca="1"/>
        <v>-709.99999999997954</v>
      </c>
      <c r="T41" s="104">
        <v>-2187.0000000000828</v>
      </c>
      <c r="V41">
        <v>-2187.0000000000828</v>
      </c>
    </row>
    <row r="42" spans="3:22" x14ac:dyDescent="0.35">
      <c r="C42" t="str">
        <f ca="1"/>
        <v>US05565QDU94</v>
      </c>
      <c r="D42" t="str">
        <f ca="1"/>
        <v>SEMINARA</v>
      </c>
      <c r="E42" t="str">
        <v>XS2231191748_SEMINARA</v>
      </c>
      <c r="F42" t="str">
        <f ca="1"/>
        <v>BPLN 4 3/8 PERP</v>
      </c>
      <c r="G42" t="str">
        <f ca="1"/>
        <v>Bond Corporate</v>
      </c>
      <c r="H42" t="str">
        <f ca="1"/>
        <v>BGN</v>
      </c>
      <c r="I42" t="str">
        <f ca="1"/>
        <v>BGN</v>
      </c>
      <c r="J42" s="104">
        <f ca="1"/>
        <v>4000000</v>
      </c>
      <c r="K42" s="104">
        <f ca="1"/>
        <v>11000000</v>
      </c>
      <c r="L42" s="104">
        <v>0</v>
      </c>
      <c r="M42">
        <f ca="1"/>
        <v>106.43</v>
      </c>
      <c r="N42">
        <v>99.21</v>
      </c>
      <c r="O42">
        <f ca="1"/>
        <v>106.532</v>
      </c>
      <c r="Q42" s="104">
        <v>1</v>
      </c>
      <c r="R42" s="104">
        <v>1184.760000000045</v>
      </c>
      <c r="S42" s="104">
        <f ca="1"/>
        <v>2940.0000000001114</v>
      </c>
      <c r="T42" s="104">
        <v>1184.760000000045</v>
      </c>
      <c r="V42">
        <v>1184.760000000045</v>
      </c>
    </row>
    <row r="43" spans="3:22" x14ac:dyDescent="0.35">
      <c r="C43" t="str">
        <f ca="1"/>
        <v>US05565QDV77</v>
      </c>
      <c r="D43" t="str">
        <f ca="1"/>
        <v>SEMINARA</v>
      </c>
      <c r="E43" t="str">
        <v>USH3698DCP71_CAZZANIGA</v>
      </c>
      <c r="F43" t="str">
        <f ca="1"/>
        <v>BPLN 4 7/8 PERP</v>
      </c>
      <c r="G43" t="str">
        <f ca="1"/>
        <v>Bond Corporate</v>
      </c>
      <c r="H43" t="str">
        <f ca="1"/>
        <v>BGN</v>
      </c>
      <c r="I43" t="str">
        <f ca="1"/>
        <v>BGN</v>
      </c>
      <c r="J43" s="104">
        <f ca="1"/>
        <v>-5000000</v>
      </c>
      <c r="K43" s="104">
        <f ca="1"/>
        <v>-5000000</v>
      </c>
      <c r="L43" s="104">
        <v>0</v>
      </c>
      <c r="M43">
        <f ca="1"/>
        <v>109.31</v>
      </c>
      <c r="N43">
        <v>110.62</v>
      </c>
      <c r="O43">
        <f ca="1"/>
        <v>109.49</v>
      </c>
      <c r="Q43" s="104">
        <v>1</v>
      </c>
      <c r="R43" s="104">
        <v>27.4999999999892</v>
      </c>
      <c r="S43" s="104">
        <f ca="1"/>
        <v>0</v>
      </c>
      <c r="T43" s="104">
        <v>27.4999999999892</v>
      </c>
      <c r="V43">
        <v>27.4999999999892</v>
      </c>
    </row>
    <row r="44" spans="3:22" x14ac:dyDescent="0.35">
      <c r="C44" t="str">
        <f ca="1"/>
        <v>XS1992927902</v>
      </c>
      <c r="D44" t="str">
        <f ca="1"/>
        <v>VOON</v>
      </c>
      <c r="E44" t="str">
        <v>XS2010039548_SEMINARA</v>
      </c>
      <c r="F44" t="str">
        <f ca="1"/>
        <v>BPLN 1.231 05/08/31</v>
      </c>
      <c r="G44" t="str">
        <f ca="1"/>
        <v>Bond Corporate</v>
      </c>
      <c r="H44" t="str">
        <f ca="1"/>
        <v>BGN</v>
      </c>
      <c r="I44" t="str">
        <f ca="1"/>
        <v>BGN</v>
      </c>
      <c r="J44" s="104">
        <f ca="1"/>
        <v>-3850000</v>
      </c>
      <c r="K44" s="104">
        <f ca="1"/>
        <v>-3850000</v>
      </c>
      <c r="L44" s="104">
        <v>0</v>
      </c>
      <c r="M44">
        <f ca="1"/>
        <v>107.85</v>
      </c>
      <c r="N44">
        <v>101.99</v>
      </c>
      <c r="O44">
        <f ca="1"/>
        <v>107.88500000000001</v>
      </c>
      <c r="Q44" s="104">
        <v>1</v>
      </c>
      <c r="R44" s="104">
        <v>-949.00000000009754</v>
      </c>
      <c r="S44" s="104">
        <f ca="1"/>
        <v>0</v>
      </c>
      <c r="T44" s="104">
        <v>-949.00000000009754</v>
      </c>
      <c r="V44">
        <v>-949.00000000009754</v>
      </c>
    </row>
    <row r="45" spans="3:22" x14ac:dyDescent="0.35">
      <c r="C45" t="str">
        <f ca="1"/>
        <v>FR0013519071</v>
      </c>
      <c r="D45" t="str">
        <f ca="1"/>
        <v>VOON</v>
      </c>
      <c r="E45" t="str">
        <v>DE000A289N78_SEMINARA</v>
      </c>
      <c r="F45" t="str">
        <f ca="1"/>
        <v>CAPFP 1 1/8 06/23/30</v>
      </c>
      <c r="G45" t="str">
        <f ca="1"/>
        <v>Bond Corporate</v>
      </c>
      <c r="H45" t="str">
        <f ca="1"/>
        <v>BGN</v>
      </c>
      <c r="I45" t="str">
        <f ca="1"/>
        <v>BGN</v>
      </c>
      <c r="J45" s="104">
        <f ca="1"/>
        <v>-1000000</v>
      </c>
      <c r="K45" s="104">
        <f ca="1"/>
        <v>-1000000</v>
      </c>
      <c r="L45" s="104">
        <v>0</v>
      </c>
      <c r="M45">
        <f ca="1"/>
        <v>105.94</v>
      </c>
      <c r="N45">
        <v>101.55</v>
      </c>
      <c r="O45">
        <f ca="1"/>
        <v>105.956</v>
      </c>
      <c r="Q45" s="104">
        <v>1</v>
      </c>
      <c r="R45" s="104">
        <v>-3024.0000000001146</v>
      </c>
      <c r="S45" s="104">
        <f ca="1"/>
        <v>0</v>
      </c>
      <c r="T45" s="104">
        <v>-3024.0000000001146</v>
      </c>
      <c r="V45">
        <v>-3024.0000000001146</v>
      </c>
    </row>
    <row r="46" spans="3:22" x14ac:dyDescent="0.35">
      <c r="C46" t="str">
        <f ca="1"/>
        <v>XS1493320656</v>
      </c>
      <c r="D46" t="str">
        <f ca="1"/>
        <v>VOON</v>
      </c>
      <c r="E46" t="str">
        <v>XS1829217428_VOON</v>
      </c>
      <c r="F46" t="str">
        <f ca="1"/>
        <v>CDTFIN 0 5/8 09/22/24</v>
      </c>
      <c r="G46" t="str">
        <f ca="1"/>
        <v>Bond Corporate</v>
      </c>
      <c r="H46" t="str">
        <f ca="1"/>
        <v>BGN</v>
      </c>
      <c r="I46" t="str">
        <f ca="1"/>
        <v>BGN</v>
      </c>
      <c r="J46" s="104">
        <f ca="1"/>
        <v>-1600000</v>
      </c>
      <c r="K46" s="104">
        <f ca="1"/>
        <v>-1600000</v>
      </c>
      <c r="L46" s="104">
        <v>0</v>
      </c>
      <c r="M46">
        <f ca="1"/>
        <v>102.96</v>
      </c>
      <c r="N46">
        <v>101.84</v>
      </c>
      <c r="O46">
        <f ca="1"/>
        <v>102.98399999999999</v>
      </c>
      <c r="Q46" s="104">
        <v>1</v>
      </c>
      <c r="R46" s="104">
        <v>49.999999999954525</v>
      </c>
      <c r="S46" s="104">
        <f ca="1"/>
        <v>0</v>
      </c>
      <c r="T46" s="104">
        <v>49.999999999954525</v>
      </c>
      <c r="V46">
        <v>49.999999999954525</v>
      </c>
    </row>
    <row r="47" spans="3:22" x14ac:dyDescent="0.35">
      <c r="C47" t="str">
        <f ca="1"/>
        <v>XS1216020161</v>
      </c>
      <c r="D47" t="str">
        <f ca="1"/>
        <v>SEMINARA</v>
      </c>
      <c r="E47" t="str">
        <v>XS2047500769_VOON</v>
      </c>
      <c r="F47" t="str">
        <f ca="1"/>
        <v>CNALN 3 04/10/76</v>
      </c>
      <c r="G47" t="str">
        <f ca="1"/>
        <v>Bond Corporate</v>
      </c>
      <c r="H47" t="str">
        <f ca="1"/>
        <v>BGN</v>
      </c>
      <c r="I47" t="str">
        <f ca="1"/>
        <v>BGN</v>
      </c>
      <c r="J47" s="104">
        <f ca="1"/>
        <v>16558000</v>
      </c>
      <c r="K47" s="104">
        <f ca="1"/>
        <v>16558000</v>
      </c>
      <c r="L47" s="104">
        <v>0</v>
      </c>
      <c r="M47">
        <f ca="1"/>
        <v>100.66</v>
      </c>
      <c r="N47">
        <v>100.73</v>
      </c>
      <c r="O47">
        <f ca="1"/>
        <v>100.669</v>
      </c>
      <c r="Q47" s="104">
        <v>1</v>
      </c>
      <c r="R47" s="104">
        <v>120.00000000000455</v>
      </c>
      <c r="S47" s="104">
        <f ca="1"/>
        <v>0</v>
      </c>
      <c r="T47" s="104">
        <v>120.00000000000455</v>
      </c>
      <c r="V47">
        <v>120.00000000000455</v>
      </c>
    </row>
    <row r="48" spans="3:22" x14ac:dyDescent="0.35">
      <c r="C48" t="str">
        <f ca="1"/>
        <v>XS1216019585</v>
      </c>
      <c r="D48" t="str">
        <f ca="1"/>
        <v>SEMINARA</v>
      </c>
      <c r="E48" t="str">
        <v>XS1222590488_VOON</v>
      </c>
      <c r="F48" t="str">
        <f ca="1"/>
        <v>CNALN 5 1/4 04/10/75</v>
      </c>
      <c r="G48" t="str">
        <f ca="1"/>
        <v>Bond Corporate</v>
      </c>
      <c r="H48" t="str">
        <f ca="1"/>
        <v>BGN</v>
      </c>
      <c r="I48" t="str">
        <f ca="1"/>
        <v>BGN</v>
      </c>
      <c r="J48" s="104">
        <f ca="1"/>
        <v>-9960000</v>
      </c>
      <c r="K48" s="104">
        <f ca="1"/>
        <v>-9960000</v>
      </c>
      <c r="L48" s="104">
        <v>0</v>
      </c>
      <c r="M48">
        <f ca="1"/>
        <v>106.59</v>
      </c>
      <c r="N48">
        <v>109.37</v>
      </c>
      <c r="O48">
        <f ca="1"/>
        <v>106.70399999999999</v>
      </c>
      <c r="Q48" s="104">
        <v>1</v>
      </c>
      <c r="R48" s="104">
        <v>891.65999999973212</v>
      </c>
      <c r="S48" s="104">
        <f ca="1"/>
        <v>0</v>
      </c>
      <c r="T48" s="104">
        <v>891.65999999973212</v>
      </c>
      <c r="V48">
        <v>891.65999999973212</v>
      </c>
    </row>
    <row r="49" spans="3:22" x14ac:dyDescent="0.35">
      <c r="C49" t="str">
        <f ca="1"/>
        <v>XS1982704824</v>
      </c>
      <c r="D49" t="str">
        <f ca="1"/>
        <v>SEMINARA</v>
      </c>
      <c r="E49" t="str">
        <v>FR0013534351_SEMINARA</v>
      </c>
      <c r="F49" t="str">
        <f ca="1"/>
        <v>CPIPGR 4 7/8 PERP</v>
      </c>
      <c r="G49" t="str">
        <f ca="1"/>
        <v>Bond Corporate</v>
      </c>
      <c r="H49" t="str">
        <f ca="1"/>
        <v>BGN</v>
      </c>
      <c r="I49" t="str">
        <f ca="1"/>
        <v>BGN</v>
      </c>
      <c r="J49" s="104">
        <f ca="1"/>
        <v>-2916000</v>
      </c>
      <c r="K49" s="104">
        <f ca="1"/>
        <v>-2916000</v>
      </c>
      <c r="L49" s="104">
        <v>0</v>
      </c>
      <c r="M49">
        <f ca="1"/>
        <v>100.74</v>
      </c>
      <c r="N49">
        <v>103.5</v>
      </c>
      <c r="O49">
        <f ca="1"/>
        <v>100.815</v>
      </c>
      <c r="Q49" s="104">
        <v>1</v>
      </c>
      <c r="R49" s="104">
        <v>3930.0000000000068</v>
      </c>
      <c r="S49" s="104">
        <f ca="1"/>
        <v>0</v>
      </c>
      <c r="T49" s="104">
        <v>3930.0000000000068</v>
      </c>
      <c r="V49">
        <v>3930.0000000000068</v>
      </c>
    </row>
    <row r="50" spans="3:22" x14ac:dyDescent="0.35">
      <c r="C50" t="str">
        <f ca="1"/>
        <v>USH3698DCP71</v>
      </c>
      <c r="D50" t="str">
        <f ca="1"/>
        <v>CAZZANIGA</v>
      </c>
      <c r="E50" t="str">
        <v>FR0011401751_SEMINARA</v>
      </c>
      <c r="F50" t="str">
        <f ca="1"/>
        <v>CS 6 3/8 PERP</v>
      </c>
      <c r="G50" t="str">
        <f ca="1"/>
        <v>Bond Corporate</v>
      </c>
      <c r="H50" t="str">
        <f ca="1"/>
        <v>BGN</v>
      </c>
      <c r="I50" t="str">
        <f ca="1"/>
        <v>BGN</v>
      </c>
      <c r="J50" s="104">
        <f ca="1"/>
        <v>250000</v>
      </c>
      <c r="K50" s="104">
        <f ca="1"/>
        <v>250000</v>
      </c>
      <c r="L50" s="104">
        <v>0</v>
      </c>
      <c r="M50">
        <f ca="1"/>
        <v>110.62</v>
      </c>
      <c r="N50">
        <v>113.71</v>
      </c>
      <c r="O50">
        <f ca="1"/>
        <v>110.631</v>
      </c>
      <c r="Q50" s="104">
        <v>1</v>
      </c>
      <c r="R50" s="104">
        <v>-707.00000000009311</v>
      </c>
      <c r="S50" s="104">
        <f ca="1"/>
        <v>0</v>
      </c>
      <c r="T50" s="104">
        <v>-707.00000000009311</v>
      </c>
      <c r="V50">
        <v>-707.00000000009311</v>
      </c>
    </row>
    <row r="51" spans="3:22" x14ac:dyDescent="0.35">
      <c r="C51" t="str">
        <f ca="1"/>
        <v>XS2010039548</v>
      </c>
      <c r="D51" t="str">
        <f ca="1"/>
        <v>SEMINARA</v>
      </c>
      <c r="E51" t="str">
        <v>FR0011697028_SEMINARA</v>
      </c>
      <c r="F51" t="str">
        <f ca="1"/>
        <v>DBHNGR 1.6 PERP</v>
      </c>
      <c r="G51" t="str">
        <f ca="1"/>
        <v>Bond Corporate</v>
      </c>
      <c r="H51" t="str">
        <f ca="1"/>
        <v>BGN</v>
      </c>
      <c r="I51" t="str">
        <f ca="1"/>
        <v>BGN</v>
      </c>
      <c r="J51" s="104">
        <f ca="1"/>
        <v>-1300000</v>
      </c>
      <c r="K51" s="104">
        <f ca="1"/>
        <v>-1300000</v>
      </c>
      <c r="L51" s="104">
        <v>0</v>
      </c>
      <c r="M51">
        <f ca="1"/>
        <v>101.99</v>
      </c>
      <c r="N51">
        <v>113.63</v>
      </c>
      <c r="O51">
        <f ca="1"/>
        <v>102.063</v>
      </c>
      <c r="Q51" s="104">
        <v>1</v>
      </c>
      <c r="R51" s="104">
        <v>1211.9999999999891</v>
      </c>
      <c r="S51" s="104">
        <f ca="1"/>
        <v>0</v>
      </c>
      <c r="T51" s="104">
        <v>1211.9999999999891</v>
      </c>
      <c r="V51">
        <v>1211.9999999999891</v>
      </c>
    </row>
    <row r="52" spans="3:22" x14ac:dyDescent="0.35">
      <c r="C52" t="str">
        <f ca="1"/>
        <v>DE000A289N78</v>
      </c>
      <c r="D52" t="str">
        <f ca="1"/>
        <v>SEMINARA</v>
      </c>
      <c r="E52" t="str">
        <v>FR0011401728_SEMINARA</v>
      </c>
      <c r="F52" t="str">
        <f ca="1"/>
        <v>DBOERS 1 1/4 06/16/47</v>
      </c>
      <c r="G52" t="str">
        <f ca="1"/>
        <v>Bond Corporate</v>
      </c>
      <c r="H52" t="str">
        <f ca="1"/>
        <v>BGN</v>
      </c>
      <c r="I52" t="str">
        <f ca="1"/>
        <v>BGN</v>
      </c>
      <c r="J52" s="104">
        <f ca="1"/>
        <v>-12600000</v>
      </c>
      <c r="K52" s="104">
        <f ca="1"/>
        <v>-12600000</v>
      </c>
      <c r="L52" s="104">
        <v>0</v>
      </c>
      <c r="M52">
        <f ca="1"/>
        <v>101.55</v>
      </c>
      <c r="N52">
        <v>112.22</v>
      </c>
      <c r="O52">
        <f ca="1"/>
        <v>101.574</v>
      </c>
      <c r="Q52" s="104">
        <v>1</v>
      </c>
      <c r="R52" s="104">
        <v>-8325.0000000001019</v>
      </c>
      <c r="S52" s="104">
        <f ca="1"/>
        <v>0</v>
      </c>
      <c r="T52" s="104">
        <v>-8325.0000000001019</v>
      </c>
      <c r="V52">
        <v>-8325.0000000001019</v>
      </c>
    </row>
    <row r="53" spans="3:22" x14ac:dyDescent="0.35">
      <c r="C53" t="str">
        <f ca="1"/>
        <v>FR0011401751</v>
      </c>
      <c r="D53" t="str">
        <f ca="1"/>
        <v>SEMINARA</v>
      </c>
      <c r="E53" t="str">
        <v>USF2893TAF33_SEMINARA</v>
      </c>
      <c r="F53" t="str">
        <f ca="1"/>
        <v>EDF 5 3/8 PERP</v>
      </c>
      <c r="G53" t="str">
        <f ca="1"/>
        <v>Bond Corporate</v>
      </c>
      <c r="H53" t="str">
        <f ca="1"/>
        <v>BGN</v>
      </c>
      <c r="I53" t="str">
        <f ca="1"/>
        <v>BGN</v>
      </c>
      <c r="J53" s="104">
        <f ca="1"/>
        <v>-700000</v>
      </c>
      <c r="K53" s="104">
        <f ca="1"/>
        <v>-700000</v>
      </c>
      <c r="L53" s="104">
        <v>0</v>
      </c>
      <c r="M53">
        <f ca="1"/>
        <v>113.71</v>
      </c>
      <c r="N53">
        <v>105.51</v>
      </c>
      <c r="O53">
        <f ca="1"/>
        <v>113.81100000000001</v>
      </c>
      <c r="Q53" s="104">
        <v>1</v>
      </c>
      <c r="R53" s="104">
        <v>990.00000000003752</v>
      </c>
      <c r="S53" s="104">
        <f ca="1"/>
        <v>0</v>
      </c>
      <c r="T53" s="104">
        <v>990.00000000003752</v>
      </c>
      <c r="V53">
        <v>990.00000000003752</v>
      </c>
    </row>
    <row r="54" spans="3:22" x14ac:dyDescent="0.35">
      <c r="C54" t="str">
        <f ca="1"/>
        <v>FR0011697028</v>
      </c>
      <c r="D54" t="str">
        <f ca="1"/>
        <v>SEMINARA</v>
      </c>
      <c r="E54" t="str">
        <v>USF2893TAM83_SEMINARA</v>
      </c>
      <c r="F54" t="str">
        <f ca="1"/>
        <v>EDF 5 PERP</v>
      </c>
      <c r="G54" t="str">
        <f ca="1"/>
        <v>Bond Corporate</v>
      </c>
      <c r="H54" t="str">
        <f ca="1"/>
        <v>BGN</v>
      </c>
      <c r="I54" t="str">
        <f ca="1"/>
        <v>BGN</v>
      </c>
      <c r="J54" s="104">
        <f ca="1"/>
        <v>1200000</v>
      </c>
      <c r="K54" s="104">
        <f ca="1"/>
        <v>1200000</v>
      </c>
      <c r="L54" s="104">
        <v>800000</v>
      </c>
      <c r="M54">
        <f ca="1"/>
        <v>113.63</v>
      </c>
      <c r="N54">
        <v>107.43</v>
      </c>
      <c r="O54">
        <f ca="1"/>
        <v>113.73099999999999</v>
      </c>
      <c r="Q54" s="104">
        <v>1</v>
      </c>
      <c r="R54" s="104">
        <v>796.25000000024568</v>
      </c>
      <c r="S54" s="104">
        <f ca="1"/>
        <v>0</v>
      </c>
      <c r="T54" s="104">
        <v>-843.74999999974068</v>
      </c>
      <c r="V54">
        <v>796.25000000024568</v>
      </c>
    </row>
    <row r="55" spans="3:22" x14ac:dyDescent="0.35">
      <c r="C55" t="str">
        <f ca="1"/>
        <v>USF2893TAF33</v>
      </c>
      <c r="D55" t="str">
        <f ca="1"/>
        <v>SEMINARA</v>
      </c>
      <c r="E55" t="str">
        <v>BE6321529396_VOON</v>
      </c>
      <c r="F55" t="str">
        <f ca="1"/>
        <v>EDF 5 1/4 PERP</v>
      </c>
      <c r="G55" t="str">
        <f ca="1"/>
        <v>Bond Corporate</v>
      </c>
      <c r="H55" t="str">
        <f ca="1"/>
        <v>BGN</v>
      </c>
      <c r="I55" t="str">
        <f ca="1"/>
        <v>BGN</v>
      </c>
      <c r="J55" s="104">
        <f ca="1"/>
        <v>3300000</v>
      </c>
      <c r="K55" s="104">
        <f ca="1"/>
        <v>3100000</v>
      </c>
      <c r="L55" s="104">
        <v>0</v>
      </c>
      <c r="M55">
        <f ca="1"/>
        <v>105.51</v>
      </c>
      <c r="N55">
        <v>105.59</v>
      </c>
      <c r="O55">
        <f ca="1"/>
        <v>105.54</v>
      </c>
      <c r="Q55" s="104">
        <v>1</v>
      </c>
      <c r="R55" s="104">
        <v>-540.00000000002046</v>
      </c>
      <c r="S55" s="104">
        <f ca="1"/>
        <v>1383.9999999999861</v>
      </c>
      <c r="T55" s="104">
        <v>-540.00000000002046</v>
      </c>
      <c r="V55">
        <v>-540.00000000002046</v>
      </c>
    </row>
    <row r="56" spans="3:22" x14ac:dyDescent="0.35">
      <c r="C56" t="str">
        <f ca="1"/>
        <v>USF2893TAM83</v>
      </c>
      <c r="D56" t="str">
        <f ca="1"/>
        <v>SEMINARA</v>
      </c>
      <c r="E56" t="str">
        <v>BE0002466416_VOON</v>
      </c>
      <c r="F56" t="str">
        <f ca="1"/>
        <v>EDF 5 5/8 PERP</v>
      </c>
      <c r="G56" t="str">
        <f ca="1"/>
        <v>Bond Corporate</v>
      </c>
      <c r="H56" t="str">
        <f ca="1"/>
        <v>BGN</v>
      </c>
      <c r="I56" t="str">
        <f ca="1"/>
        <v>BGN</v>
      </c>
      <c r="J56" s="104">
        <f ca="1"/>
        <v>-2275000</v>
      </c>
      <c r="K56" s="104">
        <f ca="1"/>
        <v>-1475000</v>
      </c>
      <c r="L56" s="104">
        <v>0</v>
      </c>
      <c r="M56">
        <f ca="1"/>
        <v>107.43</v>
      </c>
      <c r="N56">
        <v>123.37</v>
      </c>
      <c r="O56">
        <f ca="1"/>
        <v>107.395</v>
      </c>
      <c r="Q56" s="104">
        <v>1</v>
      </c>
      <c r="R56" s="104">
        <v>259.99999999982037</v>
      </c>
      <c r="S56" s="104">
        <f ca="1"/>
        <v>-631.99999999994816</v>
      </c>
      <c r="T56" s="104">
        <v>259.99999999982037</v>
      </c>
      <c r="V56">
        <v>259.99999999982037</v>
      </c>
    </row>
    <row r="57" spans="3:22" x14ac:dyDescent="0.35">
      <c r="C57" t="str">
        <f ca="1"/>
        <v>FR0013534336</v>
      </c>
      <c r="D57" t="str">
        <f ca="1"/>
        <v>SEMINARA</v>
      </c>
      <c r="E57" t="str">
        <v>XS1177459531_VOON</v>
      </c>
      <c r="F57" t="str">
        <f ca="1"/>
        <v>EDF 3 3/8 PERP</v>
      </c>
      <c r="G57" t="str">
        <f ca="1"/>
        <v>Bond Corporate</v>
      </c>
      <c r="H57" t="str">
        <f ca="1"/>
        <v>BGN</v>
      </c>
      <c r="I57" t="str">
        <f ca="1"/>
        <v>BGN</v>
      </c>
      <c r="J57" s="104">
        <f ca="1"/>
        <v>0</v>
      </c>
      <c r="K57" s="104">
        <f ca="1"/>
        <v>4200000</v>
      </c>
      <c r="L57" s="104">
        <v>0</v>
      </c>
      <c r="M57">
        <f ca="1"/>
        <v>101.75</v>
      </c>
      <c r="N57">
        <v>106.1</v>
      </c>
      <c r="O57">
        <f ca="1"/>
        <v>104.74299999999999</v>
      </c>
      <c r="Q57" s="104">
        <v>1</v>
      </c>
      <c r="R57" s="104">
        <v>486.00000000001842</v>
      </c>
      <c r="S57" s="104">
        <f ca="1"/>
        <v>4619.9999999999754</v>
      </c>
      <c r="T57" s="104">
        <v>486.00000000001842</v>
      </c>
      <c r="V57">
        <v>486.00000000001842</v>
      </c>
    </row>
    <row r="58" spans="3:22" x14ac:dyDescent="0.35">
      <c r="C58" t="str">
        <f ca="1"/>
        <v>FR0013534351</v>
      </c>
      <c r="D58" t="str">
        <f ca="1"/>
        <v>SEMINARA</v>
      </c>
      <c r="E58" t="str">
        <v>XS1403388694_VOON</v>
      </c>
      <c r="F58" t="str">
        <f ca="1"/>
        <v>EDF 2 7/8 PERP</v>
      </c>
      <c r="G58" t="str">
        <f ca="1"/>
        <v>Bond Corporate</v>
      </c>
      <c r="H58" t="str">
        <f ca="1"/>
        <v>BGN</v>
      </c>
      <c r="I58" t="str">
        <f ca="1"/>
        <v>BGN</v>
      </c>
      <c r="J58" s="104">
        <f ca="1"/>
        <v>3000000</v>
      </c>
      <c r="K58" s="104">
        <f ca="1"/>
        <v>-4200000</v>
      </c>
      <c r="L58" s="104">
        <v>0</v>
      </c>
      <c r="M58">
        <f ca="1"/>
        <v>103.5</v>
      </c>
      <c r="N58">
        <v>110.74</v>
      </c>
      <c r="O58">
        <f ca="1"/>
        <v>103.631</v>
      </c>
      <c r="Q58" s="104">
        <v>1</v>
      </c>
      <c r="R58" s="104">
        <v>-989.00000000014643</v>
      </c>
      <c r="S58" s="104">
        <f ca="1"/>
        <v>5111.9999999998527</v>
      </c>
      <c r="T58" s="104">
        <v>-989.00000000014643</v>
      </c>
      <c r="V58">
        <v>-989.00000000014643</v>
      </c>
    </row>
    <row r="59" spans="3:22" x14ac:dyDescent="0.35">
      <c r="C59" t="str">
        <f ca="1"/>
        <v>PTEDPKOM0034</v>
      </c>
      <c r="D59" t="str">
        <f ca="1"/>
        <v>SEMINARA</v>
      </c>
      <c r="E59" t="str">
        <v>XS1044811591_SEMINARA</v>
      </c>
      <c r="F59" t="str">
        <f ca="1"/>
        <v>EDPPL 4.496 04/30/79</v>
      </c>
      <c r="G59" t="str">
        <f ca="1"/>
        <v>Bond Corporate</v>
      </c>
      <c r="H59" t="str">
        <f ca="1"/>
        <v>BGN</v>
      </c>
      <c r="I59" t="str">
        <f ca="1"/>
        <v>BGN</v>
      </c>
      <c r="J59" s="104">
        <f ca="1"/>
        <v>2400000</v>
      </c>
      <c r="K59" s="104">
        <f ca="1"/>
        <v>2400000</v>
      </c>
      <c r="L59" s="104">
        <v>0</v>
      </c>
      <c r="M59">
        <f ca="1"/>
        <v>109.77</v>
      </c>
      <c r="N59">
        <v>101.25</v>
      </c>
      <c r="O59">
        <f ca="1"/>
        <v>109.73699999999999</v>
      </c>
      <c r="Q59" s="104">
        <v>1</v>
      </c>
      <c r="R59" s="104">
        <v>-401.60000000006278</v>
      </c>
      <c r="S59" s="104">
        <f ca="1"/>
        <v>0</v>
      </c>
      <c r="T59" s="104">
        <v>-401.60000000006278</v>
      </c>
      <c r="V59">
        <v>-401.60000000006278</v>
      </c>
    </row>
    <row r="60" spans="3:22" x14ac:dyDescent="0.35">
      <c r="C60" t="str">
        <f ca="1"/>
        <v>PTEDPLOM0017</v>
      </c>
      <c r="D60" t="str">
        <f ca="1"/>
        <v>SEMINARA</v>
      </c>
      <c r="E60" t="str">
        <v>XS1498442521_SEMINARA</v>
      </c>
      <c r="F60" t="str">
        <f ca="1"/>
        <v>EDPPL 1.7 07/20/80</v>
      </c>
      <c r="G60" t="str">
        <f ca="1"/>
        <v>Bond Corporate</v>
      </c>
      <c r="H60" t="str">
        <f ca="1"/>
        <v>BGN</v>
      </c>
      <c r="I60" t="str">
        <f ca="1"/>
        <v>BGN</v>
      </c>
      <c r="J60" s="104">
        <f ca="1"/>
        <v>1000000</v>
      </c>
      <c r="K60" s="104">
        <f ca="1"/>
        <v>800000</v>
      </c>
      <c r="L60" s="104">
        <v>0</v>
      </c>
      <c r="M60">
        <f ca="1"/>
        <v>99.22</v>
      </c>
      <c r="N60">
        <v>104.52</v>
      </c>
      <c r="O60">
        <f ca="1"/>
        <v>99.293000000000006</v>
      </c>
      <c r="Q60" s="104">
        <v>1</v>
      </c>
      <c r="R60" s="104">
        <v>42.500000000082139</v>
      </c>
      <c r="S60" s="104">
        <f ca="1"/>
        <v>132.000000000005</v>
      </c>
      <c r="T60" s="104">
        <v>42.500000000082139</v>
      </c>
      <c r="V60">
        <v>42.500000000082139</v>
      </c>
    </row>
    <row r="61" spans="3:22" x14ac:dyDescent="0.35">
      <c r="C61" t="str">
        <f ca="1"/>
        <v>XS1222590488</v>
      </c>
      <c r="D61" t="str">
        <f ca="1"/>
        <v>VOON</v>
      </c>
      <c r="E61" t="str">
        <v>XS2242728041_VOON</v>
      </c>
      <c r="F61" t="str">
        <f ca="1"/>
        <v>EDPPL 2 04/22/25</v>
      </c>
      <c r="G61" t="str">
        <f ca="1"/>
        <v>Bond Corporate</v>
      </c>
      <c r="H61" t="str">
        <f ca="1"/>
        <v>BGN</v>
      </c>
      <c r="I61" t="str">
        <f ca="1"/>
        <v>BGN</v>
      </c>
      <c r="J61" s="104">
        <f ca="1"/>
        <v>6369000</v>
      </c>
      <c r="K61" s="104">
        <f ca="1"/>
        <v>6369000</v>
      </c>
      <c r="L61" s="104">
        <v>0</v>
      </c>
      <c r="M61">
        <f ca="1"/>
        <v>109.37</v>
      </c>
      <c r="N61">
        <v>101.41</v>
      </c>
      <c r="O61">
        <f ca="1"/>
        <v>109.384</v>
      </c>
      <c r="Q61" s="104">
        <v>1</v>
      </c>
      <c r="R61" s="104">
        <v>10779.999999999889</v>
      </c>
      <c r="S61" s="104">
        <f ca="1"/>
        <v>0</v>
      </c>
      <c r="T61" s="104">
        <v>10779.999999999889</v>
      </c>
      <c r="V61">
        <v>10779.999999999889</v>
      </c>
    </row>
    <row r="62" spans="3:22" x14ac:dyDescent="0.35">
      <c r="C62" t="str">
        <f ca="1"/>
        <v>BE6321529396</v>
      </c>
      <c r="D62" t="str">
        <f ca="1"/>
        <v>VOON</v>
      </c>
      <c r="E62" t="str">
        <v>XS0647298883_VOON</v>
      </c>
      <c r="F62" t="str">
        <f ca="1"/>
        <v>ELIATB 0 7/8 04/28/30</v>
      </c>
      <c r="G62" t="str">
        <f ca="1"/>
        <v>Bond Corporate</v>
      </c>
      <c r="H62" t="str">
        <f ca="1"/>
        <v>BGN</v>
      </c>
      <c r="I62" t="str">
        <f ca="1"/>
        <v>BGN</v>
      </c>
      <c r="J62" s="104">
        <f ca="1"/>
        <v>-3000000</v>
      </c>
      <c r="K62" s="104">
        <f ca="1"/>
        <v>-2200000</v>
      </c>
      <c r="L62" s="104">
        <v>0</v>
      </c>
      <c r="M62">
        <f ca="1"/>
        <v>105.59</v>
      </c>
      <c r="N62">
        <v>103.48</v>
      </c>
      <c r="O62">
        <f ca="1"/>
        <v>105.608</v>
      </c>
      <c r="Q62" s="104">
        <v>1</v>
      </c>
      <c r="R62" s="104">
        <v>156.00000000006276</v>
      </c>
      <c r="S62" s="104">
        <f ca="1"/>
        <v>847.99999999995646</v>
      </c>
      <c r="T62" s="104">
        <v>156.00000000006276</v>
      </c>
      <c r="V62">
        <v>156.00000000006276</v>
      </c>
    </row>
    <row r="63" spans="3:22" x14ac:dyDescent="0.35">
      <c r="C63" t="str">
        <f ca="1"/>
        <v>BE0002466416</v>
      </c>
      <c r="D63" t="str">
        <f ca="1"/>
        <v>VOON</v>
      </c>
      <c r="E63" t="str">
        <v>XS0954675129_SEMINARA</v>
      </c>
      <c r="F63" t="str">
        <f ca="1"/>
        <v>ELIATB 3 04/07/29</v>
      </c>
      <c r="G63" t="str">
        <f ca="1"/>
        <v>Bond Corporate</v>
      </c>
      <c r="H63" t="str">
        <f ca="1"/>
        <v>BGN</v>
      </c>
      <c r="I63" t="str">
        <f ca="1"/>
        <v>BGN</v>
      </c>
      <c r="J63" s="104">
        <f ca="1"/>
        <v>2000000</v>
      </c>
      <c r="K63" s="104">
        <f ca="1"/>
        <v>2000000</v>
      </c>
      <c r="L63" s="104">
        <v>0</v>
      </c>
      <c r="M63">
        <f ca="1"/>
        <v>123.37</v>
      </c>
      <c r="N63">
        <v>112.28</v>
      </c>
      <c r="O63">
        <f ca="1"/>
        <v>123.383</v>
      </c>
      <c r="Q63" s="104">
        <v>1</v>
      </c>
      <c r="R63" s="104">
        <v>156.0899999999387</v>
      </c>
      <c r="S63" s="104">
        <f ca="1"/>
        <v>0</v>
      </c>
      <c r="T63" s="104">
        <v>156.0899999999387</v>
      </c>
      <c r="V63">
        <v>156.0899999999387</v>
      </c>
    </row>
    <row r="64" spans="3:22" x14ac:dyDescent="0.35">
      <c r="C64" t="str">
        <f ca="1"/>
        <v>XS1498442521</v>
      </c>
      <c r="D64" t="str">
        <f ca="1"/>
        <v>SEMINARA</v>
      </c>
      <c r="E64" t="str">
        <v>XS1014987355_SEMINARA</v>
      </c>
      <c r="F64" t="str">
        <f ca="1"/>
        <v>ENBW 5 1/8 04/05/77</v>
      </c>
      <c r="G64" t="str">
        <f ca="1"/>
        <v>Bond Corporate</v>
      </c>
      <c r="H64" t="str">
        <f ca="1"/>
        <v>BGN</v>
      </c>
      <c r="I64" t="str">
        <f ca="1"/>
        <v>BGN</v>
      </c>
      <c r="J64" s="104">
        <f ca="1"/>
        <v>850000</v>
      </c>
      <c r="K64" s="104">
        <f ca="1"/>
        <v>850000</v>
      </c>
      <c r="L64" s="104">
        <v>0</v>
      </c>
      <c r="M64">
        <f ca="1"/>
        <v>104.52</v>
      </c>
      <c r="N64">
        <v>104.36</v>
      </c>
      <c r="O64">
        <f ca="1"/>
        <v>104.52500000000001</v>
      </c>
      <c r="Q64" s="104">
        <v>1</v>
      </c>
      <c r="R64" s="104">
        <v>-53.940000000257548</v>
      </c>
      <c r="S64" s="104">
        <f ca="1"/>
        <v>0</v>
      </c>
      <c r="T64" s="104">
        <v>-53.940000000257548</v>
      </c>
      <c r="V64">
        <v>-53.940000000257548</v>
      </c>
    </row>
    <row r="65" spans="3:22" x14ac:dyDescent="0.35">
      <c r="C65" t="str">
        <f ca="1"/>
        <v>XS1044811591</v>
      </c>
      <c r="D65" t="str">
        <f ca="1"/>
        <v>SEMINARA</v>
      </c>
      <c r="E65" t="str">
        <v>XS1713463559_SEMINARA</v>
      </c>
      <c r="F65" t="str">
        <f ca="1"/>
        <v>ENBW 3 5/8 04/02/76</v>
      </c>
      <c r="G65" t="str">
        <f ca="1"/>
        <v>Bond Corporate</v>
      </c>
      <c r="H65" t="str">
        <f ca="1"/>
        <v>BGN</v>
      </c>
      <c r="I65" t="str">
        <f ca="1"/>
        <v>BGN</v>
      </c>
      <c r="J65" s="104">
        <f ca="1"/>
        <v>1004000</v>
      </c>
      <c r="K65" s="104">
        <f ca="1"/>
        <v>1004000</v>
      </c>
      <c r="L65" s="104">
        <v>0</v>
      </c>
      <c r="M65">
        <f ca="1"/>
        <v>101.25</v>
      </c>
      <c r="N65">
        <v>109.23</v>
      </c>
      <c r="O65">
        <f ca="1"/>
        <v>101.21</v>
      </c>
      <c r="Q65" s="104">
        <v>1</v>
      </c>
      <c r="R65" s="104">
        <v>-670.99999999992133</v>
      </c>
      <c r="S65" s="104">
        <f ca="1"/>
        <v>0</v>
      </c>
      <c r="T65" s="104">
        <v>-670.99999999992133</v>
      </c>
      <c r="V65">
        <v>-670.99999999992133</v>
      </c>
    </row>
    <row r="66" spans="3:22" x14ac:dyDescent="0.35">
      <c r="C66" t="str">
        <f ca="1"/>
        <v>XS2242728041</v>
      </c>
      <c r="D66" t="str">
        <f ca="1"/>
        <v>VOON</v>
      </c>
      <c r="E66" t="str">
        <v>PTEDPKOM0034_SEMINARA</v>
      </c>
      <c r="F66" t="str">
        <f ca="1"/>
        <v>ENBW 0 1/4 10/19/30</v>
      </c>
      <c r="G66" t="str">
        <f ca="1"/>
        <v>Bond Corporate</v>
      </c>
      <c r="H66" t="str">
        <f ca="1"/>
        <v>BGN</v>
      </c>
      <c r="I66" t="str">
        <f ca="1"/>
        <v>BGN</v>
      </c>
      <c r="J66" s="104">
        <f ca="1"/>
        <v>11000000</v>
      </c>
      <c r="K66" s="104">
        <f ca="1"/>
        <v>11000000</v>
      </c>
      <c r="L66" s="104">
        <v>0</v>
      </c>
      <c r="M66">
        <f ca="1"/>
        <v>101.41</v>
      </c>
      <c r="N66">
        <v>109.77</v>
      </c>
      <c r="O66">
        <f ca="1"/>
        <v>101.508</v>
      </c>
      <c r="Q66" s="104">
        <v>1</v>
      </c>
      <c r="R66" s="104">
        <v>-792.00000000003001</v>
      </c>
      <c r="S66" s="104">
        <f ca="1"/>
        <v>0</v>
      </c>
      <c r="T66" s="104">
        <v>-792.00000000003001</v>
      </c>
      <c r="V66">
        <v>-792.00000000003001</v>
      </c>
    </row>
    <row r="67" spans="3:22" x14ac:dyDescent="0.35">
      <c r="C67" t="str">
        <f ca="1"/>
        <v>XS0647298883</v>
      </c>
      <c r="D67" t="str">
        <f ca="1"/>
        <v>VOON</v>
      </c>
      <c r="E67" t="str">
        <v>PTEDPLOM0017_SEMINARA</v>
      </c>
      <c r="F67" t="str">
        <f ca="1"/>
        <v>ENELIM 5 07/12/21</v>
      </c>
      <c r="G67" t="str">
        <f ca="1"/>
        <v>Bond Corporate</v>
      </c>
      <c r="H67" t="str">
        <f ca="1"/>
        <v>BGN</v>
      </c>
      <c r="I67" t="str">
        <f ca="1"/>
        <v>BGN</v>
      </c>
      <c r="J67" s="104">
        <f ca="1"/>
        <v>-1200000</v>
      </c>
      <c r="K67" s="104">
        <f ca="1"/>
        <v>-1200000</v>
      </c>
      <c r="L67" s="104">
        <v>0</v>
      </c>
      <c r="M67">
        <f ca="1"/>
        <v>103.48</v>
      </c>
      <c r="N67">
        <v>99.22</v>
      </c>
      <c r="O67">
        <f ca="1"/>
        <v>103.467</v>
      </c>
      <c r="Q67" s="104">
        <v>1</v>
      </c>
      <c r="R67" s="104">
        <v>730.00000000007503</v>
      </c>
      <c r="S67" s="104">
        <f ca="1"/>
        <v>0</v>
      </c>
      <c r="T67" s="104">
        <v>730.00000000007503</v>
      </c>
      <c r="V67">
        <v>730.00000000007503</v>
      </c>
    </row>
    <row r="68" spans="3:22" x14ac:dyDescent="0.35">
      <c r="C68" t="str">
        <f ca="1"/>
        <v>XS1014987355</v>
      </c>
      <c r="D68" t="str">
        <f ca="1"/>
        <v>SEMINARA</v>
      </c>
      <c r="E68" t="str">
        <v>XS1396367911_VOON</v>
      </c>
      <c r="F68" t="str">
        <f ca="1"/>
        <v>ENELIM 6 5/8 09/15/76</v>
      </c>
      <c r="G68" t="str">
        <f ca="1"/>
        <v>Bond Corporate</v>
      </c>
      <c r="H68" t="str">
        <f ca="1"/>
        <v>BGN</v>
      </c>
      <c r="I68" t="str">
        <f ca="1"/>
        <v>BGN</v>
      </c>
      <c r="J68" s="104">
        <f ca="1"/>
        <v>5394000</v>
      </c>
      <c r="K68" s="104">
        <f ca="1"/>
        <v>5394000</v>
      </c>
      <c r="L68" s="104">
        <v>0</v>
      </c>
      <c r="M68">
        <f ca="1"/>
        <v>104.36</v>
      </c>
      <c r="N68">
        <v>105.43</v>
      </c>
      <c r="O68">
        <f ca="1"/>
        <v>104.35899999999999</v>
      </c>
      <c r="Q68" s="104">
        <v>1</v>
      </c>
      <c r="R68" s="104">
        <v>153.99999999993952</v>
      </c>
      <c r="S68" s="104">
        <f ca="1"/>
        <v>0</v>
      </c>
      <c r="T68" s="104">
        <v>153.99999999993952</v>
      </c>
      <c r="V68">
        <v>153.99999999993952</v>
      </c>
    </row>
    <row r="69" spans="3:22" x14ac:dyDescent="0.35">
      <c r="C69" t="str">
        <f ca="1"/>
        <v>XS1713463559</v>
      </c>
      <c r="D69" t="str">
        <f ca="1"/>
        <v>SEMINARA</v>
      </c>
      <c r="E69" t="str">
        <v>FR0013428489_VOON</v>
      </c>
      <c r="F69" t="str">
        <f ca="1"/>
        <v>ENELIM 3 3/8 11/24/81</v>
      </c>
      <c r="G69" t="str">
        <f ca="1"/>
        <v>Bond Corporate</v>
      </c>
      <c r="H69" t="str">
        <f ca="1"/>
        <v>BGN</v>
      </c>
      <c r="I69" t="str">
        <f ca="1"/>
        <v>BGN</v>
      </c>
      <c r="J69" s="104">
        <f ca="1"/>
        <v>-1100000</v>
      </c>
      <c r="K69" s="104">
        <f ca="1"/>
        <v>-1100000</v>
      </c>
      <c r="L69" s="104">
        <v>0</v>
      </c>
      <c r="M69">
        <f ca="1"/>
        <v>109.23</v>
      </c>
      <c r="N69">
        <v>103.08</v>
      </c>
      <c r="O69">
        <f ca="1"/>
        <v>109.291</v>
      </c>
      <c r="Q69" s="104">
        <v>1</v>
      </c>
      <c r="R69" s="104">
        <v>300.00000000001137</v>
      </c>
      <c r="S69" s="104">
        <f ca="1"/>
        <v>0</v>
      </c>
      <c r="T69" s="104">
        <v>300.00000000001137</v>
      </c>
      <c r="V69">
        <v>300.00000000001137</v>
      </c>
    </row>
    <row r="70" spans="3:22" x14ac:dyDescent="0.35">
      <c r="C70" t="str">
        <f ca="1"/>
        <v>XS0954675129</v>
      </c>
      <c r="D70" t="str">
        <f ca="1"/>
        <v>SEMINARA</v>
      </c>
      <c r="E70" t="str">
        <v>FR0013245859_VOON</v>
      </c>
      <c r="F70" t="str">
        <f ca="1"/>
        <v>ENELIM 5.451 01/10/74</v>
      </c>
      <c r="G70" t="str">
        <f ca="1"/>
        <v>Bond Corporate</v>
      </c>
      <c r="H70" t="str">
        <f ca="1"/>
        <v>BGN</v>
      </c>
      <c r="I70" t="str">
        <f ca="1"/>
        <v>BGN</v>
      </c>
      <c r="J70" s="104">
        <f ca="1"/>
        <v>1419000</v>
      </c>
      <c r="K70" s="104">
        <f ca="1"/>
        <v>1419000</v>
      </c>
      <c r="L70" s="104">
        <v>0</v>
      </c>
      <c r="M70">
        <f ca="1"/>
        <v>112.28</v>
      </c>
      <c r="N70">
        <v>103.71</v>
      </c>
      <c r="O70">
        <f ca="1"/>
        <v>112.291</v>
      </c>
      <c r="Q70" s="104">
        <v>1</v>
      </c>
      <c r="R70" s="104">
        <v>120.00000000014664</v>
      </c>
      <c r="S70" s="104">
        <f ca="1"/>
        <v>0</v>
      </c>
      <c r="T70" s="104">
        <v>120.00000000014664</v>
      </c>
      <c r="V70">
        <v>120.00000000014664</v>
      </c>
    </row>
    <row r="71" spans="3:22" x14ac:dyDescent="0.35">
      <c r="C71" t="str">
        <f ca="1"/>
        <v>XS1396367911</v>
      </c>
      <c r="D71" t="str">
        <f ca="1"/>
        <v>VOON</v>
      </c>
      <c r="E71" t="str">
        <v>FR0012602761_VOON</v>
      </c>
      <c r="F71" t="str">
        <f ca="1"/>
        <v>ENEXIS 0 7/8 04/28/26</v>
      </c>
      <c r="G71" t="str">
        <f ca="1"/>
        <v>Bond Corporate</v>
      </c>
      <c r="H71" t="str">
        <f ca="1"/>
        <v>BGN</v>
      </c>
      <c r="I71" t="str">
        <f ca="1"/>
        <v>BGN</v>
      </c>
      <c r="J71" s="104">
        <f ca="1"/>
        <v>700000</v>
      </c>
      <c r="K71" s="104">
        <f ca="1"/>
        <v>700000</v>
      </c>
      <c r="L71" s="104">
        <v>0</v>
      </c>
      <c r="M71">
        <f ca="1"/>
        <v>105.43</v>
      </c>
      <c r="N71">
        <v>106.09</v>
      </c>
      <c r="O71">
        <f ca="1"/>
        <v>105.452</v>
      </c>
      <c r="Q71" s="104">
        <v>1</v>
      </c>
      <c r="R71" s="104">
        <v>210.00000000000796</v>
      </c>
      <c r="S71" s="104">
        <f ca="1"/>
        <v>0</v>
      </c>
      <c r="T71" s="104">
        <v>210.00000000000796</v>
      </c>
      <c r="V71">
        <v>210.00000000000796</v>
      </c>
    </row>
    <row r="72" spans="3:22" x14ac:dyDescent="0.35">
      <c r="C72" t="str">
        <f ca="1"/>
        <v>FR0013431244</v>
      </c>
      <c r="D72" t="str">
        <f ca="1"/>
        <v>SEMINARA</v>
      </c>
      <c r="E72" t="str">
        <v>FR0013504677_VOON</v>
      </c>
      <c r="F72" t="str">
        <f ca="1"/>
        <v>ENGIFP 1 5/8 PERP</v>
      </c>
      <c r="G72" t="str">
        <f ca="1"/>
        <v>Bond Corporate</v>
      </c>
      <c r="H72" t="str">
        <f ca="1"/>
        <v>BGN</v>
      </c>
      <c r="I72" t="str">
        <f ca="1"/>
        <v>BGN</v>
      </c>
      <c r="J72" s="104">
        <f ca="1"/>
        <v>1400000</v>
      </c>
      <c r="K72" s="104">
        <f ca="1"/>
        <v>1400000</v>
      </c>
      <c r="L72" s="104">
        <v>0</v>
      </c>
      <c r="M72">
        <f ca="1"/>
        <v>101.23</v>
      </c>
      <c r="N72">
        <v>112.73</v>
      </c>
      <c r="O72">
        <f ca="1"/>
        <v>101.218</v>
      </c>
      <c r="Q72" s="104">
        <v>1</v>
      </c>
      <c r="R72" s="104">
        <v>-54.000000000002046</v>
      </c>
      <c r="S72" s="104">
        <f ca="1"/>
        <v>0</v>
      </c>
      <c r="T72" s="104">
        <v>-54.000000000002046</v>
      </c>
      <c r="V72">
        <v>-54.000000000002046</v>
      </c>
    </row>
    <row r="73" spans="3:22" x14ac:dyDescent="0.35">
      <c r="C73" t="str">
        <f ca="1"/>
        <v>FR0013428489</v>
      </c>
      <c r="D73" t="str">
        <f ca="1"/>
        <v>VOON</v>
      </c>
      <c r="E73" t="str">
        <v>FR0013431244_SEMINARA</v>
      </c>
      <c r="F73" t="str">
        <f ca="1"/>
        <v>ENGIFP 0 3/8 06/21/27</v>
      </c>
      <c r="G73" t="str">
        <f ca="1"/>
        <v>Bond Corporate</v>
      </c>
      <c r="H73" t="str">
        <f ca="1"/>
        <v>BGN</v>
      </c>
      <c r="I73" t="str">
        <f ca="1"/>
        <v>BGN</v>
      </c>
      <c r="J73" s="104">
        <f ca="1"/>
        <v>5000000</v>
      </c>
      <c r="K73" s="104">
        <f ca="1"/>
        <v>5000000</v>
      </c>
      <c r="L73" s="104">
        <v>0</v>
      </c>
      <c r="M73">
        <f ca="1"/>
        <v>103.08</v>
      </c>
      <c r="N73">
        <v>101.23</v>
      </c>
      <c r="O73">
        <f ca="1"/>
        <v>103.086</v>
      </c>
      <c r="Q73" s="104">
        <v>1</v>
      </c>
      <c r="R73" s="104">
        <v>-168.00000000000637</v>
      </c>
      <c r="S73" s="104">
        <f ca="1"/>
        <v>0</v>
      </c>
      <c r="T73" s="104">
        <v>-168.00000000000637</v>
      </c>
      <c r="V73">
        <v>-168.00000000000637</v>
      </c>
    </row>
    <row r="74" spans="3:22" x14ac:dyDescent="0.35">
      <c r="C74" t="str">
        <f ca="1"/>
        <v>FR0012602761</v>
      </c>
      <c r="D74" t="str">
        <f ca="1"/>
        <v>VOON</v>
      </c>
      <c r="E74" t="str">
        <v>XS1493322355_VOON</v>
      </c>
      <c r="F74" t="str">
        <f ca="1"/>
        <v>ENGIFP 1 03/13/26</v>
      </c>
      <c r="G74" t="str">
        <f ca="1"/>
        <v>Bond Corporate</v>
      </c>
      <c r="H74" t="str">
        <f ca="1"/>
        <v>BGN</v>
      </c>
      <c r="I74" t="str">
        <f ca="1"/>
        <v>BGN</v>
      </c>
      <c r="J74" s="104">
        <f ca="1"/>
        <v>1000000</v>
      </c>
      <c r="K74" s="104">
        <f ca="1"/>
        <v>1000000</v>
      </c>
      <c r="L74" s="104">
        <v>0</v>
      </c>
      <c r="M74">
        <f ca="1"/>
        <v>106.09</v>
      </c>
      <c r="N74">
        <v>103.05</v>
      </c>
      <c r="O74">
        <f ca="1"/>
        <v>106.111</v>
      </c>
      <c r="Q74" s="104">
        <v>1</v>
      </c>
      <c r="R74" s="104">
        <v>960.0000000003206</v>
      </c>
      <c r="S74" s="104">
        <f ca="1"/>
        <v>0</v>
      </c>
      <c r="T74" s="104">
        <v>960.0000000003206</v>
      </c>
      <c r="V74">
        <v>960.0000000003206</v>
      </c>
    </row>
    <row r="75" spans="3:22" x14ac:dyDescent="0.35">
      <c r="C75" t="str">
        <f ca="1"/>
        <v>FR0013504677</v>
      </c>
      <c r="D75" t="str">
        <f ca="1"/>
        <v>VOON</v>
      </c>
      <c r="E75" t="str">
        <v>XS1493328477_VOON</v>
      </c>
      <c r="F75" t="str">
        <f ca="1"/>
        <v>ENGIFP 1 3/4 03/27/28</v>
      </c>
      <c r="G75" t="str">
        <f ca="1"/>
        <v>Bond Corporate</v>
      </c>
      <c r="H75" t="str">
        <f ca="1"/>
        <v>BGN</v>
      </c>
      <c r="I75" t="str">
        <f ca="1"/>
        <v>BGN</v>
      </c>
      <c r="J75" s="104">
        <f ca="1"/>
        <v>-200000</v>
      </c>
      <c r="K75" s="104">
        <f ca="1"/>
        <v>-200000</v>
      </c>
      <c r="L75" s="104">
        <v>0</v>
      </c>
      <c r="M75">
        <f ca="1"/>
        <v>112.73</v>
      </c>
      <c r="N75">
        <v>107.4</v>
      </c>
      <c r="O75">
        <f ca="1"/>
        <v>112.75700000000001</v>
      </c>
      <c r="Q75" s="104">
        <v>1</v>
      </c>
      <c r="R75" s="104">
        <v>-331.20000000001249</v>
      </c>
      <c r="S75" s="104">
        <f ca="1"/>
        <v>0</v>
      </c>
      <c r="T75" s="104">
        <v>-331.20000000001249</v>
      </c>
      <c r="V75">
        <v>-331.20000000001249</v>
      </c>
    </row>
    <row r="76" spans="3:22" x14ac:dyDescent="0.35">
      <c r="C76" t="str">
        <f ca="1"/>
        <v>FR0013245859</v>
      </c>
      <c r="D76" t="str">
        <f ca="1"/>
        <v>VOON</v>
      </c>
      <c r="E76" t="str">
        <v>XS2242929532_SEMINARA</v>
      </c>
      <c r="F76" t="str">
        <f ca="1"/>
        <v>ENGIFP 0 7/8 03/27/24</v>
      </c>
      <c r="G76" t="str">
        <f ca="1"/>
        <v>Bond Corporate</v>
      </c>
      <c r="H76" t="str">
        <f ca="1"/>
        <v>BGN</v>
      </c>
      <c r="I76" t="str">
        <f ca="1"/>
        <v>BGN</v>
      </c>
      <c r="J76" s="104">
        <f ca="1"/>
        <v>1500000</v>
      </c>
      <c r="K76" s="104">
        <f ca="1"/>
        <v>1500000</v>
      </c>
      <c r="L76" s="104">
        <v>200000</v>
      </c>
      <c r="M76">
        <f ca="1"/>
        <v>103.71</v>
      </c>
      <c r="N76">
        <v>102.71</v>
      </c>
      <c r="O76">
        <f ca="1"/>
        <v>103.718</v>
      </c>
      <c r="Q76" s="104">
        <v>1</v>
      </c>
      <c r="R76" s="104">
        <v>-16089.839999999876</v>
      </c>
      <c r="S76" s="104">
        <f ca="1"/>
        <v>0</v>
      </c>
      <c r="T76" s="104">
        <v>-15721.839999999882</v>
      </c>
      <c r="V76">
        <v>-16089.839999999876</v>
      </c>
    </row>
    <row r="77" spans="3:22" x14ac:dyDescent="0.35">
      <c r="C77" t="str">
        <f ca="1"/>
        <v>FR0013444775</v>
      </c>
      <c r="D77" t="str">
        <f ca="1"/>
        <v>VOON</v>
      </c>
      <c r="E77" t="str">
        <v>XS2242931603_SEMINARA</v>
      </c>
      <c r="F77" t="str">
        <f ca="1"/>
        <v>ENGIFP 0 03/04/27</v>
      </c>
      <c r="G77" t="str">
        <f ca="1"/>
        <v>Bond Corporate</v>
      </c>
      <c r="H77" t="str">
        <f ca="1"/>
        <v>BGN</v>
      </c>
      <c r="I77" t="str">
        <f ca="1"/>
        <v>BGN</v>
      </c>
      <c r="J77" s="104">
        <f ca="1"/>
        <v>0</v>
      </c>
      <c r="K77" s="104">
        <f ca="1"/>
        <v>5000000</v>
      </c>
      <c r="L77" s="104">
        <v>0</v>
      </c>
      <c r="M77">
        <f ca="1"/>
        <v>0</v>
      </c>
      <c r="N77">
        <v>103.35</v>
      </c>
      <c r="O77" t="str">
        <f ca="1"/>
        <v>#N/A Requesting Data...</v>
      </c>
      <c r="Q77" s="104">
        <v>1</v>
      </c>
      <c r="R77" s="104">
        <v>20378.640000000185</v>
      </c>
      <c r="S77" s="104">
        <f ca="1"/>
        <v>0</v>
      </c>
      <c r="T77" s="104">
        <v>20378.640000000185</v>
      </c>
      <c r="V77">
        <v>20378.640000000185</v>
      </c>
    </row>
    <row r="78" spans="3:22" x14ac:dyDescent="0.35">
      <c r="C78" t="str">
        <f ca="1"/>
        <v>XS1177459531</v>
      </c>
      <c r="D78" t="str">
        <f ca="1"/>
        <v>VOON</v>
      </c>
      <c r="E78" t="str">
        <v>XS1190624038_VOON</v>
      </c>
      <c r="F78" t="str">
        <f ca="1"/>
        <v>ENGSM 1 1/4 02/06/25</v>
      </c>
      <c r="G78" t="str">
        <f ca="1"/>
        <v>Bond Corporate</v>
      </c>
      <c r="H78" t="str">
        <f ca="1"/>
        <v>BGN</v>
      </c>
      <c r="I78" t="str">
        <f ca="1"/>
        <v>BGN</v>
      </c>
      <c r="J78" s="104">
        <f ca="1"/>
        <v>1800000</v>
      </c>
      <c r="K78" s="104">
        <f ca="1"/>
        <v>1800000</v>
      </c>
      <c r="L78" s="104">
        <v>0</v>
      </c>
      <c r="M78">
        <f ca="1"/>
        <v>106.1</v>
      </c>
      <c r="N78">
        <v>108.18</v>
      </c>
      <c r="O78">
        <f ca="1"/>
        <v>106.127</v>
      </c>
      <c r="Q78" s="104">
        <v>1</v>
      </c>
      <c r="R78" s="104">
        <v>-349.99999999988063</v>
      </c>
      <c r="S78" s="104">
        <f ca="1"/>
        <v>0</v>
      </c>
      <c r="T78" s="104">
        <v>-349.99999999988063</v>
      </c>
      <c r="V78">
        <v>-349.99999999988063</v>
      </c>
    </row>
    <row r="79" spans="3:22" x14ac:dyDescent="0.35">
      <c r="C79" t="str">
        <f ca="1"/>
        <v>XS1403388694</v>
      </c>
      <c r="D79" t="str">
        <f ca="1"/>
        <v>VOON</v>
      </c>
      <c r="E79" t="str">
        <v>XS0969572204_VOON</v>
      </c>
      <c r="F79" t="str">
        <f ca="1"/>
        <v>ENGSM 1 3/8 05/05/28</v>
      </c>
      <c r="G79" t="str">
        <f ca="1"/>
        <v>Bond Corporate</v>
      </c>
      <c r="H79" t="str">
        <f ca="1"/>
        <v>BGN</v>
      </c>
      <c r="I79" t="str">
        <f ca="1"/>
        <v>BGN</v>
      </c>
      <c r="J79" s="104">
        <f ca="1"/>
        <v>-2300000</v>
      </c>
      <c r="K79" s="104">
        <f ca="1"/>
        <v>-2300000</v>
      </c>
      <c r="L79" s="104">
        <v>0</v>
      </c>
      <c r="M79">
        <f ca="1"/>
        <v>110.74</v>
      </c>
      <c r="N79">
        <v>115.36</v>
      </c>
      <c r="O79">
        <f ca="1"/>
        <v>110.783</v>
      </c>
      <c r="Q79" s="104">
        <v>1</v>
      </c>
      <c r="R79" s="104">
        <v>106.05000000007578</v>
      </c>
      <c r="S79" s="104">
        <f ca="1"/>
        <v>0</v>
      </c>
      <c r="T79" s="104">
        <v>106.05000000007578</v>
      </c>
      <c r="V79">
        <v>106.05000000007578</v>
      </c>
    </row>
    <row r="80" spans="3:22" x14ac:dyDescent="0.35">
      <c r="C80" t="str">
        <f ca="1"/>
        <v>XS1493328477</v>
      </c>
      <c r="D80" t="str">
        <f ca="1"/>
        <v>VOON</v>
      </c>
      <c r="E80" t="str">
        <v>XS1981060624_VOON</v>
      </c>
      <c r="F80" t="str">
        <f ca="1"/>
        <v>ENIIM 1 1/8 09/19/28</v>
      </c>
      <c r="G80" t="str">
        <f ca="1"/>
        <v>Bond Corporate</v>
      </c>
      <c r="H80" t="str">
        <f ca="1"/>
        <v>BGN</v>
      </c>
      <c r="I80" t="str">
        <f ca="1"/>
        <v>BGN</v>
      </c>
      <c r="J80" s="104">
        <f ca="1"/>
        <v>-1380000</v>
      </c>
      <c r="K80" s="104">
        <f ca="1"/>
        <v>-1380000</v>
      </c>
      <c r="L80" s="104">
        <v>0</v>
      </c>
      <c r="M80">
        <f ca="1"/>
        <v>107.4</v>
      </c>
      <c r="N80">
        <v>107.81</v>
      </c>
      <c r="O80">
        <f ca="1"/>
        <v>107.42400000000001</v>
      </c>
      <c r="Q80" s="104">
        <v>1</v>
      </c>
      <c r="R80" s="104">
        <v>-1560.4899999998042</v>
      </c>
      <c r="S80" s="104">
        <f ca="1"/>
        <v>0</v>
      </c>
      <c r="T80" s="104">
        <v>-1560.4899999998042</v>
      </c>
      <c r="V80">
        <v>-1560.4899999998042</v>
      </c>
    </row>
    <row r="81" spans="3:22" x14ac:dyDescent="0.35">
      <c r="C81" t="str">
        <f ca="1"/>
        <v>XS2242931603</v>
      </c>
      <c r="D81" t="str">
        <f ca="1"/>
        <v>SEMINARA</v>
      </c>
      <c r="E81" t="str">
        <v>ECZ0_GIORGETTI</v>
      </c>
      <c r="F81" t="str">
        <f ca="1"/>
        <v>ENIIM 3 3/8 PERP</v>
      </c>
      <c r="G81" t="str">
        <f ca="1"/>
        <v>Bond Corporate</v>
      </c>
      <c r="H81" t="str">
        <f ca="1"/>
        <v>CBBT</v>
      </c>
      <c r="I81" t="str">
        <f ca="1"/>
        <v>CBBT</v>
      </c>
      <c r="J81" s="104">
        <f ca="1"/>
        <v>12426000</v>
      </c>
      <c r="K81" s="104">
        <f ca="1"/>
        <v>12426000</v>
      </c>
      <c r="L81" s="104">
        <v>0</v>
      </c>
      <c r="M81">
        <f ca="1"/>
        <v>103.35</v>
      </c>
      <c r="N81">
        <v>1.18</v>
      </c>
      <c r="O81">
        <f ca="1"/>
        <v>103.514</v>
      </c>
      <c r="Q81" s="104">
        <v>2</v>
      </c>
      <c r="R81" s="104">
        <v>566.19999999999675</v>
      </c>
      <c r="S81" s="104">
        <f ca="1"/>
        <v>0</v>
      </c>
      <c r="T81" s="104">
        <v>566.19999999999675</v>
      </c>
      <c r="V81" t="str">
        <v>future</v>
      </c>
    </row>
    <row r="82" spans="3:22" x14ac:dyDescent="0.35">
      <c r="C82" t="str">
        <f ca="1"/>
        <v>XS2242929532</v>
      </c>
      <c r="D82" t="str">
        <f ca="1"/>
        <v>SEMINARA</v>
      </c>
      <c r="E82" t="str">
        <v>RPZ0_GIORGETTI</v>
      </c>
      <c r="F82" t="str">
        <f ca="1"/>
        <v>ENIIM 2 5/8 PERP</v>
      </c>
      <c r="G82" t="str">
        <f ca="1"/>
        <v>Bond Corporate</v>
      </c>
      <c r="H82" t="str">
        <f ca="1"/>
        <v>CBBT</v>
      </c>
      <c r="I82" t="str">
        <f ca="1"/>
        <v>CBBT</v>
      </c>
      <c r="J82" s="104">
        <f ca="1"/>
        <v>-15471000</v>
      </c>
      <c r="K82" s="104">
        <f ca="1"/>
        <v>-15271000</v>
      </c>
      <c r="L82" s="104">
        <v>0</v>
      </c>
      <c r="M82">
        <f ca="1"/>
        <v>102.71</v>
      </c>
      <c r="N82">
        <v>0.9</v>
      </c>
      <c r="O82">
        <f ca="1"/>
        <v>102.81399999999999</v>
      </c>
      <c r="Q82" s="104">
        <v>2</v>
      </c>
      <c r="R82" s="104">
        <v>-94.49999999999892</v>
      </c>
      <c r="S82" s="104">
        <f ca="1"/>
        <v>356.00000000002296</v>
      </c>
      <c r="T82" s="104">
        <v>-94.49999999999892</v>
      </c>
      <c r="V82" t="str">
        <v>future</v>
      </c>
    </row>
    <row r="83" spans="3:22" x14ac:dyDescent="0.35">
      <c r="C83" t="str">
        <f ca="1"/>
        <v>XS1493322355</v>
      </c>
      <c r="D83" t="str">
        <f ca="1"/>
        <v>VOON</v>
      </c>
      <c r="E83" t="str">
        <v>XS1243251375_VOON</v>
      </c>
      <c r="F83" t="str">
        <f ca="1"/>
        <v>ENIIM 0 5/8 09/19/24</v>
      </c>
      <c r="G83" t="str">
        <f ca="1"/>
        <v>Bond Corporate</v>
      </c>
      <c r="H83" t="str">
        <f ca="1"/>
        <v>BGN</v>
      </c>
      <c r="I83" t="str">
        <f ca="1"/>
        <v>BGN</v>
      </c>
      <c r="J83" s="104">
        <f ca="1"/>
        <v>6000000</v>
      </c>
      <c r="K83" s="104">
        <f ca="1"/>
        <v>6000000</v>
      </c>
      <c r="L83" s="104">
        <v>0</v>
      </c>
      <c r="M83">
        <f ca="1"/>
        <v>103.05</v>
      </c>
      <c r="N83">
        <v>108.94</v>
      </c>
      <c r="O83">
        <f ca="1"/>
        <v>103.066</v>
      </c>
      <c r="Q83" s="104">
        <v>1</v>
      </c>
      <c r="R83" s="104">
        <v>360.0000000000137</v>
      </c>
      <c r="S83" s="104">
        <f ca="1"/>
        <v>0</v>
      </c>
      <c r="T83" s="104">
        <v>360.0000000000137</v>
      </c>
      <c r="V83">
        <v>360.0000000000137</v>
      </c>
    </row>
    <row r="84" spans="3:22" x14ac:dyDescent="0.35">
      <c r="C84" t="str">
        <f ca="1"/>
        <v>XS2047500769</v>
      </c>
      <c r="D84" t="str">
        <f ca="1"/>
        <v>VOON</v>
      </c>
      <c r="E84" t="str">
        <v>XS1677911825_SEMINARA</v>
      </c>
      <c r="F84" t="str">
        <f ca="1"/>
        <v>EOANGR 0 08/28/24</v>
      </c>
      <c r="G84" t="str">
        <f ca="1"/>
        <v>Bond Corporate</v>
      </c>
      <c r="H84" t="str">
        <f ca="1"/>
        <v>BGN</v>
      </c>
      <c r="I84" t="str">
        <f ca="1"/>
        <v>BGN</v>
      </c>
      <c r="J84" s="104">
        <f ca="1"/>
        <v>1000000</v>
      </c>
      <c r="K84" s="104">
        <f ca="1"/>
        <v>1000000</v>
      </c>
      <c r="L84" s="104">
        <v>0</v>
      </c>
      <c r="M84">
        <f ca="1"/>
        <v>100.73</v>
      </c>
      <c r="N84">
        <v>100.26</v>
      </c>
      <c r="O84">
        <f ca="1"/>
        <v>100.742</v>
      </c>
      <c r="Q84" s="104">
        <v>1</v>
      </c>
      <c r="R84" s="104">
        <v>-12.390000000008854</v>
      </c>
      <c r="S84" s="104">
        <f ca="1"/>
        <v>0</v>
      </c>
      <c r="T84" s="104">
        <v>-12.390000000008854</v>
      </c>
      <c r="V84">
        <v>-12.390000000008854</v>
      </c>
    </row>
    <row r="85" spans="3:22" x14ac:dyDescent="0.35">
      <c r="C85" t="str">
        <f ca="1"/>
        <v>XS1829217428</v>
      </c>
      <c r="D85" t="str">
        <f ca="1"/>
        <v>VOON</v>
      </c>
      <c r="E85" t="str">
        <v>XS2199351375_VOON</v>
      </c>
      <c r="F85" t="str">
        <f ca="1"/>
        <v>EOANGR 0 3/4 11/30/22</v>
      </c>
      <c r="G85" t="str">
        <f ca="1"/>
        <v>Bond Corporate</v>
      </c>
      <c r="H85" t="str">
        <f ca="1"/>
        <v>BGN</v>
      </c>
      <c r="I85" t="str">
        <f ca="1"/>
        <v>BGN</v>
      </c>
      <c r="J85" s="104">
        <f ca="1"/>
        <v>1000000</v>
      </c>
      <c r="K85" s="104">
        <f ca="1"/>
        <v>1000000</v>
      </c>
      <c r="L85" s="104">
        <v>0</v>
      </c>
      <c r="M85">
        <f ca="1"/>
        <v>101.84</v>
      </c>
      <c r="N85">
        <v>119.81</v>
      </c>
      <c r="O85">
        <f ca="1"/>
        <v>101.845</v>
      </c>
      <c r="Q85" s="104">
        <v>1</v>
      </c>
      <c r="R85" s="104">
        <v>-120.00000000000455</v>
      </c>
      <c r="S85" s="104">
        <f ca="1"/>
        <v>0</v>
      </c>
      <c r="T85" s="104">
        <v>-120.00000000000455</v>
      </c>
      <c r="V85">
        <v>-120.00000000000455</v>
      </c>
    </row>
    <row r="86" spans="3:22" x14ac:dyDescent="0.35">
      <c r="C86" t="str">
        <f ca="1"/>
        <v>XS1190624038</v>
      </c>
      <c r="D86" t="str">
        <f ca="1"/>
        <v>VOON</v>
      </c>
      <c r="E86" t="str">
        <v>XS2020608548_VOON</v>
      </c>
      <c r="F86" t="str">
        <f ca="1"/>
        <v>EQNR 1 1/4 02/17/27</v>
      </c>
      <c r="G86" t="str">
        <f ca="1"/>
        <v>Bond Corporate</v>
      </c>
      <c r="H86" t="str">
        <f ca="1"/>
        <v>BGN</v>
      </c>
      <c r="I86" t="str">
        <f ca="1"/>
        <v>BGN</v>
      </c>
      <c r="J86" s="104">
        <f ca="1"/>
        <v>-1400000</v>
      </c>
      <c r="K86" s="104">
        <f ca="1"/>
        <v>-1400000</v>
      </c>
      <c r="L86" s="104">
        <v>0</v>
      </c>
      <c r="M86">
        <f ca="1"/>
        <v>108.18</v>
      </c>
      <c r="N86">
        <v>105</v>
      </c>
      <c r="O86">
        <f ca="1"/>
        <v>108.205</v>
      </c>
      <c r="Q86" s="104">
        <v>1</v>
      </c>
      <c r="R86" s="104">
        <v>326.68000000039922</v>
      </c>
      <c r="S86" s="104">
        <f ca="1"/>
        <v>0</v>
      </c>
      <c r="T86" s="104">
        <v>326.68000000039922</v>
      </c>
      <c r="V86">
        <v>326.68000000039922</v>
      </c>
    </row>
    <row r="87" spans="3:22" x14ac:dyDescent="0.35">
      <c r="C87" t="str">
        <f ca="1"/>
        <v>XS0969572204</v>
      </c>
      <c r="D87" t="str">
        <f ca="1"/>
        <v>VOON</v>
      </c>
      <c r="E87" t="str">
        <v>XS1504194173_VOON</v>
      </c>
      <c r="F87" t="str">
        <f ca="1"/>
        <v>EQNR 2 7/8 09/10/25</v>
      </c>
      <c r="G87" t="str">
        <f ca="1"/>
        <v>Bond Corporate</v>
      </c>
      <c r="H87" t="str">
        <f ca="1"/>
        <v>BGN</v>
      </c>
      <c r="I87" t="str">
        <f ca="1"/>
        <v>BGN</v>
      </c>
      <c r="J87" s="104">
        <f ca="1"/>
        <v>-1515000</v>
      </c>
      <c r="K87" s="104">
        <f ca="1"/>
        <v>-1515000</v>
      </c>
      <c r="L87" s="104">
        <v>0</v>
      </c>
      <c r="M87">
        <f ca="1"/>
        <v>115.36</v>
      </c>
      <c r="N87">
        <v>104.23</v>
      </c>
      <c r="O87">
        <f ca="1"/>
        <v>115.35299999999999</v>
      </c>
      <c r="Q87" s="104">
        <v>1</v>
      </c>
      <c r="R87" s="104">
        <v>755.99999999977285</v>
      </c>
      <c r="S87" s="104">
        <f ca="1"/>
        <v>0</v>
      </c>
      <c r="T87" s="104">
        <v>755.99999999977285</v>
      </c>
      <c r="V87">
        <v>755.99999999977285</v>
      </c>
    </row>
    <row r="88" spans="3:22" x14ac:dyDescent="0.35">
      <c r="C88" t="str">
        <f ca="1"/>
        <v>XS1981060624</v>
      </c>
      <c r="D88" t="str">
        <f ca="1"/>
        <v>VOON</v>
      </c>
      <c r="E88" t="str">
        <v>XS1527758145_VOON</v>
      </c>
      <c r="F88" t="str">
        <f ca="1"/>
        <v>ERGIM 1 7/8 04/11/25</v>
      </c>
      <c r="G88" t="str">
        <f ca="1"/>
        <v>Bond Corporate</v>
      </c>
      <c r="H88" t="str">
        <f ca="1"/>
        <v>BGN</v>
      </c>
      <c r="I88" t="str">
        <f ca="1"/>
        <v>BGN</v>
      </c>
      <c r="J88" s="104">
        <f ca="1"/>
        <v>-5381000</v>
      </c>
      <c r="K88" s="104">
        <f ca="1"/>
        <v>-5381000</v>
      </c>
      <c r="L88" s="104">
        <v>0</v>
      </c>
      <c r="M88">
        <f ca="1"/>
        <v>107.81</v>
      </c>
      <c r="N88">
        <v>103.75</v>
      </c>
      <c r="O88">
        <f ca="1"/>
        <v>107.839</v>
      </c>
      <c r="Q88" s="104">
        <v>1</v>
      </c>
      <c r="R88" s="104">
        <v>703.00000000020202</v>
      </c>
      <c r="S88" s="104">
        <f ca="1"/>
        <v>0</v>
      </c>
      <c r="T88" s="104">
        <v>703.00000000020202</v>
      </c>
      <c r="V88">
        <v>703.00000000020202</v>
      </c>
    </row>
    <row r="89" spans="3:22" x14ac:dyDescent="0.35">
      <c r="C89" t="str">
        <f ca="1"/>
        <v>XS1243251375</v>
      </c>
      <c r="D89" t="str">
        <f ca="1"/>
        <v>VOON</v>
      </c>
      <c r="E89" t="str">
        <v>XS1797138960_SEMINARA</v>
      </c>
      <c r="F89" t="str">
        <f ca="1"/>
        <v>EUROGR 1 7/8 06/10/25</v>
      </c>
      <c r="G89" t="str">
        <f ca="1"/>
        <v>Bond Corporate</v>
      </c>
      <c r="H89" t="str">
        <f ca="1"/>
        <v>BGN</v>
      </c>
      <c r="I89" t="str">
        <f ca="1"/>
        <v>BGN</v>
      </c>
      <c r="J89" s="104">
        <f ca="1"/>
        <v>2000000</v>
      </c>
      <c r="K89" s="104">
        <f ca="1"/>
        <v>2000000</v>
      </c>
      <c r="L89" s="104">
        <v>0</v>
      </c>
      <c r="M89">
        <f ca="1"/>
        <v>108.94</v>
      </c>
      <c r="N89">
        <v>105.57</v>
      </c>
      <c r="O89">
        <f ca="1"/>
        <v>108.958</v>
      </c>
      <c r="Q89" s="104">
        <v>1</v>
      </c>
      <c r="R89" s="104">
        <v>702.0000000002824</v>
      </c>
      <c r="S89" s="104">
        <f ca="1"/>
        <v>0</v>
      </c>
      <c r="T89" s="104">
        <v>702.0000000002824</v>
      </c>
      <c r="V89">
        <v>702.0000000002824</v>
      </c>
    </row>
    <row r="90" spans="3:22" x14ac:dyDescent="0.35">
      <c r="C90" t="str">
        <f ca="1"/>
        <v>XS2199351375</v>
      </c>
      <c r="D90" t="str">
        <f ca="1"/>
        <v>VOON</v>
      </c>
      <c r="E90" t="str">
        <v>XS2244941147_SEMINARA</v>
      </c>
      <c r="F90" t="str">
        <f ca="1"/>
        <v>FCAIM 4 1/2 07/07/28</v>
      </c>
      <c r="G90" t="str">
        <f ca="1"/>
        <v>Bond Corporate</v>
      </c>
      <c r="H90" t="str">
        <f ca="1"/>
        <v>BGN</v>
      </c>
      <c r="I90" t="str">
        <f ca="1"/>
        <v>BGN</v>
      </c>
      <c r="J90" s="104">
        <f ca="1"/>
        <v>1000000</v>
      </c>
      <c r="K90" s="104">
        <f ca="1"/>
        <v>1000000</v>
      </c>
      <c r="L90" s="104">
        <v>-800000</v>
      </c>
      <c r="M90">
        <f ca="1"/>
        <v>119.81</v>
      </c>
      <c r="N90">
        <v>101.74</v>
      </c>
      <c r="O90">
        <f ca="1"/>
        <v>119.798</v>
      </c>
      <c r="Q90" s="104">
        <v>1</v>
      </c>
      <c r="R90" s="104" t="str">
        <v>-</v>
      </c>
      <c r="S90" s="104">
        <f ca="1"/>
        <v>0</v>
      </c>
      <c r="T90" s="104" t="e">
        <v>#VALUE!</v>
      </c>
      <c r="V90" t="e">
        <v>#VALUE!</v>
      </c>
    </row>
    <row r="91" spans="3:22" x14ac:dyDescent="0.35">
      <c r="C91" t="str">
        <f ca="1"/>
        <v>XS2020608548</v>
      </c>
      <c r="D91" t="str">
        <f ca="1"/>
        <v>VOON</v>
      </c>
      <c r="E91" t="str">
        <v>XS2115092012_VOON</v>
      </c>
      <c r="F91" t="str">
        <f ca="1"/>
        <v>HERIM 0 7/8 07/05/27</v>
      </c>
      <c r="G91" t="str">
        <f ca="1"/>
        <v>Bond Corporate</v>
      </c>
      <c r="H91" t="str">
        <f ca="1"/>
        <v>BGN</v>
      </c>
      <c r="I91" t="str">
        <f ca="1"/>
        <v>BGN</v>
      </c>
      <c r="J91" s="104">
        <f ca="1"/>
        <v>-8167000</v>
      </c>
      <c r="K91" s="104">
        <f ca="1"/>
        <v>-8167000</v>
      </c>
      <c r="L91" s="104">
        <v>0</v>
      </c>
      <c r="M91">
        <f ca="1"/>
        <v>105</v>
      </c>
      <c r="N91">
        <v>105.03</v>
      </c>
      <c r="O91">
        <f ca="1"/>
        <v>104.996</v>
      </c>
      <c r="Q91" s="104">
        <v>1</v>
      </c>
      <c r="R91" s="104">
        <v>-3629.9999999998531</v>
      </c>
      <c r="S91" s="104">
        <f ca="1"/>
        <v>0</v>
      </c>
      <c r="T91" s="104">
        <v>-3629.9999999998531</v>
      </c>
      <c r="V91">
        <v>-3629.9999999998531</v>
      </c>
    </row>
    <row r="92" spans="3:22" x14ac:dyDescent="0.35">
      <c r="C92" t="str">
        <f ca="1"/>
        <v>XS1550134602</v>
      </c>
      <c r="D92" t="str">
        <f ca="1"/>
        <v>VOON</v>
      </c>
      <c r="E92" t="str">
        <v>XS1956051145_CAZZANIGA</v>
      </c>
      <c r="F92" t="str">
        <f ca="1"/>
        <v>HNDA 0 3/4 01/17/24</v>
      </c>
      <c r="G92" t="str">
        <f ca="1"/>
        <v>Bond Corporate</v>
      </c>
      <c r="H92" t="str">
        <f ca="1"/>
        <v>BGN</v>
      </c>
      <c r="I92" t="str">
        <f ca="1"/>
        <v>BGN</v>
      </c>
      <c r="J92" s="104">
        <f ca="1"/>
        <v>3000000</v>
      </c>
      <c r="K92" s="104">
        <f ca="1"/>
        <v>3000000</v>
      </c>
      <c r="L92" s="104">
        <v>0</v>
      </c>
      <c r="M92">
        <f ca="1"/>
        <v>102.79</v>
      </c>
      <c r="N92">
        <v>108.57</v>
      </c>
      <c r="O92">
        <f ca="1"/>
        <v>102.8</v>
      </c>
      <c r="Q92" s="104">
        <v>1</v>
      </c>
      <c r="R92" s="104">
        <v>-44.999999999930651</v>
      </c>
      <c r="S92" s="104">
        <f ca="1"/>
        <v>0</v>
      </c>
      <c r="T92" s="104">
        <v>-44.999999999930651</v>
      </c>
      <c r="V92">
        <v>-44.999999999930651</v>
      </c>
    </row>
    <row r="93" spans="3:22" x14ac:dyDescent="0.35">
      <c r="C93" t="str">
        <f ca="1"/>
        <v>XS1797138960</v>
      </c>
      <c r="D93" t="str">
        <f ca="1"/>
        <v>SEMINARA</v>
      </c>
      <c r="E93" t="str">
        <v>US456837AR44_CAZZANIGA</v>
      </c>
      <c r="F93" t="str">
        <f ca="1"/>
        <v>IBESM 2 5/8 PERP</v>
      </c>
      <c r="G93" t="str">
        <f ca="1"/>
        <v>Bond Corporate</v>
      </c>
      <c r="H93" t="str">
        <f ca="1"/>
        <v>BGN</v>
      </c>
      <c r="I93" t="str">
        <f ca="1"/>
        <v>BGN</v>
      </c>
      <c r="J93" s="104">
        <f ca="1"/>
        <v>2700000</v>
      </c>
      <c r="K93" s="104">
        <f ca="1"/>
        <v>2700000</v>
      </c>
      <c r="L93" s="104">
        <v>0</v>
      </c>
      <c r="M93">
        <f ca="1"/>
        <v>105.57</v>
      </c>
      <c r="N93">
        <v>107.54</v>
      </c>
      <c r="O93">
        <f ca="1"/>
        <v>105.596</v>
      </c>
      <c r="Q93" s="104">
        <v>1</v>
      </c>
      <c r="R93" s="104">
        <v>5.49999999999784</v>
      </c>
      <c r="S93" s="104">
        <f ca="1"/>
        <v>0</v>
      </c>
      <c r="T93" s="104">
        <v>5.49999999999784</v>
      </c>
      <c r="V93">
        <v>5.49999999999784</v>
      </c>
    </row>
    <row r="94" spans="3:22" x14ac:dyDescent="0.35">
      <c r="C94" t="str">
        <f ca="1"/>
        <v>XS1527758145</v>
      </c>
      <c r="D94" t="str">
        <f ca="1"/>
        <v>VOON</v>
      </c>
      <c r="E94" t="str">
        <v>XS1548475968_CAZZANIGA</v>
      </c>
      <c r="F94" t="str">
        <f ca="1"/>
        <v>IBESM 1 03/07/24</v>
      </c>
      <c r="G94" t="str">
        <f ca="1"/>
        <v>Bond Corporate</v>
      </c>
      <c r="H94" t="str">
        <f ca="1"/>
        <v>BGN</v>
      </c>
      <c r="I94" t="str">
        <f ca="1"/>
        <v>BGN</v>
      </c>
      <c r="J94" s="104">
        <f ca="1"/>
        <v>3700000</v>
      </c>
      <c r="K94" s="104">
        <f ca="1"/>
        <v>3700000</v>
      </c>
      <c r="L94" s="104">
        <v>0</v>
      </c>
      <c r="M94">
        <f ca="1"/>
        <v>103.75</v>
      </c>
      <c r="N94">
        <v>117.58</v>
      </c>
      <c r="O94">
        <f ca="1"/>
        <v>103.76900000000001</v>
      </c>
      <c r="Q94" s="104">
        <v>1</v>
      </c>
      <c r="R94" s="104">
        <v>-8.0000000000097771</v>
      </c>
      <c r="S94" s="104">
        <f ca="1"/>
        <v>0</v>
      </c>
      <c r="T94" s="104">
        <v>-8.0000000000097771</v>
      </c>
      <c r="V94">
        <v>-8.0000000000097771</v>
      </c>
    </row>
    <row r="95" spans="3:22" x14ac:dyDescent="0.35">
      <c r="C95" t="str">
        <f ca="1"/>
        <v>XS2244941147</v>
      </c>
      <c r="D95" t="str">
        <f ca="1"/>
        <v>SEMINARA</v>
      </c>
      <c r="E95" t="str">
        <v>XS2197356186_VOON</v>
      </c>
      <c r="F95" t="str">
        <f ca="1"/>
        <v>IBESM 2 1/4 PERP</v>
      </c>
      <c r="G95" t="str">
        <f ca="1"/>
        <v>Bond Corporate</v>
      </c>
      <c r="H95" t="str">
        <f ca="1"/>
        <v>BGN</v>
      </c>
      <c r="I95" t="str">
        <f ca="1"/>
        <v>BGN</v>
      </c>
      <c r="J95" s="104">
        <f ca="1"/>
        <v>0</v>
      </c>
      <c r="K95" s="104">
        <f ca="1"/>
        <v>-800000</v>
      </c>
      <c r="L95" s="104">
        <v>0</v>
      </c>
      <c r="M95">
        <f ca="1"/>
        <v>101.74</v>
      </c>
      <c r="N95">
        <v>105.74</v>
      </c>
      <c r="O95">
        <f ca="1"/>
        <v>103.157</v>
      </c>
      <c r="Q95" s="104">
        <v>1</v>
      </c>
      <c r="R95" s="104">
        <v>1234.2000000007347</v>
      </c>
      <c r="S95" s="104">
        <f ca="1"/>
        <v>5111.9999999999663</v>
      </c>
      <c r="T95" s="104">
        <v>1234.2000000007347</v>
      </c>
      <c r="V95">
        <v>1234.2000000007347</v>
      </c>
    </row>
    <row r="96" spans="3:22" x14ac:dyDescent="0.35">
      <c r="C96" t="str">
        <f ca="1"/>
        <v>XS2115092012</v>
      </c>
      <c r="D96" t="str">
        <f ca="1"/>
        <v>VOON</v>
      </c>
      <c r="E96" t="str">
        <v>ITXEB534_VOON</v>
      </c>
      <c r="F96" t="str">
        <f ca="1"/>
        <v>IBM 1.2 02/11/40</v>
      </c>
      <c r="G96" t="str">
        <f ca="1"/>
        <v>Bond Corporate</v>
      </c>
      <c r="H96" t="str">
        <f ca="1"/>
        <v>BGN</v>
      </c>
      <c r="I96" t="str">
        <f ca="1"/>
        <v>BGN</v>
      </c>
      <c r="J96" s="104">
        <f ca="1"/>
        <v>-3000000</v>
      </c>
      <c r="K96" s="104">
        <f ca="1"/>
        <v>-3000000</v>
      </c>
      <c r="L96" s="104">
        <v>0</v>
      </c>
      <c r="M96">
        <f ca="1"/>
        <v>105.03</v>
      </c>
      <c r="N96">
        <v>-2.58</v>
      </c>
      <c r="O96">
        <f ca="1"/>
        <v>105.151</v>
      </c>
      <c r="Q96" s="104">
        <v>3</v>
      </c>
      <c r="R96" s="104" t="str">
        <v>-</v>
      </c>
      <c r="S96" s="104">
        <f ca="1"/>
        <v>0</v>
      </c>
      <c r="T96" s="104" t="e">
        <v>#VALUE!</v>
      </c>
      <c r="V96" t="str">
        <v>cds index</v>
      </c>
    </row>
    <row r="97" spans="3:22" x14ac:dyDescent="0.35">
      <c r="C97" t="str">
        <f ca="1"/>
        <v>XS1956051145</v>
      </c>
      <c r="D97" t="str">
        <f ca="1"/>
        <v>CAZZANIGA</v>
      </c>
      <c r="E97" t="str">
        <v>ITXEB534_SEMINARA</v>
      </c>
      <c r="F97" t="str">
        <f ca="1"/>
        <v>INTNED 6 3/4 PERP</v>
      </c>
      <c r="G97" t="str">
        <f ca="1"/>
        <v>Bond Corporate</v>
      </c>
      <c r="H97" t="str">
        <f ca="1"/>
        <v>BGN</v>
      </c>
      <c r="I97" t="str">
        <f ca="1"/>
        <v>BGN</v>
      </c>
      <c r="J97" s="104">
        <f ca="1"/>
        <v>500000</v>
      </c>
      <c r="K97" s="104">
        <f ca="1"/>
        <v>500000</v>
      </c>
      <c r="L97" s="104">
        <v>0</v>
      </c>
      <c r="M97">
        <f ca="1"/>
        <v>108.57</v>
      </c>
      <c r="N97">
        <v>-2.58</v>
      </c>
      <c r="O97">
        <f ca="1"/>
        <v>108.56100000000001</v>
      </c>
      <c r="Q97" s="104">
        <v>3</v>
      </c>
      <c r="R97" s="104" t="str">
        <v>-</v>
      </c>
      <c r="S97" s="104">
        <f ca="1"/>
        <v>0</v>
      </c>
      <c r="T97" s="104" t="e">
        <v>#VALUE!</v>
      </c>
      <c r="V97" t="str">
        <v>cds index</v>
      </c>
    </row>
    <row r="98" spans="3:22" x14ac:dyDescent="0.35">
      <c r="C98" t="str">
        <f ca="1"/>
        <v>US456837AR44</v>
      </c>
      <c r="D98" t="str">
        <f ca="1"/>
        <v>CAZZANIGA</v>
      </c>
      <c r="E98" t="str">
        <v>ITXEX534_SEMINARA</v>
      </c>
      <c r="F98" t="str">
        <f ca="1"/>
        <v>INTNED 5 3/4 PERP</v>
      </c>
      <c r="G98" t="str">
        <f ca="1"/>
        <v>Bond Corporate</v>
      </c>
      <c r="H98" t="str">
        <f ca="1"/>
        <v>BGN</v>
      </c>
      <c r="I98" t="str">
        <f ca="1"/>
        <v>BGN</v>
      </c>
      <c r="J98" s="104">
        <f ca="1"/>
        <v>50000</v>
      </c>
      <c r="K98" s="104">
        <f ca="1"/>
        <v>50000</v>
      </c>
      <c r="L98" s="104">
        <v>0</v>
      </c>
      <c r="M98">
        <f ca="1"/>
        <v>107.54</v>
      </c>
      <c r="N98">
        <v>-10.01</v>
      </c>
      <c r="O98">
        <f ca="1"/>
        <v>107.551</v>
      </c>
      <c r="Q98" s="104">
        <v>3</v>
      </c>
      <c r="R98" s="104" t="str">
        <v>-</v>
      </c>
      <c r="S98" s="104">
        <f ca="1"/>
        <v>0</v>
      </c>
      <c r="T98" s="104" t="e">
        <v>#VALUE!</v>
      </c>
      <c r="V98" t="str">
        <v>cds index</v>
      </c>
    </row>
    <row r="99" spans="3:22" x14ac:dyDescent="0.35">
      <c r="C99" t="str">
        <f ca="1"/>
        <v>XS2197356186</v>
      </c>
      <c r="D99" t="str">
        <f ca="1"/>
        <v>VOON</v>
      </c>
      <c r="E99" t="str">
        <v>XS1615079974_TIGER</v>
      </c>
      <c r="F99" t="str">
        <f ca="1"/>
        <v>IREIM 1 07/01/30</v>
      </c>
      <c r="G99" t="str">
        <f ca="1"/>
        <v>Bond Corporate</v>
      </c>
      <c r="H99" t="str">
        <f ca="1"/>
        <v>BGN</v>
      </c>
      <c r="I99" t="str">
        <f ca="1"/>
        <v>BGN</v>
      </c>
      <c r="J99" s="104">
        <f ca="1"/>
        <v>7260000</v>
      </c>
      <c r="K99" s="104">
        <f ca="1"/>
        <v>7260000</v>
      </c>
      <c r="L99" s="104">
        <v>0</v>
      </c>
      <c r="M99">
        <f ca="1"/>
        <v>105.74</v>
      </c>
      <c r="N99">
        <v>108.86</v>
      </c>
      <c r="O99">
        <f ca="1"/>
        <v>105.75700000000001</v>
      </c>
      <c r="Q99" s="104">
        <v>1</v>
      </c>
      <c r="R99" s="104">
        <v>199.99999999996021</v>
      </c>
      <c r="S99" s="104">
        <f ca="1"/>
        <v>0</v>
      </c>
      <c r="T99" s="104">
        <v>199.99999999996021</v>
      </c>
      <c r="V99">
        <v>199.99999999996021</v>
      </c>
    </row>
    <row r="100" spans="3:22" x14ac:dyDescent="0.35">
      <c r="C100" t="str">
        <f ca="1"/>
        <v>XS1548475968</v>
      </c>
      <c r="D100" t="str">
        <f ca="1"/>
        <v>CAZZANIGA</v>
      </c>
      <c r="E100" t="str">
        <v>XS2238783422_SEMINARA</v>
      </c>
      <c r="F100" t="str">
        <f ca="1"/>
        <v>ISPIM 7 3/4 PERP</v>
      </c>
      <c r="G100" t="str">
        <f ca="1"/>
        <v>Bond Corporate</v>
      </c>
      <c r="H100" t="str">
        <f ca="1"/>
        <v>BGN</v>
      </c>
      <c r="I100" t="str">
        <f ca="1"/>
        <v>BGN</v>
      </c>
      <c r="J100" s="104">
        <f ca="1"/>
        <v>200000</v>
      </c>
      <c r="K100" s="104">
        <f ca="1"/>
        <v>200000</v>
      </c>
      <c r="L100" s="104">
        <v>0</v>
      </c>
      <c r="M100">
        <f ca="1"/>
        <v>117.58</v>
      </c>
      <c r="N100">
        <v>105.3</v>
      </c>
      <c r="O100">
        <f ca="1"/>
        <v>117.57599999999999</v>
      </c>
      <c r="Q100" s="104">
        <v>1</v>
      </c>
      <c r="R100" s="104">
        <v>40.000000000048885</v>
      </c>
      <c r="S100" s="104">
        <f ca="1"/>
        <v>0</v>
      </c>
      <c r="T100" s="104">
        <v>40.000000000048885</v>
      </c>
      <c r="V100">
        <v>40.000000000048885</v>
      </c>
    </row>
    <row r="101" spans="3:22" x14ac:dyDescent="0.35">
      <c r="C101" t="str">
        <f ca="1"/>
        <v>XS2238783422</v>
      </c>
      <c r="D101" t="str">
        <f ca="1"/>
        <v>SEMINARA</v>
      </c>
      <c r="E101" t="str">
        <v>XS2238783778_SEMINARA</v>
      </c>
      <c r="F101" t="str">
        <f ca="1"/>
        <v>JAPTOB 2 3/8 04/07/81</v>
      </c>
      <c r="G101" t="str">
        <f ca="1"/>
        <v>Bond Corporate</v>
      </c>
      <c r="H101" t="str">
        <f ca="1"/>
        <v>CBBT</v>
      </c>
      <c r="I101" t="str">
        <f ca="1"/>
        <v>CBBT</v>
      </c>
      <c r="J101" s="104">
        <f ca="1"/>
        <v>1000000</v>
      </c>
      <c r="K101" s="104">
        <f ca="1"/>
        <v>1000000</v>
      </c>
      <c r="L101" s="104">
        <v>0</v>
      </c>
      <c r="M101">
        <f ca="1"/>
        <v>105.3</v>
      </c>
      <c r="N101">
        <v>108.94</v>
      </c>
      <c r="O101">
        <f ca="1"/>
        <v>105.304</v>
      </c>
      <c r="Q101" s="104">
        <v>1</v>
      </c>
      <c r="R101" s="104">
        <v>-1896.4500000000719</v>
      </c>
      <c r="S101" s="104">
        <f ca="1"/>
        <v>0</v>
      </c>
      <c r="T101" s="104">
        <v>-1896.4500000000719</v>
      </c>
      <c r="V101">
        <v>-1896.4500000000719</v>
      </c>
    </row>
    <row r="102" spans="3:22" x14ac:dyDescent="0.35">
      <c r="C102" t="str">
        <f ca="1"/>
        <v>XS2238783778</v>
      </c>
      <c r="D102" t="str">
        <f ca="1"/>
        <v>SEMINARA</v>
      </c>
      <c r="E102" t="str">
        <v>XS2069101868_SEMINARA</v>
      </c>
      <c r="F102" t="str">
        <f ca="1"/>
        <v>JAPTOB 2 7/8 10/07/83</v>
      </c>
      <c r="G102" t="str">
        <f ca="1"/>
        <v>Bond Corporate</v>
      </c>
      <c r="H102" t="str">
        <f ca="1"/>
        <v>BGN</v>
      </c>
      <c r="I102" t="str">
        <f ca="1"/>
        <v>BGN</v>
      </c>
      <c r="J102" s="104">
        <f ca="1"/>
        <v>-1345000</v>
      </c>
      <c r="K102" s="104">
        <f ca="1"/>
        <v>-1345000</v>
      </c>
      <c r="L102" s="104">
        <v>0</v>
      </c>
      <c r="M102">
        <f ca="1"/>
        <v>108.94</v>
      </c>
      <c r="N102">
        <v>99.71</v>
      </c>
      <c r="O102">
        <f ca="1"/>
        <v>109.081</v>
      </c>
      <c r="Q102" s="104">
        <v>1</v>
      </c>
      <c r="R102" s="104">
        <v>945.00000000003581</v>
      </c>
      <c r="S102" s="104">
        <f ca="1"/>
        <v>0</v>
      </c>
      <c r="T102" s="104">
        <v>945.00000000003581</v>
      </c>
      <c r="V102">
        <v>945.00000000003581</v>
      </c>
    </row>
    <row r="103" spans="3:22" x14ac:dyDescent="0.35">
      <c r="C103" t="str">
        <f ca="1"/>
        <v>XS1615079974</v>
      </c>
      <c r="D103" t="str">
        <f ca="1"/>
        <v>TIGER</v>
      </c>
      <c r="E103" t="str">
        <v>XS1405763019_SEMINARA</v>
      </c>
      <c r="F103" t="str">
        <f ca="1"/>
        <v>JPM 1.638 05/18/28</v>
      </c>
      <c r="G103" t="str">
        <f ca="1"/>
        <v>Bond Corporate</v>
      </c>
      <c r="H103" t="str">
        <f ca="1"/>
        <v>BGN</v>
      </c>
      <c r="I103" t="str">
        <f ca="1"/>
        <v>BGN</v>
      </c>
      <c r="J103" s="104">
        <f ca="1"/>
        <v>1000000</v>
      </c>
      <c r="K103" s="104">
        <f ca="1"/>
        <v>1000000</v>
      </c>
      <c r="L103" s="104">
        <v>0</v>
      </c>
      <c r="M103">
        <f ca="1"/>
        <v>108.86</v>
      </c>
      <c r="N103">
        <v>106.88</v>
      </c>
      <c r="O103">
        <f ca="1"/>
        <v>108.88</v>
      </c>
      <c r="Q103" s="104">
        <v>1</v>
      </c>
      <c r="R103" s="104">
        <v>-45.759999999982028</v>
      </c>
      <c r="S103" s="104">
        <f ca="1"/>
        <v>0</v>
      </c>
      <c r="T103" s="104">
        <v>-45.759999999982028</v>
      </c>
      <c r="V103">
        <v>-45.759999999982028</v>
      </c>
    </row>
    <row r="104" spans="3:22" x14ac:dyDescent="0.35">
      <c r="C104" t="str">
        <f ca="1"/>
        <v>XS2069101868</v>
      </c>
      <c r="D104" t="str">
        <f ca="1"/>
        <v>SEMINARA</v>
      </c>
      <c r="E104" t="str">
        <v>XS1596739364_VOON</v>
      </c>
      <c r="F104" t="str">
        <f ca="1"/>
        <v>KPN 2 PERP</v>
      </c>
      <c r="G104" t="str">
        <f ca="1"/>
        <v>Bond Corporate</v>
      </c>
      <c r="H104" t="str">
        <f ca="1"/>
        <v>BGN</v>
      </c>
      <c r="I104" t="str">
        <f ca="1"/>
        <v>BGN</v>
      </c>
      <c r="J104" s="104">
        <f ca="1"/>
        <v>2100000</v>
      </c>
      <c r="K104" s="104">
        <f ca="1"/>
        <v>2100000</v>
      </c>
      <c r="L104" s="104">
        <v>0</v>
      </c>
      <c r="M104">
        <f ca="1"/>
        <v>99.71</v>
      </c>
      <c r="N104">
        <v>103.51</v>
      </c>
      <c r="O104">
        <f ca="1"/>
        <v>99.754999999999995</v>
      </c>
      <c r="Q104" s="104">
        <v>1</v>
      </c>
      <c r="R104" s="104">
        <v>111.54000000000423</v>
      </c>
      <c r="S104" s="104">
        <f ca="1"/>
        <v>0</v>
      </c>
      <c r="T104" s="104">
        <v>111.54000000000423</v>
      </c>
      <c r="V104">
        <v>111.54000000000423</v>
      </c>
    </row>
    <row r="105" spans="3:22" x14ac:dyDescent="0.35">
      <c r="C105" t="str">
        <f ca="1"/>
        <v>XS1405763019</v>
      </c>
      <c r="D105" t="str">
        <f ca="1"/>
        <v>SEMINARA</v>
      </c>
      <c r="E105" t="str">
        <v>ITXES534_TIGER</v>
      </c>
      <c r="F105" t="str">
        <f ca="1"/>
        <v>LXSGR 4 1/2 12/06/76</v>
      </c>
      <c r="G105" t="str">
        <f ca="1"/>
        <v>Bond Corporate</v>
      </c>
      <c r="H105" t="str">
        <f ca="1"/>
        <v>BGN</v>
      </c>
      <c r="I105" t="str">
        <f ca="1"/>
        <v>BGN</v>
      </c>
      <c r="J105" s="104">
        <f ca="1"/>
        <v>416000</v>
      </c>
      <c r="K105" s="104">
        <f ca="1"/>
        <v>416000</v>
      </c>
      <c r="L105" s="104">
        <v>0</v>
      </c>
      <c r="M105">
        <f ca="1"/>
        <v>106.88</v>
      </c>
      <c r="N105">
        <v>-1.89</v>
      </c>
      <c r="O105">
        <f ca="1"/>
        <v>106.869</v>
      </c>
      <c r="Q105" s="104">
        <v>3</v>
      </c>
      <c r="R105" s="104" t="str">
        <v>-</v>
      </c>
      <c r="S105" s="104">
        <f ca="1"/>
        <v>0</v>
      </c>
      <c r="T105" s="104" t="e">
        <v>#VALUE!</v>
      </c>
      <c r="V105" t="str">
        <v>cds index</v>
      </c>
    </row>
    <row r="106" spans="3:22" x14ac:dyDescent="0.35">
      <c r="C106" t="str">
        <f ca="1"/>
        <v>XS1596739364</v>
      </c>
      <c r="D106" t="str">
        <f ca="1"/>
        <v>VOON</v>
      </c>
      <c r="E106" t="str">
        <v>ITXEU534_TIGER</v>
      </c>
      <c r="F106" t="str">
        <f ca="1"/>
        <v>MRDGF 1 3/8 04/11/25</v>
      </c>
      <c r="G106" t="str">
        <f ca="1"/>
        <v>Bond Corporate</v>
      </c>
      <c r="H106" t="str">
        <f ca="1"/>
        <v>BGN</v>
      </c>
      <c r="I106" t="str">
        <f ca="1"/>
        <v>BGN</v>
      </c>
      <c r="J106" s="104">
        <f ca="1"/>
        <v>1859000</v>
      </c>
      <c r="K106" s="104">
        <f ca="1"/>
        <v>1859000</v>
      </c>
      <c r="L106" s="104">
        <v>0</v>
      </c>
      <c r="M106">
        <f ca="1"/>
        <v>103.51</v>
      </c>
      <c r="N106">
        <v>0.85</v>
      </c>
      <c r="O106">
        <f ca="1"/>
        <v>103.51600000000001</v>
      </c>
      <c r="Q106" s="104">
        <v>3</v>
      </c>
      <c r="R106" s="104" t="str">
        <v>-</v>
      </c>
      <c r="S106" s="104">
        <f ca="1"/>
        <v>0</v>
      </c>
      <c r="T106" s="104" t="e">
        <v>#VALUE!</v>
      </c>
      <c r="V106" t="str">
        <v>cds index</v>
      </c>
    </row>
    <row r="107" spans="3:22" x14ac:dyDescent="0.35">
      <c r="C107" t="str">
        <f ca="1"/>
        <v>XS1152343668</v>
      </c>
      <c r="D107" t="str">
        <f ca="1"/>
        <v>SEMINARA</v>
      </c>
      <c r="E107" t="str">
        <v>XS1152343668_SEMINARA</v>
      </c>
      <c r="F107" t="str">
        <f ca="1"/>
        <v>MRKGR 3 3/8 12/12/74</v>
      </c>
      <c r="G107" t="str">
        <f ca="1"/>
        <v>Bond Corporate</v>
      </c>
      <c r="H107" t="str">
        <f ca="1"/>
        <v>BGN</v>
      </c>
      <c r="I107" t="str">
        <f ca="1"/>
        <v>BGN</v>
      </c>
      <c r="J107" s="104">
        <f ca="1"/>
        <v>-2000000</v>
      </c>
      <c r="K107" s="104">
        <f ca="1"/>
        <v>-2000000</v>
      </c>
      <c r="L107" s="104">
        <v>0</v>
      </c>
      <c r="M107">
        <f ca="1"/>
        <v>109.77</v>
      </c>
      <c r="N107">
        <v>109.77</v>
      </c>
      <c r="O107">
        <f ca="1"/>
        <v>109.81</v>
      </c>
      <c r="Q107" s="104">
        <v>1</v>
      </c>
      <c r="R107" s="104">
        <v>-800.00000000012506</v>
      </c>
      <c r="S107" s="104">
        <f ca="1"/>
        <v>0</v>
      </c>
      <c r="T107" s="104">
        <v>-800.00000000012506</v>
      </c>
      <c r="V107">
        <v>-800.00000000012506</v>
      </c>
    </row>
    <row r="108" spans="3:22" x14ac:dyDescent="0.35">
      <c r="C108" t="str">
        <f ca="1"/>
        <v>XS2010045511</v>
      </c>
      <c r="D108" t="str">
        <f ca="1"/>
        <v>SEMINARA</v>
      </c>
      <c r="E108" t="str">
        <v>XS2156506854_VOON</v>
      </c>
      <c r="F108" t="str">
        <f ca="1"/>
        <v>NGGLN 2 1/8 09/05/82</v>
      </c>
      <c r="G108" t="str">
        <f ca="1"/>
        <v>Bond Corporate</v>
      </c>
      <c r="H108" t="str">
        <f ca="1"/>
        <v>BGN</v>
      </c>
      <c r="I108" t="str">
        <f ca="1"/>
        <v>BGN</v>
      </c>
      <c r="J108" s="104">
        <f ca="1"/>
        <v>-2381000</v>
      </c>
      <c r="K108" s="104">
        <f ca="1"/>
        <v>-2381000</v>
      </c>
      <c r="L108" s="104">
        <v>0</v>
      </c>
      <c r="M108">
        <f ca="1"/>
        <v>102.25</v>
      </c>
      <c r="N108">
        <v>106.25</v>
      </c>
      <c r="O108">
        <f ca="1"/>
        <v>102.371</v>
      </c>
      <c r="Q108" s="104">
        <v>1</v>
      </c>
      <c r="R108" s="104">
        <v>-570.00000000016371</v>
      </c>
      <c r="S108" s="104">
        <f ca="1"/>
        <v>0</v>
      </c>
      <c r="T108" s="104">
        <v>-570.00000000016371</v>
      </c>
      <c r="V108">
        <v>-570.00000000016371</v>
      </c>
    </row>
    <row r="109" spans="3:22" x14ac:dyDescent="0.35">
      <c r="C109" t="str">
        <f ca="1"/>
        <v>XS0903532090</v>
      </c>
      <c r="D109" t="str">
        <f ca="1"/>
        <v>SEMINARA</v>
      </c>
      <c r="E109" t="str">
        <v>XS1396767854_VOON</v>
      </c>
      <c r="F109" t="str">
        <f ca="1"/>
        <v>NGGLN 5 5/8 06/18/73</v>
      </c>
      <c r="G109" t="str">
        <f ca="1"/>
        <v>Bond Corporate</v>
      </c>
      <c r="H109" t="str">
        <f ca="1"/>
        <v>BGN</v>
      </c>
      <c r="I109" t="str">
        <f ca="1"/>
        <v>BGN</v>
      </c>
      <c r="J109" s="104">
        <f ca="1"/>
        <v>1000000</v>
      </c>
      <c r="K109" s="104">
        <f ca="1"/>
        <v>1000000</v>
      </c>
      <c r="L109" s="104">
        <v>0</v>
      </c>
      <c r="M109">
        <f ca="1"/>
        <v>114.3</v>
      </c>
      <c r="N109">
        <v>106.26</v>
      </c>
      <c r="O109">
        <f ca="1"/>
        <v>114.41800000000001</v>
      </c>
      <c r="Q109" s="104">
        <v>1</v>
      </c>
      <c r="R109" s="104">
        <v>781.99999999981173</v>
      </c>
      <c r="S109" s="104">
        <f ca="1"/>
        <v>0</v>
      </c>
      <c r="T109" s="104">
        <v>781.99999999981173</v>
      </c>
      <c r="V109">
        <v>781.99999999981173</v>
      </c>
    </row>
    <row r="110" spans="3:22" x14ac:dyDescent="0.35">
      <c r="C110" t="str">
        <f ca="1"/>
        <v>XS2156506854</v>
      </c>
      <c r="D110" t="str">
        <f ca="1"/>
        <v>VOON</v>
      </c>
      <c r="E110" t="str">
        <v>XS0903532090_SEMINARA</v>
      </c>
      <c r="F110" t="str">
        <f ca="1"/>
        <v>NTGYSM 1 1/4 01/15/26</v>
      </c>
      <c r="G110" t="str">
        <f ca="1"/>
        <v>Bond Corporate</v>
      </c>
      <c r="H110" t="str">
        <f ca="1"/>
        <v>BGN</v>
      </c>
      <c r="I110" t="str">
        <f ca="1"/>
        <v>BGN</v>
      </c>
      <c r="J110" s="104">
        <f ca="1"/>
        <v>-3000000</v>
      </c>
      <c r="K110" s="104">
        <f ca="1"/>
        <v>-3000000</v>
      </c>
      <c r="L110" s="104">
        <v>0</v>
      </c>
      <c r="M110">
        <f ca="1"/>
        <v>106.25</v>
      </c>
      <c r="N110">
        <v>114.3</v>
      </c>
      <c r="O110">
        <f ca="1"/>
        <v>106.26900000000001</v>
      </c>
      <c r="Q110" s="104">
        <v>1</v>
      </c>
      <c r="R110" s="104">
        <v>1180.0000000000921</v>
      </c>
      <c r="S110" s="104">
        <f ca="1"/>
        <v>0</v>
      </c>
      <c r="T110" s="104">
        <v>1180.0000000000921</v>
      </c>
      <c r="V110">
        <v>1180.0000000000921</v>
      </c>
    </row>
    <row r="111" spans="3:22" x14ac:dyDescent="0.35">
      <c r="C111" t="str">
        <f ca="1"/>
        <v>XS1396767854</v>
      </c>
      <c r="D111" t="str">
        <f ca="1"/>
        <v>VOON</v>
      </c>
      <c r="E111" t="str">
        <v>XS2010045511_SEMINARA</v>
      </c>
      <c r="F111" t="str">
        <f ca="1"/>
        <v>NTGYSM 1 1/4 04/19/26</v>
      </c>
      <c r="G111" t="str">
        <f ca="1"/>
        <v>Bond Corporate</v>
      </c>
      <c r="H111" t="str">
        <f ca="1"/>
        <v>BGN</v>
      </c>
      <c r="I111" t="str">
        <f ca="1"/>
        <v>BGN</v>
      </c>
      <c r="J111" s="104">
        <f ca="1"/>
        <v>2300000</v>
      </c>
      <c r="K111" s="104">
        <f ca="1"/>
        <v>2300000</v>
      </c>
      <c r="L111" s="104">
        <v>0</v>
      </c>
      <c r="M111">
        <f ca="1"/>
        <v>106.26</v>
      </c>
      <c r="N111">
        <v>102.25</v>
      </c>
      <c r="O111">
        <f ca="1"/>
        <v>106.294</v>
      </c>
      <c r="Q111" s="104">
        <v>1</v>
      </c>
      <c r="R111" s="104">
        <v>-2881.0099999998838</v>
      </c>
      <c r="S111" s="104">
        <f ca="1"/>
        <v>0</v>
      </c>
      <c r="T111" s="104">
        <v>-2881.0099999998838</v>
      </c>
      <c r="V111">
        <v>-2881.0099999998838</v>
      </c>
    </row>
    <row r="112" spans="3:22" x14ac:dyDescent="0.35">
      <c r="C112" t="str">
        <f ca="1"/>
        <v>CT413383_251220</v>
      </c>
      <c r="D112" t="str">
        <f ca="1"/>
        <v>TIGER</v>
      </c>
      <c r="E112" t="str">
        <v>XS2154347293_VOON</v>
      </c>
      <c r="F112" t="str">
        <f ca="1"/>
        <v>RBS_JP_2025-12-20</v>
      </c>
      <c r="G112" t="str">
        <f ca="1"/>
        <v>Credit Default Swap</v>
      </c>
      <c r="H112" t="str">
        <f ca="1"/>
        <v/>
      </c>
      <c r="I112" t="str">
        <f ca="1"/>
        <v/>
      </c>
      <c r="J112" s="104">
        <f ca="1"/>
        <v>1750000</v>
      </c>
      <c r="K112" s="104">
        <f ca="1"/>
        <v>1750000</v>
      </c>
      <c r="L112" s="104">
        <v>0</v>
      </c>
      <c r="M112">
        <f ca="1"/>
        <v>-1.94</v>
      </c>
      <c r="N112">
        <v>105.68</v>
      </c>
      <c r="O112" t="str">
        <f ca="1"/>
        <v>-</v>
      </c>
      <c r="Q112" s="104">
        <v>1</v>
      </c>
      <c r="R112" s="104">
        <v>79.089999999968938</v>
      </c>
      <c r="S112" s="104">
        <f ca="1"/>
        <v>0</v>
      </c>
      <c r="T112" s="104">
        <v>79.089999999968938</v>
      </c>
      <c r="V112">
        <v>79.089999999968938</v>
      </c>
    </row>
    <row r="113" spans="3:22" x14ac:dyDescent="0.35">
      <c r="C113" t="str">
        <f ca="1"/>
        <v>XS1294343337</v>
      </c>
      <c r="D113" t="str">
        <f ca="1"/>
        <v>SEMINARA</v>
      </c>
      <c r="E113" t="str">
        <v>XS1917590959_VOON</v>
      </c>
      <c r="F113" t="str">
        <f ca="1"/>
        <v>OMVAV 6 1/4 PERP</v>
      </c>
      <c r="G113" t="str">
        <f ca="1"/>
        <v>Bond Corporate</v>
      </c>
      <c r="H113" t="str">
        <f ca="1"/>
        <v>BGN</v>
      </c>
      <c r="I113" t="str">
        <f ca="1"/>
        <v>BGN</v>
      </c>
      <c r="J113" s="104">
        <f ca="1"/>
        <v>-800000</v>
      </c>
      <c r="K113" s="104">
        <f ca="1"/>
        <v>-800000</v>
      </c>
      <c r="L113" s="104">
        <v>0</v>
      </c>
      <c r="M113">
        <f ca="1"/>
        <v>121.14</v>
      </c>
      <c r="N113">
        <v>114.5</v>
      </c>
      <c r="O113">
        <f ca="1"/>
        <v>121.26300000000001</v>
      </c>
      <c r="Q113" s="104">
        <v>1</v>
      </c>
      <c r="R113" s="104">
        <v>-600.00000000002274</v>
      </c>
      <c r="S113" s="104">
        <f ca="1"/>
        <v>0</v>
      </c>
      <c r="T113" s="104">
        <v>-600.00000000002274</v>
      </c>
      <c r="V113">
        <v>-600.00000000002274</v>
      </c>
    </row>
    <row r="114" spans="3:22" x14ac:dyDescent="0.35">
      <c r="C114" t="str">
        <f ca="1"/>
        <v>XS1713462403</v>
      </c>
      <c r="D114" t="str">
        <f ca="1"/>
        <v>SEMINARA</v>
      </c>
      <c r="E114" t="str">
        <v>XS1713462403_SEMINARA</v>
      </c>
      <c r="F114" t="str">
        <f ca="1"/>
        <v>OMVAV 2 7/8 PERP</v>
      </c>
      <c r="G114" t="str">
        <f ca="1"/>
        <v>Bond Corporate</v>
      </c>
      <c r="H114" t="str">
        <f ca="1"/>
        <v>BGN</v>
      </c>
      <c r="I114" t="str">
        <f ca="1"/>
        <v>BGN</v>
      </c>
      <c r="J114" s="104">
        <f ca="1"/>
        <v>1500000</v>
      </c>
      <c r="K114" s="104">
        <f ca="1"/>
        <v>500000</v>
      </c>
      <c r="L114" s="104">
        <v>0</v>
      </c>
      <c r="M114">
        <f ca="1"/>
        <v>103.61</v>
      </c>
      <c r="N114">
        <v>103.61</v>
      </c>
      <c r="O114">
        <f ca="1"/>
        <v>103.66500000000001</v>
      </c>
      <c r="Q114" s="104">
        <v>1</v>
      </c>
      <c r="R114" s="104">
        <v>825.00000000010232</v>
      </c>
      <c r="S114" s="104">
        <f ca="1"/>
        <v>-229.99999999996135</v>
      </c>
      <c r="T114" s="104">
        <v>825.00000000010232</v>
      </c>
      <c r="V114">
        <v>825.00000000010232</v>
      </c>
    </row>
    <row r="115" spans="3:22" x14ac:dyDescent="0.35">
      <c r="C115" t="str">
        <f ca="1"/>
        <v>XS1917590959</v>
      </c>
      <c r="D115" t="str">
        <f ca="1"/>
        <v>VOON</v>
      </c>
      <c r="E115" t="str">
        <v>XS1294343337_SEMINARA</v>
      </c>
      <c r="F115" t="str">
        <f ca="1"/>
        <v>OMVAV 1 7/8 12/04/28</v>
      </c>
      <c r="G115" t="str">
        <f ca="1"/>
        <v>Bond Corporate</v>
      </c>
      <c r="H115" t="str">
        <f ca="1"/>
        <v>BGN</v>
      </c>
      <c r="I115" t="str">
        <f ca="1"/>
        <v>BGN</v>
      </c>
      <c r="J115" s="104">
        <f ca="1"/>
        <v>-1000000</v>
      </c>
      <c r="K115" s="104">
        <f ca="1"/>
        <v>-1000000</v>
      </c>
      <c r="L115" s="104">
        <v>0</v>
      </c>
      <c r="M115">
        <f ca="1"/>
        <v>114.5</v>
      </c>
      <c r="N115">
        <v>121.14</v>
      </c>
      <c r="O115">
        <f ca="1"/>
        <v>114.56</v>
      </c>
      <c r="Q115" s="104">
        <v>1</v>
      </c>
      <c r="R115" s="104">
        <v>-984.00000000003729</v>
      </c>
      <c r="S115" s="104">
        <f ca="1"/>
        <v>0</v>
      </c>
      <c r="T115" s="104">
        <v>-984.00000000003729</v>
      </c>
      <c r="V115">
        <v>-984.00000000003729</v>
      </c>
    </row>
    <row r="116" spans="3:22" x14ac:dyDescent="0.35">
      <c r="C116" t="str">
        <f ca="1"/>
        <v>XS2224439971</v>
      </c>
      <c r="D116" t="str">
        <f ca="1"/>
        <v>SEMINARA</v>
      </c>
      <c r="E116" t="str">
        <v>XS2224439971_SEMINARA</v>
      </c>
      <c r="F116" t="str">
        <f ca="1"/>
        <v>OMVAV 2 7/8 PERP</v>
      </c>
      <c r="G116" t="str">
        <f ca="1"/>
        <v>Bond Corporate</v>
      </c>
      <c r="H116" t="str">
        <f ca="1"/>
        <v>BGN</v>
      </c>
      <c r="I116" t="str">
        <f ca="1"/>
        <v>BGN</v>
      </c>
      <c r="J116" s="104">
        <f ca="1"/>
        <v>0</v>
      </c>
      <c r="K116" s="104">
        <f ca="1"/>
        <v>-400000</v>
      </c>
      <c r="L116" s="104">
        <v>-400000</v>
      </c>
      <c r="M116">
        <f ca="1"/>
        <v>101.73</v>
      </c>
      <c r="N116">
        <v>101.73</v>
      </c>
      <c r="O116">
        <f ca="1"/>
        <v>101.849</v>
      </c>
      <c r="Q116" s="104">
        <v>1</v>
      </c>
      <c r="R116" s="104" t="str">
        <v>-</v>
      </c>
      <c r="S116" s="104">
        <f ca="1"/>
        <v>1907.9999999999586</v>
      </c>
      <c r="T116" s="104" t="e">
        <v>#VALUE!</v>
      </c>
      <c r="V116" t="e">
        <v>#VALUE!</v>
      </c>
    </row>
    <row r="117" spans="3:22" x14ac:dyDescent="0.35">
      <c r="C117" t="str">
        <f ca="1"/>
        <v>XS2154347293</v>
      </c>
      <c r="D117" t="str">
        <f ca="1"/>
        <v>VOON</v>
      </c>
      <c r="E117" t="str">
        <v>FR0013396512_VOON</v>
      </c>
      <c r="F117" t="str">
        <f ca="1"/>
        <v>OMVAV 1 1/2 04/09/24</v>
      </c>
      <c r="G117" t="str">
        <f ca="1"/>
        <v>Bond Corporate</v>
      </c>
      <c r="H117" t="str">
        <f ca="1"/>
        <v>BGN</v>
      </c>
      <c r="I117" t="str">
        <f ca="1"/>
        <v>BGN</v>
      </c>
      <c r="J117" s="104">
        <f ca="1"/>
        <v>719000</v>
      </c>
      <c r="K117" s="104">
        <f ca="1"/>
        <v>719000</v>
      </c>
      <c r="L117" s="104">
        <v>0</v>
      </c>
      <c r="M117">
        <f ca="1"/>
        <v>105.68</v>
      </c>
      <c r="N117">
        <v>104.69</v>
      </c>
      <c r="O117">
        <f ca="1"/>
        <v>105.691</v>
      </c>
      <c r="Q117" s="104">
        <v>1</v>
      </c>
      <c r="R117" s="104">
        <v>27.999999999934744</v>
      </c>
      <c r="S117" s="104">
        <f ca="1"/>
        <v>0</v>
      </c>
      <c r="T117" s="104">
        <v>27.999999999934744</v>
      </c>
      <c r="V117">
        <v>27.999999999934744</v>
      </c>
    </row>
    <row r="118" spans="3:22" x14ac:dyDescent="0.35">
      <c r="C118" t="str">
        <f ca="1"/>
        <v>XS1115502988</v>
      </c>
      <c r="D118" t="str">
        <f ca="1"/>
        <v>SEMINARA</v>
      </c>
      <c r="E118" t="str">
        <v>XS1115502988_SEMINARA</v>
      </c>
      <c r="F118" t="str">
        <f ca="1"/>
        <v>ORAFP 5 3/4 PERP</v>
      </c>
      <c r="G118" t="str">
        <f ca="1"/>
        <v>Bond Corporate</v>
      </c>
      <c r="H118" t="str">
        <f ca="1"/>
        <v>BGN</v>
      </c>
      <c r="I118" t="str">
        <f ca="1"/>
        <v>BGN</v>
      </c>
      <c r="J118" s="104">
        <f ca="1"/>
        <v>3181000</v>
      </c>
      <c r="K118" s="104">
        <f ca="1"/>
        <v>3181000</v>
      </c>
      <c r="L118" s="104">
        <v>0</v>
      </c>
      <c r="M118">
        <f ca="1"/>
        <v>109.86</v>
      </c>
      <c r="N118">
        <v>109.86</v>
      </c>
      <c r="O118">
        <f ca="1"/>
        <v>109.902</v>
      </c>
      <c r="Q118" s="104">
        <v>1</v>
      </c>
      <c r="R118" s="104">
        <v>1336.0200000000507</v>
      </c>
      <c r="S118" s="104">
        <f ca="1"/>
        <v>0</v>
      </c>
      <c r="T118" s="104">
        <v>1336.0200000000507</v>
      </c>
      <c r="V118">
        <v>1336.0200000000507</v>
      </c>
    </row>
    <row r="119" spans="3:22" x14ac:dyDescent="0.35">
      <c r="C119" t="str">
        <f ca="1"/>
        <v>FR0013396512</v>
      </c>
      <c r="D119" t="str">
        <f ca="1"/>
        <v>VOON</v>
      </c>
      <c r="E119" t="str">
        <v>XS2010036874_SEMINARA</v>
      </c>
      <c r="F119" t="str">
        <f ca="1"/>
        <v>ORAFP 1 1/8 07/15/24</v>
      </c>
      <c r="G119" t="str">
        <f ca="1"/>
        <v>Bond Corporate</v>
      </c>
      <c r="H119" t="str">
        <f ca="1"/>
        <v>BGN</v>
      </c>
      <c r="I119" t="str">
        <f ca="1"/>
        <v>BGN</v>
      </c>
      <c r="J119" s="104">
        <f ca="1"/>
        <v>-1400000</v>
      </c>
      <c r="K119" s="104">
        <f ca="1"/>
        <v>-1400000</v>
      </c>
      <c r="L119" s="104">
        <v>0</v>
      </c>
      <c r="M119">
        <f ca="1"/>
        <v>104.69</v>
      </c>
      <c r="N119">
        <v>101.74</v>
      </c>
      <c r="O119">
        <f ca="1"/>
        <v>104.688</v>
      </c>
      <c r="Q119" s="104">
        <v>1</v>
      </c>
      <c r="R119" s="104">
        <v>2280.0000000000864</v>
      </c>
      <c r="S119" s="104">
        <f ca="1"/>
        <v>0</v>
      </c>
      <c r="T119" s="104">
        <v>2280.0000000000864</v>
      </c>
      <c r="V119">
        <v>2280.0000000000864</v>
      </c>
    </row>
    <row r="120" spans="3:22" x14ac:dyDescent="0.35">
      <c r="C120" t="str">
        <f ca="1"/>
        <v>XS2010036874</v>
      </c>
      <c r="D120" t="str">
        <f ca="1"/>
        <v>SEMINARA</v>
      </c>
      <c r="E120" t="str">
        <v>XS2178957077_VOON</v>
      </c>
      <c r="F120" t="str">
        <f ca="1"/>
        <v>ORSTED 1 3/4 12/09/19</v>
      </c>
      <c r="G120" t="str">
        <f ca="1"/>
        <v>Bond Corporate</v>
      </c>
      <c r="H120" t="str">
        <f ca="1"/>
        <v>BGN</v>
      </c>
      <c r="I120" t="str">
        <f ca="1"/>
        <v>BGN</v>
      </c>
      <c r="J120" s="104">
        <f ca="1"/>
        <v>2000000</v>
      </c>
      <c r="K120" s="104">
        <f ca="1"/>
        <v>2000000</v>
      </c>
      <c r="L120" s="104">
        <v>0</v>
      </c>
      <c r="M120">
        <f ca="1"/>
        <v>101.74</v>
      </c>
      <c r="N120">
        <v>106.46</v>
      </c>
      <c r="O120">
        <f ca="1"/>
        <v>101.854</v>
      </c>
      <c r="Q120" s="104">
        <v>1</v>
      </c>
      <c r="R120" s="104">
        <v>-260.00000000010459</v>
      </c>
      <c r="S120" s="104">
        <f ca="1"/>
        <v>0</v>
      </c>
      <c r="T120" s="104">
        <v>-260.00000000010459</v>
      </c>
      <c r="V120">
        <v>-260.00000000010459</v>
      </c>
    </row>
    <row r="121" spans="3:22" x14ac:dyDescent="0.35">
      <c r="C121" t="str">
        <f ca="1"/>
        <v>XS1048529041</v>
      </c>
      <c r="D121" t="str">
        <f ca="1"/>
        <v>VOON</v>
      </c>
      <c r="E121" t="str">
        <v>IE00BD3WYB25_GIORGETTI</v>
      </c>
      <c r="F121" t="str">
        <f ca="1"/>
        <v>RDSALN 2 1/2 03/24/26</v>
      </c>
      <c r="G121" t="str">
        <f ca="1"/>
        <v>Bond Corporate</v>
      </c>
      <c r="H121" t="str">
        <f ca="1"/>
        <v>BGN</v>
      </c>
      <c r="I121" t="str">
        <f ca="1"/>
        <v>BGN</v>
      </c>
      <c r="J121" s="104">
        <f ca="1"/>
        <v>3000000</v>
      </c>
      <c r="K121" s="104">
        <f ca="1"/>
        <v>3000000</v>
      </c>
      <c r="L121" s="104">
        <v>0</v>
      </c>
      <c r="M121">
        <f ca="1"/>
        <v>114.75</v>
      </c>
      <c r="N121">
        <v>119.41</v>
      </c>
      <c r="O121">
        <f ca="1"/>
        <v>114.754</v>
      </c>
      <c r="Q121" s="104">
        <v>0</v>
      </c>
      <c r="R121" s="104" t="str">
        <v>-</v>
      </c>
      <c r="S121" s="104">
        <f ca="1"/>
        <v>0</v>
      </c>
      <c r="T121" s="104" t="e">
        <v>#VALUE!</v>
      </c>
      <c r="V121" t="e">
        <v>#VALUE!</v>
      </c>
    </row>
    <row r="122" spans="3:22" x14ac:dyDescent="0.35">
      <c r="C122" t="str">
        <f ca="1"/>
        <v>XS2154419118</v>
      </c>
      <c r="D122" t="str">
        <f ca="1"/>
        <v>VOON</v>
      </c>
      <c r="E122" t="str">
        <v>MT7000016820_GIORGETTI</v>
      </c>
      <c r="F122" t="str">
        <f ca="1"/>
        <v>RDSALN 1 7/8 04/07/32</v>
      </c>
      <c r="G122" t="str">
        <f ca="1"/>
        <v>Bond Corporate</v>
      </c>
      <c r="H122" t="str">
        <f ca="1"/>
        <v>BGN</v>
      </c>
      <c r="I122" t="str">
        <f ca="1"/>
        <v>BGN</v>
      </c>
      <c r="J122" s="104">
        <f ca="1"/>
        <v>-3000000</v>
      </c>
      <c r="K122" s="104">
        <f ca="1"/>
        <v>-3000000</v>
      </c>
      <c r="L122" s="104">
        <v>0</v>
      </c>
      <c r="M122">
        <f ca="1"/>
        <v>117.1</v>
      </c>
      <c r="N122">
        <v>106.49</v>
      </c>
      <c r="O122">
        <f ca="1"/>
        <v>117.18300000000001</v>
      </c>
      <c r="Q122" s="104">
        <v>0</v>
      </c>
      <c r="R122" s="104" t="str">
        <v>-</v>
      </c>
      <c r="S122" s="104">
        <f ca="1"/>
        <v>0</v>
      </c>
      <c r="T122" s="104" t="e">
        <v>#VALUE!</v>
      </c>
      <c r="V122" t="e">
        <v>#VALUE!</v>
      </c>
    </row>
    <row r="123" spans="3:22" x14ac:dyDescent="0.35">
      <c r="C123" t="str">
        <f ca="1"/>
        <v>XS1411401083</v>
      </c>
      <c r="D123" t="str">
        <f ca="1"/>
        <v>VOON</v>
      </c>
      <c r="E123" t="str">
        <v>FR0014000NZ4_VOON</v>
      </c>
      <c r="F123" t="str">
        <f ca="1"/>
        <v>RDSALN 1 1/4 05/12/28</v>
      </c>
      <c r="G123" t="str">
        <f ca="1"/>
        <v>Bond Corporate</v>
      </c>
      <c r="H123" t="str">
        <f ca="1"/>
        <v>BGN</v>
      </c>
      <c r="I123" t="str">
        <f ca="1"/>
        <v>BGN</v>
      </c>
      <c r="J123" s="104">
        <f ca="1"/>
        <v>-1535000</v>
      </c>
      <c r="K123" s="104">
        <f ca="1"/>
        <v>-1535000</v>
      </c>
      <c r="L123" s="104">
        <v>0</v>
      </c>
      <c r="M123">
        <f ca="1"/>
        <v>109.35</v>
      </c>
      <c r="N123">
        <v>100</v>
      </c>
      <c r="O123">
        <f ca="1"/>
        <v>109.372</v>
      </c>
      <c r="Q123" s="104">
        <v>1</v>
      </c>
      <c r="R123" s="104">
        <v>2300.00000000004</v>
      </c>
      <c r="S123" s="104">
        <f ca="1"/>
        <v>0</v>
      </c>
      <c r="T123" s="104">
        <v>2300.00000000004</v>
      </c>
      <c r="V123">
        <v>2300.00000000004</v>
      </c>
    </row>
    <row r="124" spans="3:22" x14ac:dyDescent="0.35">
      <c r="C124" t="str">
        <f ca="1"/>
        <v>XS2178957077</v>
      </c>
      <c r="D124" t="str">
        <f ca="1"/>
        <v>VOON</v>
      </c>
      <c r="E124" t="str">
        <v>XS2186001314_SEMINARA</v>
      </c>
      <c r="F124" t="str">
        <f ca="1"/>
        <v>REDEXS 1 7/8 05/28/25</v>
      </c>
      <c r="G124" t="str">
        <f ca="1"/>
        <v>Bond Corporate</v>
      </c>
      <c r="H124" t="str">
        <f ca="1"/>
        <v>BGN</v>
      </c>
      <c r="I124" t="str">
        <f ca="1"/>
        <v>BGN</v>
      </c>
      <c r="J124" s="104">
        <f ca="1"/>
        <v>-1000000</v>
      </c>
      <c r="K124" s="104">
        <f ca="1"/>
        <v>-1000000</v>
      </c>
      <c r="L124" s="104">
        <v>-700000</v>
      </c>
      <c r="M124">
        <f ca="1"/>
        <v>106.46</v>
      </c>
      <c r="N124">
        <v>106.21</v>
      </c>
      <c r="O124">
        <f ca="1"/>
        <v>106.486</v>
      </c>
      <c r="Q124" s="104">
        <v>1</v>
      </c>
      <c r="R124" s="104">
        <v>-841.96000000001141</v>
      </c>
      <c r="S124" s="104">
        <f ca="1"/>
        <v>0</v>
      </c>
      <c r="T124" s="104">
        <v>3295.0400000000459</v>
      </c>
      <c r="V124">
        <v>-841.96000000001141</v>
      </c>
    </row>
    <row r="125" spans="3:22" x14ac:dyDescent="0.35">
      <c r="C125" t="str">
        <f ca="1"/>
        <v>XS2186001314</v>
      </c>
      <c r="D125" t="str">
        <f ca="1"/>
        <v>SEMINARA</v>
      </c>
      <c r="E125" t="str">
        <v>CT413383_251220_TIGER</v>
      </c>
      <c r="F125" t="str">
        <f ca="1"/>
        <v>REPSM 4.247 PERP</v>
      </c>
      <c r="G125" t="str">
        <f ca="1"/>
        <v>Bond Corporate</v>
      </c>
      <c r="H125" t="str">
        <f ca="1"/>
        <v>BGN</v>
      </c>
      <c r="I125" t="str">
        <f ca="1"/>
        <v>BGN</v>
      </c>
      <c r="J125" s="104">
        <f ca="1"/>
        <v>-434000</v>
      </c>
      <c r="K125" s="104">
        <f ca="1"/>
        <v>-325000</v>
      </c>
      <c r="L125" s="104">
        <v>0</v>
      </c>
      <c r="M125">
        <f ca="1"/>
        <v>106.21</v>
      </c>
      <c r="N125">
        <v>-1.94</v>
      </c>
      <c r="O125">
        <f ca="1"/>
        <v>106.404</v>
      </c>
      <c r="Q125" s="104">
        <v>4</v>
      </c>
      <c r="R125" s="104" t="str">
        <v>-</v>
      </c>
      <c r="S125" s="104">
        <f ca="1"/>
        <v>2742.480000000076</v>
      </c>
      <c r="T125" s="104" t="e">
        <v>#VALUE!</v>
      </c>
      <c r="V125" t="str">
        <v>cds</v>
      </c>
    </row>
    <row r="126" spans="3:22" x14ac:dyDescent="0.35">
      <c r="C126" t="str">
        <f ca="1"/>
        <v>FR0013152899</v>
      </c>
      <c r="D126" t="str">
        <f ca="1"/>
        <v>VOON</v>
      </c>
      <c r="E126" t="str">
        <v>FR0013152899_VOON</v>
      </c>
      <c r="F126" t="str">
        <f ca="1"/>
        <v>RTEFRA 1 10/19/26</v>
      </c>
      <c r="G126" t="str">
        <f ca="1"/>
        <v>Bond Corporate</v>
      </c>
      <c r="H126" t="str">
        <f ca="1"/>
        <v>BGN</v>
      </c>
      <c r="I126" t="str">
        <f ca="1"/>
        <v>BGN</v>
      </c>
      <c r="J126" s="104">
        <f ca="1"/>
        <v>5000000</v>
      </c>
      <c r="K126" s="104">
        <f ca="1"/>
        <v>5000000</v>
      </c>
      <c r="L126" s="104">
        <v>0</v>
      </c>
      <c r="M126">
        <f ca="1"/>
        <v>106.69</v>
      </c>
      <c r="N126">
        <v>106.69</v>
      </c>
      <c r="O126">
        <f ca="1"/>
        <v>106.715</v>
      </c>
      <c r="Q126" s="104">
        <v>1</v>
      </c>
      <c r="R126" s="104">
        <v>1250.0000000002842</v>
      </c>
      <c r="S126" s="104">
        <f ca="1"/>
        <v>0</v>
      </c>
      <c r="T126" s="104">
        <v>1250.0000000002842</v>
      </c>
      <c r="V126">
        <v>1250.0000000002842</v>
      </c>
    </row>
    <row r="127" spans="3:22" x14ac:dyDescent="0.35">
      <c r="C127" t="str">
        <f ca="1"/>
        <v>XS1219499032</v>
      </c>
      <c r="D127" t="str">
        <f ca="1"/>
        <v>SEMINARA</v>
      </c>
      <c r="E127" t="str">
        <v>XS1219499032_SEMINARA</v>
      </c>
      <c r="F127" t="str">
        <f ca="1"/>
        <v>RWE 3 1/2 04/21/75</v>
      </c>
      <c r="G127" t="str">
        <f ca="1"/>
        <v>Bond Corporate</v>
      </c>
      <c r="H127" t="str">
        <f ca="1"/>
        <v>BGN</v>
      </c>
      <c r="I127" t="str">
        <f ca="1"/>
        <v>BGN</v>
      </c>
      <c r="J127" s="104">
        <f ca="1"/>
        <v>3398000</v>
      </c>
      <c r="K127" s="104">
        <f ca="1"/>
        <v>3398000</v>
      </c>
      <c r="L127" s="104">
        <v>0</v>
      </c>
      <c r="M127">
        <f ca="1"/>
        <v>108.35</v>
      </c>
      <c r="N127">
        <v>108.35</v>
      </c>
      <c r="O127">
        <f ca="1"/>
        <v>108.36799999999999</v>
      </c>
      <c r="Q127" s="104">
        <v>1</v>
      </c>
      <c r="R127" s="104">
        <v>611.64000000002318</v>
      </c>
      <c r="S127" s="104">
        <f ca="1"/>
        <v>0</v>
      </c>
      <c r="T127" s="104">
        <v>611.64000000002318</v>
      </c>
      <c r="V127">
        <v>611.64000000002318</v>
      </c>
    </row>
    <row r="128" spans="3:22" x14ac:dyDescent="0.35">
      <c r="C128" t="str">
        <f ca="1"/>
        <v>XS2196317742</v>
      </c>
      <c r="D128" t="str">
        <f ca="1"/>
        <v>VOON</v>
      </c>
      <c r="E128" t="str">
        <v>XS2196317742_VOON</v>
      </c>
      <c r="F128" t="str">
        <f ca="1"/>
        <v>SESGFP 2 07/02/28</v>
      </c>
      <c r="G128" t="str">
        <f ca="1"/>
        <v>Bond Corporate</v>
      </c>
      <c r="H128" t="str">
        <f ca="1"/>
        <v>BGN</v>
      </c>
      <c r="I128" t="str">
        <f ca="1"/>
        <v>BGN</v>
      </c>
      <c r="J128" s="104">
        <f ca="1"/>
        <v>-2600000</v>
      </c>
      <c r="K128" s="104">
        <f ca="1"/>
        <v>-2600000</v>
      </c>
      <c r="L128" s="104">
        <v>0</v>
      </c>
      <c r="M128">
        <f ca="1"/>
        <v>106.35</v>
      </c>
      <c r="N128">
        <v>106.35</v>
      </c>
      <c r="O128">
        <f ca="1"/>
        <v>106.376</v>
      </c>
      <c r="Q128" s="104">
        <v>1</v>
      </c>
      <c r="R128" s="104">
        <v>-676.00000000027194</v>
      </c>
      <c r="S128" s="104">
        <f ca="1"/>
        <v>0</v>
      </c>
      <c r="T128" s="104">
        <v>-676.00000000027194</v>
      </c>
      <c r="V128">
        <v>-676.00000000027194</v>
      </c>
    </row>
    <row r="129" spans="3:22" x14ac:dyDescent="0.35">
      <c r="C129" t="str">
        <f ca="1"/>
        <v>FR0012949923</v>
      </c>
      <c r="D129" t="str">
        <f ca="1"/>
        <v>VOON</v>
      </c>
      <c r="E129" t="str">
        <v>XS1411401083_VOON</v>
      </c>
      <c r="F129" t="str">
        <f ca="1"/>
        <v>SEVFP 1 3/4 09/10/25</v>
      </c>
      <c r="G129" t="str">
        <f ca="1"/>
        <v>Bond Corporate</v>
      </c>
      <c r="H129" t="str">
        <f ca="1"/>
        <v>BGN</v>
      </c>
      <c r="I129" t="str">
        <f ca="1"/>
        <v>BGN</v>
      </c>
      <c r="J129" s="104">
        <f ca="1"/>
        <v>-2000000</v>
      </c>
      <c r="K129" s="104">
        <f ca="1"/>
        <v>-2000000</v>
      </c>
      <c r="L129" s="104">
        <v>0</v>
      </c>
      <c r="M129">
        <f ca="1"/>
        <v>108.23</v>
      </c>
      <c r="N129">
        <v>109.35</v>
      </c>
      <c r="O129">
        <f ca="1"/>
        <v>108.26900000000001</v>
      </c>
      <c r="Q129" s="104">
        <v>1</v>
      </c>
      <c r="R129" s="104">
        <v>-337.70000000008548</v>
      </c>
      <c r="S129" s="104">
        <f ca="1"/>
        <v>0</v>
      </c>
      <c r="T129" s="104">
        <v>-337.70000000008548</v>
      </c>
      <c r="V129">
        <v>-337.70000000008548</v>
      </c>
    </row>
    <row r="130" spans="3:22" x14ac:dyDescent="0.35">
      <c r="C130" t="str">
        <f ca="1"/>
        <v>FR0013283140</v>
      </c>
      <c r="D130" t="str">
        <f ca="1"/>
        <v>VOON</v>
      </c>
      <c r="E130" t="str">
        <v>XS2154419118_VOON</v>
      </c>
      <c r="F130" t="str">
        <f ca="1"/>
        <v>SEVFP 1 5/8 09/21/32</v>
      </c>
      <c r="G130" t="str">
        <f ca="1"/>
        <v>Bond Corporate</v>
      </c>
      <c r="H130" t="str">
        <f ca="1"/>
        <v>BGN</v>
      </c>
      <c r="I130" t="str">
        <f ca="1"/>
        <v>BGN</v>
      </c>
      <c r="J130" s="104">
        <f ca="1"/>
        <v>-700000</v>
      </c>
      <c r="K130" s="104">
        <f ca="1"/>
        <v>-700000</v>
      </c>
      <c r="L130" s="104">
        <v>0</v>
      </c>
      <c r="M130">
        <f ca="1"/>
        <v>113.45</v>
      </c>
      <c r="N130">
        <v>117.1</v>
      </c>
      <c r="O130">
        <f ca="1"/>
        <v>113.485</v>
      </c>
      <c r="Q130" s="104">
        <v>1</v>
      </c>
      <c r="R130" s="104">
        <v>-2490.0000000003788</v>
      </c>
      <c r="S130" s="104">
        <f ca="1"/>
        <v>0</v>
      </c>
      <c r="T130" s="104">
        <v>-2490.0000000003788</v>
      </c>
      <c r="V130">
        <v>-2490.0000000003788</v>
      </c>
    </row>
    <row r="131" spans="3:22" x14ac:dyDescent="0.35">
      <c r="C131" t="str">
        <f ca="1"/>
        <v>FR0013252061</v>
      </c>
      <c r="D131" t="str">
        <f ca="1"/>
        <v>SEMINARA</v>
      </c>
      <c r="E131" t="str">
        <v>XS1048529041_VOON</v>
      </c>
      <c r="F131" t="str">
        <f ca="1"/>
        <v>SEVFP 2 7/8 PERP</v>
      </c>
      <c r="G131" t="str">
        <f ca="1"/>
        <v>Bond Corporate</v>
      </c>
      <c r="H131" t="str">
        <f ca="1"/>
        <v>BGN</v>
      </c>
      <c r="I131" t="str">
        <f ca="1"/>
        <v>BGN</v>
      </c>
      <c r="J131" s="104">
        <f ca="1"/>
        <v>-3300000</v>
      </c>
      <c r="K131" s="104">
        <f ca="1"/>
        <v>-3300000</v>
      </c>
      <c r="L131" s="104">
        <v>0</v>
      </c>
      <c r="M131">
        <f ca="1"/>
        <v>104.04</v>
      </c>
      <c r="N131">
        <v>114.75</v>
      </c>
      <c r="O131">
        <f ca="1"/>
        <v>104.117</v>
      </c>
      <c r="Q131" s="104">
        <v>1</v>
      </c>
      <c r="R131" s="104">
        <v>120.00000000014664</v>
      </c>
      <c r="S131" s="104">
        <f ca="1"/>
        <v>0</v>
      </c>
      <c r="T131" s="104">
        <v>120.00000000014664</v>
      </c>
      <c r="V131">
        <v>120.00000000014664</v>
      </c>
    </row>
    <row r="132" spans="3:22" x14ac:dyDescent="0.35">
      <c r="C132" t="str">
        <f ca="1"/>
        <v>FR0013248507</v>
      </c>
      <c r="D132" t="str">
        <f ca="1"/>
        <v>VOON</v>
      </c>
      <c r="E132" t="str">
        <v>XS2051660509_VOON</v>
      </c>
      <c r="F132" t="str">
        <f ca="1"/>
        <v>SEVFP 1 04/03/25</v>
      </c>
      <c r="G132" t="str">
        <f ca="1"/>
        <v>Bond Corporate</v>
      </c>
      <c r="H132" t="str">
        <f ca="1"/>
        <v>BGN</v>
      </c>
      <c r="I132" t="str">
        <f ca="1"/>
        <v>BGN</v>
      </c>
      <c r="J132" s="104">
        <f ca="1"/>
        <v>-5300000</v>
      </c>
      <c r="K132" s="104">
        <f ca="1"/>
        <v>-5300000</v>
      </c>
      <c r="L132" s="104">
        <v>0</v>
      </c>
      <c r="M132">
        <f ca="1"/>
        <v>104.36</v>
      </c>
      <c r="N132">
        <v>108.1</v>
      </c>
      <c r="O132">
        <f ca="1"/>
        <v>104.38500000000001</v>
      </c>
      <c r="Q132" s="104">
        <v>1</v>
      </c>
      <c r="R132" s="104">
        <v>3787.9800000001437</v>
      </c>
      <c r="S132" s="104">
        <f ca="1"/>
        <v>0</v>
      </c>
      <c r="T132" s="104">
        <v>3787.9800000001437</v>
      </c>
      <c r="V132">
        <v>3787.9800000001437</v>
      </c>
    </row>
    <row r="133" spans="3:22" x14ac:dyDescent="0.35">
      <c r="C133" t="str">
        <f ca="1"/>
        <v>FR0013248523</v>
      </c>
      <c r="D133" t="str">
        <f ca="1"/>
        <v>VOON</v>
      </c>
      <c r="E133" t="str">
        <v>XS1957442541_VOON</v>
      </c>
      <c r="F133" t="str">
        <f ca="1"/>
        <v>SEVFP 1 1/2 04/03/29</v>
      </c>
      <c r="G133" t="str">
        <f ca="1"/>
        <v>Bond Corporate</v>
      </c>
      <c r="H133" t="str">
        <f ca="1"/>
        <v>BGN</v>
      </c>
      <c r="I133" t="str">
        <f ca="1"/>
        <v>BGN</v>
      </c>
      <c r="J133" s="104">
        <f ca="1"/>
        <v>3000000</v>
      </c>
      <c r="K133" s="104">
        <f ca="1"/>
        <v>3000000</v>
      </c>
      <c r="L133" s="104">
        <v>0</v>
      </c>
      <c r="M133">
        <f ca="1"/>
        <v>110.42</v>
      </c>
      <c r="N133">
        <v>106.61</v>
      </c>
      <c r="O133">
        <f ca="1"/>
        <v>110.465</v>
      </c>
      <c r="Q133" s="104">
        <v>1</v>
      </c>
      <c r="R133" s="104">
        <v>-1638.7899999997944</v>
      </c>
      <c r="S133" s="104">
        <f ca="1"/>
        <v>0</v>
      </c>
      <c r="T133" s="104">
        <v>-1638.7899999997944</v>
      </c>
      <c r="V133">
        <v>-1638.7899999997944</v>
      </c>
    </row>
    <row r="134" spans="3:22" x14ac:dyDescent="0.35">
      <c r="C134" t="str">
        <f ca="1"/>
        <v>FR0013452620</v>
      </c>
      <c r="D134" t="str">
        <f ca="1"/>
        <v>VOON</v>
      </c>
      <c r="E134" t="str">
        <v>XS2156787090_VOON</v>
      </c>
      <c r="F134" t="str">
        <f ca="1"/>
        <v>SEVFP 0 1/2 10/14/31</v>
      </c>
      <c r="G134" t="str">
        <f ca="1"/>
        <v>Bond Corporate</v>
      </c>
      <c r="H134" t="str">
        <f ca="1"/>
        <v>BGN</v>
      </c>
      <c r="I134" t="str">
        <f ca="1"/>
        <v>BGN</v>
      </c>
      <c r="J134" s="104">
        <f ca="1"/>
        <v>2200000</v>
      </c>
      <c r="K134" s="104">
        <f ca="1"/>
        <v>2200000</v>
      </c>
      <c r="L134" s="104">
        <v>0</v>
      </c>
      <c r="M134">
        <f ca="1"/>
        <v>101.21</v>
      </c>
      <c r="N134">
        <v>105.47</v>
      </c>
      <c r="O134">
        <f ca="1"/>
        <v>101.236</v>
      </c>
      <c r="Q134" s="104">
        <v>1</v>
      </c>
      <c r="R134" s="104">
        <v>-588.00000000002228</v>
      </c>
      <c r="S134" s="104">
        <f ca="1"/>
        <v>0</v>
      </c>
      <c r="T134" s="104">
        <v>-588.00000000002228</v>
      </c>
      <c r="V134">
        <v>-588.00000000002228</v>
      </c>
    </row>
    <row r="135" spans="3:22" x14ac:dyDescent="0.35">
      <c r="C135" t="str">
        <f ca="1"/>
        <v>XS2051660509</v>
      </c>
      <c r="D135" t="str">
        <f ca="1"/>
        <v>VOON</v>
      </c>
      <c r="E135" t="str">
        <v>XS1572343744_SEMINARA</v>
      </c>
      <c r="F135" t="str">
        <f ca="1"/>
        <v>SRGIM 1 09/12/34</v>
      </c>
      <c r="G135" t="str">
        <f ca="1"/>
        <v>Bond Corporate</v>
      </c>
      <c r="H135" t="str">
        <f ca="1"/>
        <v>BGN</v>
      </c>
      <c r="I135" t="str">
        <f ca="1"/>
        <v>BGN</v>
      </c>
      <c r="J135" s="104">
        <f ca="1"/>
        <v>9019000</v>
      </c>
      <c r="K135" s="104">
        <f ca="1"/>
        <v>9019000</v>
      </c>
      <c r="L135" s="104">
        <v>0</v>
      </c>
      <c r="M135">
        <f ca="1"/>
        <v>108.1</v>
      </c>
      <c r="N135">
        <v>104.02</v>
      </c>
      <c r="O135">
        <f ca="1"/>
        <v>108.142</v>
      </c>
      <c r="Q135" s="104">
        <v>1</v>
      </c>
      <c r="R135" s="104">
        <v>-72.299999999831499</v>
      </c>
      <c r="S135" s="104">
        <f ca="1"/>
        <v>0</v>
      </c>
      <c r="T135" s="104">
        <v>-72.299999999831499</v>
      </c>
      <c r="V135">
        <v>-72.299999999831499</v>
      </c>
    </row>
    <row r="136" spans="3:22" x14ac:dyDescent="0.35">
      <c r="C136" t="str">
        <f ca="1"/>
        <v>XS1957442541</v>
      </c>
      <c r="D136" t="str">
        <f ca="1"/>
        <v>VOON</v>
      </c>
      <c r="E136" t="str">
        <v>XS1572349865_SEMINARA</v>
      </c>
      <c r="F136" t="str">
        <f ca="1"/>
        <v>SRGIM 1 1/4 08/28/25</v>
      </c>
      <c r="G136" t="str">
        <f ca="1"/>
        <v>Bond Corporate</v>
      </c>
      <c r="H136" t="str">
        <f ca="1"/>
        <v>BGN</v>
      </c>
      <c r="I136" t="str">
        <f ca="1"/>
        <v>BGN</v>
      </c>
      <c r="J136" s="104">
        <f ca="1"/>
        <v>-5651000</v>
      </c>
      <c r="K136" s="104">
        <f ca="1"/>
        <v>-5651000</v>
      </c>
      <c r="L136" s="104">
        <v>0</v>
      </c>
      <c r="M136">
        <f ca="1"/>
        <v>106.61</v>
      </c>
      <c r="N136">
        <v>102.97</v>
      </c>
      <c r="O136">
        <f ca="1"/>
        <v>106.639</v>
      </c>
      <c r="Q136" s="104">
        <v>1</v>
      </c>
      <c r="R136" s="104">
        <v>-82.499999999924967</v>
      </c>
      <c r="S136" s="104">
        <f ca="1"/>
        <v>0</v>
      </c>
      <c r="T136" s="104">
        <v>-82.499999999924967</v>
      </c>
      <c r="V136">
        <v>-82.499999999924967</v>
      </c>
    </row>
    <row r="137" spans="3:22" x14ac:dyDescent="0.35">
      <c r="C137" t="str">
        <f ca="1"/>
        <v>XS1572343744</v>
      </c>
      <c r="D137" t="str">
        <f ca="1"/>
        <v>SEMINARA</v>
      </c>
      <c r="E137" t="str">
        <v>XS1196713298_SEMINARA</v>
      </c>
      <c r="F137" t="str">
        <f ca="1"/>
        <v>SSELN 4 3/4 09/16/77</v>
      </c>
      <c r="G137" t="str">
        <f ca="1"/>
        <v>Bond Corporate</v>
      </c>
      <c r="H137" t="str">
        <f ca="1"/>
        <v>BGN</v>
      </c>
      <c r="I137" t="str">
        <f ca="1"/>
        <v>BGN</v>
      </c>
      <c r="J137" s="104">
        <f ca="1"/>
        <v>3615000</v>
      </c>
      <c r="K137" s="104">
        <f ca="1"/>
        <v>3615000</v>
      </c>
      <c r="L137" s="104">
        <v>0</v>
      </c>
      <c r="M137">
        <f ca="1"/>
        <v>104.02</v>
      </c>
      <c r="N137">
        <v>100.76</v>
      </c>
      <c r="O137">
        <f ca="1"/>
        <v>104.018</v>
      </c>
      <c r="Q137" s="104">
        <v>1</v>
      </c>
      <c r="R137" s="104">
        <v>-10.620000000000402</v>
      </c>
      <c r="S137" s="104">
        <f ca="1"/>
        <v>0</v>
      </c>
      <c r="T137" s="104">
        <v>-10.620000000000402</v>
      </c>
      <c r="V137">
        <v>-10.620000000000402</v>
      </c>
    </row>
    <row r="138" spans="3:22" x14ac:dyDescent="0.35">
      <c r="C138" t="str">
        <f ca="1"/>
        <v>XS1196713298</v>
      </c>
      <c r="D138" t="str">
        <f ca="1"/>
        <v>SEMINARA</v>
      </c>
      <c r="E138" t="str">
        <v>XS2195190520_SEMINARA</v>
      </c>
      <c r="F138" t="str">
        <f ca="1"/>
        <v>SSELN 2 3/8 PERP</v>
      </c>
      <c r="G138" t="str">
        <f ca="1"/>
        <v>Bond Corporate</v>
      </c>
      <c r="H138" t="str">
        <f ca="1"/>
        <v>BGN</v>
      </c>
      <c r="I138" t="str">
        <f ca="1"/>
        <v>BGN</v>
      </c>
      <c r="J138" s="104">
        <f ca="1"/>
        <v>-354000</v>
      </c>
      <c r="K138" s="104">
        <f ca="1"/>
        <v>-354000</v>
      </c>
      <c r="L138" s="104">
        <v>0</v>
      </c>
      <c r="M138">
        <f ca="1"/>
        <v>100.76</v>
      </c>
      <c r="N138">
        <v>104.96</v>
      </c>
      <c r="O138">
        <f ca="1"/>
        <v>100.76300000000001</v>
      </c>
      <c r="Q138" s="104">
        <v>1</v>
      </c>
      <c r="R138" s="104">
        <v>-3710.000000000306</v>
      </c>
      <c r="S138" s="104">
        <f ca="1"/>
        <v>0</v>
      </c>
      <c r="T138" s="104">
        <v>-3710.000000000306</v>
      </c>
      <c r="V138">
        <v>-3710.000000000306</v>
      </c>
    </row>
    <row r="139" spans="3:22" x14ac:dyDescent="0.35">
      <c r="C139" t="str">
        <f ca="1"/>
        <v>XS2195190520</v>
      </c>
      <c r="D139" t="str">
        <f ca="1"/>
        <v>SEMINARA</v>
      </c>
      <c r="E139" t="str">
        <v>XS2195190876_SEMINARA</v>
      </c>
      <c r="F139" t="str">
        <f ca="1"/>
        <v>SSELN 3 1/8 PERP</v>
      </c>
      <c r="G139" t="str">
        <f ca="1"/>
        <v>Bond Corporate</v>
      </c>
      <c r="H139" t="str">
        <f ca="1"/>
        <v>BGN</v>
      </c>
      <c r="I139" t="str">
        <f ca="1"/>
        <v>BGN</v>
      </c>
      <c r="J139" s="104">
        <f ca="1"/>
        <v>-3500000</v>
      </c>
      <c r="K139" s="104">
        <f ca="1"/>
        <v>-3500000</v>
      </c>
      <c r="L139" s="104">
        <v>0</v>
      </c>
      <c r="M139">
        <f ca="1"/>
        <v>104.96</v>
      </c>
      <c r="N139">
        <v>104.44</v>
      </c>
      <c r="O139">
        <f ca="1"/>
        <v>105.066</v>
      </c>
      <c r="Q139" s="104">
        <v>1</v>
      </c>
      <c r="R139" s="104">
        <v>1770.9999999999582</v>
      </c>
      <c r="S139" s="104">
        <f ca="1"/>
        <v>0</v>
      </c>
      <c r="T139" s="104">
        <v>1770.9999999999582</v>
      </c>
      <c r="V139">
        <v>1770.9999999999582</v>
      </c>
    </row>
    <row r="140" spans="3:22" x14ac:dyDescent="0.35">
      <c r="C140" t="str">
        <f ca="1"/>
        <v>XS2195190876</v>
      </c>
      <c r="D140" t="str">
        <f ca="1"/>
        <v>SEMINARA</v>
      </c>
      <c r="E140" t="str">
        <v>XS1293571425_VOON</v>
      </c>
      <c r="F140" t="str">
        <f ca="1"/>
        <v>SSELN 3.74 PERP</v>
      </c>
      <c r="G140" t="str">
        <f ca="1"/>
        <v>Bond Corporate</v>
      </c>
      <c r="H140" t="str">
        <f ca="1"/>
        <v>BGN</v>
      </c>
      <c r="I140" t="str">
        <f ca="1"/>
        <v>BGN</v>
      </c>
      <c r="J140" s="104">
        <f ca="1"/>
        <v>2300000</v>
      </c>
      <c r="K140" s="104">
        <f ca="1"/>
        <v>2300000</v>
      </c>
      <c r="L140" s="104">
        <v>0</v>
      </c>
      <c r="M140">
        <f ca="1"/>
        <v>104.44</v>
      </c>
      <c r="N140">
        <v>104.36</v>
      </c>
      <c r="O140">
        <f ca="1"/>
        <v>104.517</v>
      </c>
      <c r="Q140" s="104">
        <v>1</v>
      </c>
      <c r="R140" s="104">
        <v>-6.960000000008506</v>
      </c>
      <c r="S140" s="104">
        <f ca="1"/>
        <v>0</v>
      </c>
      <c r="T140" s="104">
        <v>-6.960000000008506</v>
      </c>
      <c r="V140">
        <v>-6.960000000008506</v>
      </c>
    </row>
    <row r="141" spans="3:22" x14ac:dyDescent="0.35">
      <c r="C141" t="str">
        <f ca="1"/>
        <v>XS1572349865</v>
      </c>
      <c r="D141" t="str">
        <f ca="1"/>
        <v>SEMINARA</v>
      </c>
      <c r="E141" t="str">
        <v>XS1705553250_VOON</v>
      </c>
      <c r="F141" t="str">
        <f ca="1"/>
        <v>SSELN 3 5/8 09/16/77</v>
      </c>
      <c r="G141" t="str">
        <f ca="1"/>
        <v>Bond Corporate</v>
      </c>
      <c r="H141" t="str">
        <f ca="1"/>
        <v>BGN</v>
      </c>
      <c r="I141" t="str">
        <f ca="1"/>
        <v>BGN</v>
      </c>
      <c r="J141" s="104">
        <f ca="1"/>
        <v>1650000</v>
      </c>
      <c r="K141" s="104">
        <f ca="1"/>
        <v>1650000</v>
      </c>
      <c r="L141" s="104">
        <v>0</v>
      </c>
      <c r="M141">
        <f ca="1"/>
        <v>102.97</v>
      </c>
      <c r="N141">
        <v>104.77</v>
      </c>
      <c r="O141">
        <f ca="1"/>
        <v>102.965</v>
      </c>
      <c r="Q141" s="104">
        <v>1</v>
      </c>
      <c r="R141" s="104">
        <v>-295.55000000013291</v>
      </c>
      <c r="S141" s="104">
        <f ca="1"/>
        <v>0</v>
      </c>
      <c r="T141" s="104">
        <v>-295.55000000013291</v>
      </c>
      <c r="V141">
        <v>-295.55000000013291</v>
      </c>
    </row>
    <row r="142" spans="3:22" x14ac:dyDescent="0.35">
      <c r="C142" t="str">
        <f ca="1"/>
        <v>XS2156787090</v>
      </c>
      <c r="D142" t="str">
        <f ca="1"/>
        <v>VOON</v>
      </c>
      <c r="E142" t="str">
        <v>XS1141810991_SEMINARA</v>
      </c>
      <c r="F142" t="str">
        <f ca="1"/>
        <v>SSELN 1 1/4 04/16/25</v>
      </c>
      <c r="G142" t="str">
        <f ca="1"/>
        <v>Bond Corporate</v>
      </c>
      <c r="H142" t="str">
        <f ca="1"/>
        <v>BGN</v>
      </c>
      <c r="I142" t="str">
        <f ca="1"/>
        <v>BGN</v>
      </c>
      <c r="J142" s="104">
        <f ca="1"/>
        <v>-1400000</v>
      </c>
      <c r="K142" s="104">
        <f ca="1"/>
        <v>-1400000</v>
      </c>
      <c r="L142" s="104">
        <v>0</v>
      </c>
      <c r="M142">
        <f ca="1"/>
        <v>105.47</v>
      </c>
      <c r="N142">
        <v>102.74</v>
      </c>
      <c r="O142">
        <f ca="1"/>
        <v>105.512</v>
      </c>
      <c r="Q142" s="104">
        <v>1</v>
      </c>
      <c r="R142" s="104">
        <v>1250.0000000002842</v>
      </c>
      <c r="S142" s="104">
        <f ca="1"/>
        <v>0</v>
      </c>
      <c r="T142" s="104">
        <v>1250.0000000002842</v>
      </c>
      <c r="V142">
        <v>1250.0000000002842</v>
      </c>
    </row>
    <row r="143" spans="3:22" x14ac:dyDescent="0.35">
      <c r="C143" t="str">
        <f ca="1"/>
        <v>XS1293571425</v>
      </c>
      <c r="D143" t="str">
        <f ca="1"/>
        <v>VOON</v>
      </c>
      <c r="E143" t="str">
        <v>FR0013452620_VOON</v>
      </c>
      <c r="F143" t="str">
        <f ca="1"/>
        <v>STATK 1 1/2 09/21/23</v>
      </c>
      <c r="G143" t="str">
        <f ca="1"/>
        <v>Bond Corporate</v>
      </c>
      <c r="H143" t="str">
        <f ca="1"/>
        <v>BGN</v>
      </c>
      <c r="I143" t="str">
        <f ca="1"/>
        <v>BGN</v>
      </c>
      <c r="J143" s="104">
        <f ca="1"/>
        <v>-174000</v>
      </c>
      <c r="K143" s="104">
        <f ca="1"/>
        <v>-174000</v>
      </c>
      <c r="L143" s="104">
        <v>0</v>
      </c>
      <c r="M143">
        <f ca="1"/>
        <v>104.36</v>
      </c>
      <c r="N143">
        <v>101.21</v>
      </c>
      <c r="O143">
        <f ca="1"/>
        <v>104.364</v>
      </c>
      <c r="Q143" s="104">
        <v>1</v>
      </c>
      <c r="R143" s="104">
        <v>572.0000000002301</v>
      </c>
      <c r="S143" s="104">
        <f ca="1"/>
        <v>0</v>
      </c>
      <c r="T143" s="104">
        <v>572.0000000002301</v>
      </c>
      <c r="V143">
        <v>572.0000000002301</v>
      </c>
    </row>
    <row r="144" spans="3:22" x14ac:dyDescent="0.35">
      <c r="C144" t="str">
        <f ca="1"/>
        <v>XS1705553250</v>
      </c>
      <c r="D144" t="str">
        <f ca="1"/>
        <v>VOON</v>
      </c>
      <c r="E144" t="str">
        <v>FR0013248507_VOON</v>
      </c>
      <c r="F144" t="str">
        <f ca="1"/>
        <v>STEDIN 0 7/8 10/24/25</v>
      </c>
      <c r="G144" t="str">
        <f ca="1"/>
        <v>Bond Corporate</v>
      </c>
      <c r="H144" t="str">
        <f ca="1"/>
        <v>BGN</v>
      </c>
      <c r="I144" t="str">
        <f ca="1"/>
        <v>BGN</v>
      </c>
      <c r="J144" s="104">
        <f ca="1"/>
        <v>-1285000</v>
      </c>
      <c r="K144" s="104">
        <f ca="1"/>
        <v>-1285000</v>
      </c>
      <c r="L144" s="104">
        <v>0</v>
      </c>
      <c r="M144">
        <f ca="1"/>
        <v>104.77</v>
      </c>
      <c r="N144">
        <v>104.36</v>
      </c>
      <c r="O144">
        <f ca="1"/>
        <v>104.79300000000001</v>
      </c>
      <c r="Q144" s="104">
        <v>1</v>
      </c>
      <c r="R144" s="104">
        <v>-1325.0000000003013</v>
      </c>
      <c r="S144" s="104">
        <f ca="1"/>
        <v>0</v>
      </c>
      <c r="T144" s="104">
        <v>-1325.0000000003013</v>
      </c>
      <c r="V144">
        <v>-1325.0000000003013</v>
      </c>
    </row>
    <row r="145" spans="3:22" x14ac:dyDescent="0.35">
      <c r="C145" t="str">
        <f ca="1"/>
        <v>XS1141810991</v>
      </c>
      <c r="D145" t="str">
        <f ca="1"/>
        <v>SEMINARA</v>
      </c>
      <c r="E145" t="str">
        <v>FR0013248523_VOON</v>
      </c>
      <c r="F145" t="str">
        <f ca="1"/>
        <v>STEDIN 3 1/4 PERP</v>
      </c>
      <c r="G145" t="str">
        <f ca="1"/>
        <v>Bond Corporate</v>
      </c>
      <c r="H145" t="str">
        <f ca="1"/>
        <v>BGN</v>
      </c>
      <c r="I145" t="str">
        <f ca="1"/>
        <v>BGN</v>
      </c>
      <c r="J145" s="104">
        <f ca="1"/>
        <v>5000000</v>
      </c>
      <c r="K145" s="104">
        <f ca="1"/>
        <v>5000000</v>
      </c>
      <c r="L145" s="104">
        <v>0</v>
      </c>
      <c r="M145">
        <f ca="1"/>
        <v>102.74</v>
      </c>
      <c r="N145">
        <v>110.42</v>
      </c>
      <c r="O145">
        <f ca="1"/>
        <v>102.765</v>
      </c>
      <c r="Q145" s="104">
        <v>1</v>
      </c>
      <c r="R145" s="104">
        <v>1350.0000000000512</v>
      </c>
      <c r="S145" s="104">
        <f ca="1"/>
        <v>0</v>
      </c>
      <c r="T145" s="104">
        <v>1350.0000000000512</v>
      </c>
      <c r="V145">
        <v>1350.0000000000512</v>
      </c>
    </row>
    <row r="146" spans="3:22" x14ac:dyDescent="0.35">
      <c r="C146" t="str">
        <f ca="1"/>
        <v>XS2114413565</v>
      </c>
      <c r="D146" t="str">
        <f ca="1"/>
        <v>SEMINARA</v>
      </c>
      <c r="E146" t="str">
        <v>FR0013283140_VOON</v>
      </c>
      <c r="F146" t="str">
        <f ca="1"/>
        <v>T 2 7/8 PERP</v>
      </c>
      <c r="G146" t="str">
        <f ca="1"/>
        <v>Bond Corporate</v>
      </c>
      <c r="H146" t="str">
        <f ca="1"/>
        <v>BGN</v>
      </c>
      <c r="I146" t="str">
        <f ca="1"/>
        <v>BGN</v>
      </c>
      <c r="J146" s="104">
        <f ca="1"/>
        <v>1400000</v>
      </c>
      <c r="K146" s="104">
        <f ca="1"/>
        <v>1400000</v>
      </c>
      <c r="L146" s="104">
        <v>0</v>
      </c>
      <c r="M146">
        <f ca="1"/>
        <v>99.44</v>
      </c>
      <c r="N146">
        <v>113.45</v>
      </c>
      <c r="O146">
        <f ca="1"/>
        <v>99.454999999999998</v>
      </c>
      <c r="Q146" s="104">
        <v>1</v>
      </c>
      <c r="R146" s="104">
        <v>-244.99999999997613</v>
      </c>
      <c r="S146" s="104">
        <f ca="1"/>
        <v>0</v>
      </c>
      <c r="T146" s="104">
        <v>-244.99999999997613</v>
      </c>
      <c r="V146">
        <v>-244.99999999997613</v>
      </c>
    </row>
    <row r="147" spans="3:22" x14ac:dyDescent="0.35">
      <c r="C147" t="str">
        <f ca="1"/>
        <v>XS1795406575</v>
      </c>
      <c r="D147" t="str">
        <f ca="1"/>
        <v>SEMINARA</v>
      </c>
      <c r="E147" t="str">
        <v>FR0012949923_VOON</v>
      </c>
      <c r="F147" t="str">
        <f ca="1"/>
        <v>TELEFO 3 PERP</v>
      </c>
      <c r="G147" t="str">
        <f ca="1"/>
        <v>Bond Corporate</v>
      </c>
      <c r="H147" t="str">
        <f ca="1"/>
        <v>BGN</v>
      </c>
      <c r="I147" t="str">
        <f ca="1"/>
        <v>BGN</v>
      </c>
      <c r="J147" s="104">
        <f ca="1"/>
        <v>-1800000</v>
      </c>
      <c r="K147" s="104">
        <f ca="1"/>
        <v>-1800000</v>
      </c>
      <c r="L147" s="104">
        <v>0</v>
      </c>
      <c r="M147">
        <f ca="1"/>
        <v>101.91</v>
      </c>
      <c r="N147">
        <v>108.23</v>
      </c>
      <c r="O147">
        <f ca="1"/>
        <v>101.97</v>
      </c>
      <c r="Q147" s="104">
        <v>1</v>
      </c>
      <c r="R147" s="104">
        <v>-780.00000000002956</v>
      </c>
      <c r="S147" s="104">
        <f ca="1"/>
        <v>0</v>
      </c>
      <c r="T147" s="104">
        <v>-780.00000000002956</v>
      </c>
      <c r="V147">
        <v>-780.00000000002956</v>
      </c>
    </row>
    <row r="148" spans="3:22" x14ac:dyDescent="0.35">
      <c r="C148" t="str">
        <f ca="1"/>
        <v>XS1050461034</v>
      </c>
      <c r="D148" t="str">
        <f ca="1"/>
        <v>SEMINARA</v>
      </c>
      <c r="E148" t="str">
        <v>FR0013252061_SEMINARA</v>
      </c>
      <c r="F148" t="str">
        <f ca="1"/>
        <v>TELEFO 5 7/8 PERP</v>
      </c>
      <c r="G148" t="str">
        <f ca="1"/>
        <v>Bond Corporate</v>
      </c>
      <c r="H148" t="str">
        <f ca="1"/>
        <v>BGN</v>
      </c>
      <c r="I148" t="str">
        <f ca="1"/>
        <v>BGN</v>
      </c>
      <c r="J148" s="104">
        <f ca="1"/>
        <v>4300000</v>
      </c>
      <c r="K148" s="104">
        <f ca="1"/>
        <v>1300000</v>
      </c>
      <c r="L148" s="104">
        <v>0</v>
      </c>
      <c r="M148">
        <f ca="1"/>
        <v>111.5</v>
      </c>
      <c r="N148">
        <v>104.04</v>
      </c>
      <c r="O148">
        <f ca="1"/>
        <v>111.61799999999999</v>
      </c>
      <c r="Q148" s="104">
        <v>1</v>
      </c>
      <c r="R148" s="104">
        <v>-2540.99999999994</v>
      </c>
      <c r="S148" s="104">
        <f ca="1"/>
        <v>9240.0000000002074</v>
      </c>
      <c r="T148" s="104">
        <v>-2540.99999999994</v>
      </c>
      <c r="V148">
        <v>-2540.99999999994</v>
      </c>
    </row>
    <row r="149" spans="3:22" x14ac:dyDescent="0.35">
      <c r="C149" t="str">
        <f ca="1"/>
        <v>XS2056371334</v>
      </c>
      <c r="D149" t="str">
        <f ca="1"/>
        <v>SEMINARA</v>
      </c>
      <c r="E149" t="str">
        <v>IE00BL6XZW69_VOON</v>
      </c>
      <c r="F149" t="str">
        <f ca="1"/>
        <v>TELEFO 2 7/8 PERP</v>
      </c>
      <c r="G149" t="str">
        <f ca="1"/>
        <v>Bond Corporate</v>
      </c>
      <c r="H149" t="str">
        <f ca="1"/>
        <v>BGN</v>
      </c>
      <c r="I149" t="str">
        <f ca="1"/>
        <v>BGN</v>
      </c>
      <c r="J149" s="104">
        <f ca="1"/>
        <v>-2600000</v>
      </c>
      <c r="K149" s="104">
        <f ca="1"/>
        <v>-2600000</v>
      </c>
      <c r="L149" s="104">
        <v>0</v>
      </c>
      <c r="M149">
        <f ca="1"/>
        <v>99.39</v>
      </c>
      <c r="N149">
        <v>102</v>
      </c>
      <c r="O149">
        <f ca="1"/>
        <v>99.498999999999995</v>
      </c>
      <c r="Q149" s="104">
        <v>5</v>
      </c>
      <c r="R149" s="104" t="str">
        <v>-</v>
      </c>
      <c r="S149" s="104">
        <f ca="1"/>
        <v>0</v>
      </c>
      <c r="T149" s="104" t="e">
        <v>#VALUE!</v>
      </c>
      <c r="V149" t="str">
        <v>etf</v>
      </c>
    </row>
    <row r="150" spans="3:22" x14ac:dyDescent="0.35">
      <c r="C150" t="str">
        <f ca="1"/>
        <v>XS1490960942</v>
      </c>
      <c r="D150" t="str">
        <f ca="1"/>
        <v>SEMINARA</v>
      </c>
      <c r="E150" t="str">
        <v>XS1756296965_VOON</v>
      </c>
      <c r="F150" t="str">
        <f ca="1"/>
        <v>TELEFO 3 3/4 PERP</v>
      </c>
      <c r="G150" t="str">
        <f ca="1"/>
        <v>Bond Corporate</v>
      </c>
      <c r="H150" t="str">
        <f ca="1"/>
        <v>BGN</v>
      </c>
      <c r="I150" t="str">
        <f ca="1"/>
        <v>BGN</v>
      </c>
      <c r="J150" s="104">
        <f ca="1"/>
        <v>4000000</v>
      </c>
      <c r="K150" s="104">
        <f ca="1"/>
        <v>4000000</v>
      </c>
      <c r="L150" s="104">
        <v>0</v>
      </c>
      <c r="M150">
        <f ca="1"/>
        <v>103.02</v>
      </c>
      <c r="N150">
        <v>108.04</v>
      </c>
      <c r="O150">
        <f ca="1"/>
        <v>103.056</v>
      </c>
      <c r="Q150" s="104">
        <v>1</v>
      </c>
      <c r="R150" s="104">
        <v>-1214.9999999996624</v>
      </c>
      <c r="S150" s="104">
        <f ca="1"/>
        <v>0</v>
      </c>
      <c r="T150" s="104">
        <v>-1214.9999999996624</v>
      </c>
      <c r="V150">
        <v>-1214.9999999996624</v>
      </c>
    </row>
    <row r="151" spans="3:22" x14ac:dyDescent="0.35">
      <c r="C151" t="str">
        <f ca="1"/>
        <v>XS1756296965</v>
      </c>
      <c r="D151" t="str">
        <f ca="1"/>
        <v>VOON</v>
      </c>
      <c r="E151" t="str">
        <v>XS0162869076_VOON</v>
      </c>
      <c r="F151" t="str">
        <f ca="1"/>
        <v>TELEFO 1.447 01/22/27</v>
      </c>
      <c r="G151" t="str">
        <f ca="1"/>
        <v>Bond Corporate</v>
      </c>
      <c r="H151" t="str">
        <f ca="1"/>
        <v>BGN</v>
      </c>
      <c r="I151" t="str">
        <f ca="1"/>
        <v>BGN</v>
      </c>
      <c r="J151" s="104">
        <f ca="1"/>
        <v>-2700000</v>
      </c>
      <c r="K151" s="104">
        <f ca="1"/>
        <v>-2700000</v>
      </c>
      <c r="L151" s="104">
        <v>0</v>
      </c>
      <c r="M151">
        <f ca="1"/>
        <v>108.04</v>
      </c>
      <c r="N151">
        <v>160.55000000000001</v>
      </c>
      <c r="O151">
        <f ca="1"/>
        <v>108.08499999999999</v>
      </c>
      <c r="Q151" s="104">
        <v>1</v>
      </c>
      <c r="R151" s="104">
        <v>1499.9999999994884</v>
      </c>
      <c r="S151" s="104">
        <f ca="1"/>
        <v>0</v>
      </c>
      <c r="T151" s="104">
        <v>1499.9999999994884</v>
      </c>
      <c r="V151">
        <v>1499.9999999994884</v>
      </c>
    </row>
    <row r="152" spans="3:22" x14ac:dyDescent="0.35">
      <c r="C152" t="str">
        <f ca="1"/>
        <v>XS0162869076</v>
      </c>
      <c r="D152" t="str">
        <f ca="1"/>
        <v>VOON</v>
      </c>
      <c r="E152" t="str">
        <v>XS1050461034_SEMINARA</v>
      </c>
      <c r="F152" t="str">
        <f ca="1"/>
        <v>TELEFO 5 7/8 02/14/33</v>
      </c>
      <c r="G152" t="str">
        <f ca="1"/>
        <v>Bond Corporate</v>
      </c>
      <c r="H152" t="str">
        <f ca="1"/>
        <v>BGN</v>
      </c>
      <c r="I152" t="str">
        <f ca="1"/>
        <v>BGN</v>
      </c>
      <c r="J152" s="104">
        <f ca="1"/>
        <v>3000000</v>
      </c>
      <c r="K152" s="104">
        <f ca="1"/>
        <v>3000000</v>
      </c>
      <c r="L152" s="104">
        <v>-3000000</v>
      </c>
      <c r="M152">
        <f ca="1"/>
        <v>160.55000000000001</v>
      </c>
      <c r="N152">
        <v>111.5</v>
      </c>
      <c r="O152">
        <f ca="1"/>
        <v>160.6</v>
      </c>
      <c r="Q152" s="104">
        <v>1</v>
      </c>
      <c r="R152" s="104">
        <v>5073.9999999997844</v>
      </c>
      <c r="S152" s="104">
        <f ca="1"/>
        <v>0</v>
      </c>
      <c r="T152" s="104">
        <v>12634.000000000071</v>
      </c>
      <c r="V152">
        <v>5073.9999999997844</v>
      </c>
    </row>
    <row r="153" spans="3:22" x14ac:dyDescent="0.35">
      <c r="C153" t="str">
        <f ca="1"/>
        <v>XS2082429890</v>
      </c>
      <c r="D153" t="str">
        <f ca="1"/>
        <v>SEMINARA</v>
      </c>
      <c r="E153" t="str">
        <v>XS2056371334_SEMINARA</v>
      </c>
      <c r="F153" t="str">
        <f ca="1"/>
        <v>TELIAS 1 3/8 05/11/81</v>
      </c>
      <c r="G153" t="str">
        <f ca="1"/>
        <v>Bond Corporate</v>
      </c>
      <c r="H153" t="str">
        <f ca="1"/>
        <v>BGN</v>
      </c>
      <c r="I153" t="str">
        <f ca="1"/>
        <v>BGN</v>
      </c>
      <c r="J153" s="104">
        <f ca="1"/>
        <v>-1565000</v>
      </c>
      <c r="K153" s="104">
        <f ca="1"/>
        <v>-1565000</v>
      </c>
      <c r="L153" s="104">
        <v>0</v>
      </c>
      <c r="M153">
        <f ca="1"/>
        <v>100.16</v>
      </c>
      <c r="N153">
        <v>99.39</v>
      </c>
      <c r="O153">
        <f ca="1"/>
        <v>100.233</v>
      </c>
      <c r="Q153" s="104">
        <v>1</v>
      </c>
      <c r="R153" s="104">
        <v>-2833.9999999998608</v>
      </c>
      <c r="S153" s="104">
        <f ca="1"/>
        <v>0</v>
      </c>
      <c r="T153" s="104">
        <v>-2833.9999999998608</v>
      </c>
      <c r="V153">
        <v>-2833.9999999998608</v>
      </c>
    </row>
    <row r="154" spans="3:22" x14ac:dyDescent="0.35">
      <c r="C154" t="str">
        <f ca="1"/>
        <v>XS1590787799</v>
      </c>
      <c r="D154" t="str">
        <f ca="1"/>
        <v>SEMINARA</v>
      </c>
      <c r="E154" t="str">
        <v>XS1490960942_SEMINARA</v>
      </c>
      <c r="F154" t="str">
        <f ca="1"/>
        <v>TELIAS 3 04/04/78</v>
      </c>
      <c r="G154" t="str">
        <f ca="1"/>
        <v>Bond Corporate</v>
      </c>
      <c r="H154" t="str">
        <f ca="1"/>
        <v>BGN</v>
      </c>
      <c r="I154" t="str">
        <f ca="1"/>
        <v>BGN</v>
      </c>
      <c r="J154" s="104">
        <f ca="1"/>
        <v>-1840000</v>
      </c>
      <c r="K154" s="104">
        <f ca="1"/>
        <v>-1840000</v>
      </c>
      <c r="L154" s="104">
        <v>0</v>
      </c>
      <c r="M154">
        <f ca="1"/>
        <v>105.25</v>
      </c>
      <c r="N154">
        <v>103.02</v>
      </c>
      <c r="O154">
        <f ca="1"/>
        <v>105.337</v>
      </c>
      <c r="Q154" s="104">
        <v>1</v>
      </c>
      <c r="R154" s="104">
        <v>1440.0000000000548</v>
      </c>
      <c r="S154" s="104">
        <f ca="1"/>
        <v>0</v>
      </c>
      <c r="T154" s="104">
        <v>1440.0000000000548</v>
      </c>
      <c r="V154">
        <v>1440.0000000000548</v>
      </c>
    </row>
    <row r="155" spans="3:22" x14ac:dyDescent="0.35">
      <c r="C155" t="str">
        <f ca="1"/>
        <v>XS2262065159</v>
      </c>
      <c r="D155" t="str">
        <f ca="1"/>
        <v>VOON</v>
      </c>
      <c r="E155" t="str">
        <v>XS1795406575_SEMINARA</v>
      </c>
      <c r="F155" t="str">
        <f ca="1"/>
        <v>TENN 0 1/8 11/30/32</v>
      </c>
      <c r="G155" t="str">
        <f ca="1"/>
        <v>Bond Corporate</v>
      </c>
      <c r="H155" t="str">
        <f ca="1"/>
        <v>BGN</v>
      </c>
      <c r="I155" t="str">
        <f ca="1"/>
        <v>BGN</v>
      </c>
      <c r="J155" s="104">
        <f ca="1"/>
        <v>3000000</v>
      </c>
      <c r="K155" s="104">
        <f ca="1"/>
        <v>1500000</v>
      </c>
      <c r="L155" s="104">
        <v>0</v>
      </c>
      <c r="M155">
        <f ca="1"/>
        <v>99.24</v>
      </c>
      <c r="N155">
        <v>101.91</v>
      </c>
      <c r="O155" t="str">
        <f ca="1"/>
        <v>#N/A Requesting Data...</v>
      </c>
      <c r="Q155" s="104">
        <v>1</v>
      </c>
      <c r="R155" s="104">
        <v>-1080.0000000000409</v>
      </c>
      <c r="S155" s="104">
        <f ca="1"/>
        <v>0</v>
      </c>
      <c r="T155" s="104">
        <v>-1080.0000000000409</v>
      </c>
      <c r="V155">
        <v>-1080.0000000000409</v>
      </c>
    </row>
    <row r="156" spans="3:22" x14ac:dyDescent="0.35">
      <c r="C156" t="str">
        <f ca="1"/>
        <v>XS2262065233</v>
      </c>
      <c r="D156" t="str">
        <f ca="1"/>
        <v>VOON</v>
      </c>
      <c r="E156" t="str">
        <v>XS1590787799_SEMINARA</v>
      </c>
      <c r="F156" t="str">
        <f ca="1"/>
        <v>TENN 0 1/2 11/30/40</v>
      </c>
      <c r="G156" t="str">
        <f ca="1"/>
        <v>Bond Corporate</v>
      </c>
      <c r="H156" t="str">
        <f ca="1"/>
        <v>BGN</v>
      </c>
      <c r="I156" t="str">
        <f ca="1"/>
        <v>BGN</v>
      </c>
      <c r="J156" s="104">
        <f ca="1"/>
        <v>2000000</v>
      </c>
      <c r="K156" s="104">
        <f ca="1"/>
        <v>1000000</v>
      </c>
      <c r="L156" s="104">
        <v>0</v>
      </c>
      <c r="M156">
        <f ca="1"/>
        <v>99.43</v>
      </c>
      <c r="N156">
        <v>105.25</v>
      </c>
      <c r="O156" t="str">
        <f ca="1"/>
        <v>#N/A Requesting Data...</v>
      </c>
      <c r="Q156" s="104">
        <v>1</v>
      </c>
      <c r="R156" s="104">
        <v>-1600.8000000000604</v>
      </c>
      <c r="S156" s="104">
        <f ca="1"/>
        <v>0</v>
      </c>
      <c r="T156" s="104">
        <v>-1600.8000000000604</v>
      </c>
      <c r="V156">
        <v>-1600.8000000000604</v>
      </c>
    </row>
    <row r="157" spans="3:22" x14ac:dyDescent="0.35">
      <c r="C157" t="str">
        <f ca="1"/>
        <v>XS1974787480</v>
      </c>
      <c r="D157" t="str">
        <f ca="1"/>
        <v>SEMINARA</v>
      </c>
      <c r="E157" t="str">
        <v>XS2082429890_SEMINARA</v>
      </c>
      <c r="F157" t="str">
        <f ca="1"/>
        <v>TOTAL 1 3/4 PERP</v>
      </c>
      <c r="G157" t="str">
        <f ca="1"/>
        <v>Bond Corporate</v>
      </c>
      <c r="H157" t="str">
        <f ca="1"/>
        <v>BGN</v>
      </c>
      <c r="I157" t="str">
        <f ca="1"/>
        <v>BGN</v>
      </c>
      <c r="J157" s="104">
        <f ca="1"/>
        <v>593000</v>
      </c>
      <c r="K157" s="104">
        <f ca="1"/>
        <v>2589000</v>
      </c>
      <c r="L157" s="104">
        <v>0</v>
      </c>
      <c r="M157">
        <f ca="1"/>
        <v>102.04</v>
      </c>
      <c r="N157">
        <v>100.16</v>
      </c>
      <c r="O157">
        <f ca="1"/>
        <v>102.054</v>
      </c>
      <c r="Q157" s="104">
        <v>1</v>
      </c>
      <c r="R157" s="104">
        <v>-1142.4500000001174</v>
      </c>
      <c r="S157" s="104">
        <f ca="1"/>
        <v>4471.0400000000745</v>
      </c>
      <c r="T157" s="104">
        <v>-1142.4500000001174</v>
      </c>
      <c r="V157">
        <v>-1142.4500000001174</v>
      </c>
    </row>
    <row r="158" spans="3:22" x14ac:dyDescent="0.35">
      <c r="C158" t="str">
        <f ca="1"/>
        <v>XS1195201931</v>
      </c>
      <c r="D158" t="str">
        <f ca="1"/>
        <v>SEMINARA</v>
      </c>
      <c r="E158" t="str">
        <v>XS2262065159_VOON</v>
      </c>
      <c r="F158" t="str">
        <f ca="1"/>
        <v>TOTAL 2 1/4 PERP</v>
      </c>
      <c r="G158" t="str">
        <f ca="1"/>
        <v>Bond Corporate</v>
      </c>
      <c r="H158" t="str">
        <f ca="1"/>
        <v>BGN</v>
      </c>
      <c r="I158" t="str">
        <f ca="1"/>
        <v>BGN</v>
      </c>
      <c r="J158" s="104">
        <f ca="1"/>
        <v>-748000</v>
      </c>
      <c r="K158" s="104">
        <f ca="1"/>
        <v>-748000</v>
      </c>
      <c r="L158" s="104">
        <v>-1000000</v>
      </c>
      <c r="M158">
        <f ca="1"/>
        <v>100.68</v>
      </c>
      <c r="N158">
        <v>99.24</v>
      </c>
      <c r="O158">
        <f ca="1"/>
        <v>100.649</v>
      </c>
      <c r="Q158" s="104">
        <v>1</v>
      </c>
      <c r="R158" s="104">
        <v>-1619.9999999996351</v>
      </c>
      <c r="S158" s="104">
        <f ca="1"/>
        <v>0</v>
      </c>
      <c r="T158" s="104">
        <v>-1479.9999999996771</v>
      </c>
      <c r="V158">
        <v>-1619.9999999996351</v>
      </c>
    </row>
    <row r="159" spans="3:22" x14ac:dyDescent="0.35">
      <c r="C159" t="str">
        <f ca="1"/>
        <v>XS2004381245</v>
      </c>
      <c r="D159" t="str">
        <f ca="1"/>
        <v>VOON</v>
      </c>
      <c r="E159" t="str">
        <v>XS2262065233_VOON</v>
      </c>
      <c r="F159" t="str">
        <f ca="1"/>
        <v>TOTAL 1.535 05/31/39</v>
      </c>
      <c r="G159" t="str">
        <f ca="1"/>
        <v>Bond Corporate</v>
      </c>
      <c r="H159" t="str">
        <f ca="1"/>
        <v>BGN</v>
      </c>
      <c r="I159" t="str">
        <f ca="1"/>
        <v>BGN</v>
      </c>
      <c r="J159" s="104">
        <f ca="1"/>
        <v>1000000</v>
      </c>
      <c r="K159" s="104">
        <f ca="1"/>
        <v>1000000</v>
      </c>
      <c r="L159" s="104">
        <v>-500000</v>
      </c>
      <c r="M159">
        <f ca="1"/>
        <v>116.29</v>
      </c>
      <c r="N159">
        <v>99.43</v>
      </c>
      <c r="O159">
        <f ca="1"/>
        <v>116.42700000000001</v>
      </c>
      <c r="Q159" s="104">
        <v>1</v>
      </c>
      <c r="R159" s="104">
        <v>-3360.0000000001273</v>
      </c>
      <c r="S159" s="104">
        <f ca="1"/>
        <v>0</v>
      </c>
      <c r="T159" s="104">
        <v>-2170.0000000001296</v>
      </c>
      <c r="V159">
        <v>-3360.0000000001273</v>
      </c>
    </row>
    <row r="160" spans="3:22" x14ac:dyDescent="0.35">
      <c r="C160" t="str">
        <f ca="1"/>
        <v>XS1413581205</v>
      </c>
      <c r="D160" t="str">
        <f ca="1"/>
        <v>SEMINARA</v>
      </c>
      <c r="E160" t="str">
        <v>XS2033351995_VOON</v>
      </c>
      <c r="F160" t="str">
        <f ca="1"/>
        <v>TOTAL 3 7/8 PERP</v>
      </c>
      <c r="G160" t="str">
        <f ca="1"/>
        <v>Bond Corporate</v>
      </c>
      <c r="H160" t="str">
        <f ca="1"/>
        <v>BGN</v>
      </c>
      <c r="I160" t="str">
        <f ca="1"/>
        <v>BGN</v>
      </c>
      <c r="J160" s="104">
        <f ca="1"/>
        <v>5950000</v>
      </c>
      <c r="K160" s="104">
        <f ca="1"/>
        <v>5950000</v>
      </c>
      <c r="L160" s="104">
        <v>0</v>
      </c>
      <c r="M160">
        <f ca="1"/>
        <v>105.09</v>
      </c>
      <c r="N160">
        <v>101.55</v>
      </c>
      <c r="O160">
        <f ca="1"/>
        <v>105.098</v>
      </c>
      <c r="Q160" s="104">
        <v>1</v>
      </c>
      <c r="R160" s="104">
        <v>304.00000000010152</v>
      </c>
      <c r="S160" s="104">
        <f ca="1"/>
        <v>0</v>
      </c>
      <c r="T160" s="104">
        <v>304.00000000010152</v>
      </c>
      <c r="V160">
        <v>304.00000000010152</v>
      </c>
    </row>
    <row r="161" spans="3:22" x14ac:dyDescent="0.35">
      <c r="C161" t="str">
        <f ca="1"/>
        <v>XS1139315581</v>
      </c>
      <c r="D161" t="str">
        <f ca="1"/>
        <v>VOON</v>
      </c>
      <c r="E161" t="str">
        <v>XS2209023402_VOON</v>
      </c>
      <c r="F161" t="str">
        <f ca="1"/>
        <v>TOTAL 1 3/8 03/19/25</v>
      </c>
      <c r="G161" t="str">
        <f ca="1"/>
        <v>Bond Corporate</v>
      </c>
      <c r="H161" t="str">
        <f ca="1"/>
        <v>BGN</v>
      </c>
      <c r="I161" t="str">
        <f ca="1"/>
        <v>BGN</v>
      </c>
      <c r="J161" s="104">
        <f ca="1"/>
        <v>5000000</v>
      </c>
      <c r="K161" s="104">
        <f ca="1"/>
        <v>5000000</v>
      </c>
      <c r="L161" s="104">
        <v>0</v>
      </c>
      <c r="M161">
        <f ca="1"/>
        <v>107.61</v>
      </c>
      <c r="N161">
        <v>105.41</v>
      </c>
      <c r="O161">
        <f ca="1"/>
        <v>107.631</v>
      </c>
      <c r="Q161" s="104">
        <v>1</v>
      </c>
      <c r="R161" s="104">
        <v>-272.61999999999529</v>
      </c>
      <c r="S161" s="104">
        <f ca="1"/>
        <v>0</v>
      </c>
      <c r="T161" s="104">
        <v>-272.61999999999529</v>
      </c>
      <c r="V161">
        <v>-272.61999999999529</v>
      </c>
    </row>
    <row r="162" spans="3:22" x14ac:dyDescent="0.35">
      <c r="C162" t="str">
        <f ca="1"/>
        <v>XS1048519679</v>
      </c>
      <c r="D162" t="str">
        <f ca="1"/>
        <v>VOON</v>
      </c>
      <c r="E162" t="str">
        <v>XS1652866002_VOON</v>
      </c>
      <c r="F162" t="str">
        <f ca="1"/>
        <v>TOTAL 2 1/2 03/25/26</v>
      </c>
      <c r="G162" t="str">
        <f ca="1"/>
        <v>Bond Corporate</v>
      </c>
      <c r="H162" t="str">
        <f ca="1"/>
        <v>BGN</v>
      </c>
      <c r="I162" t="str">
        <f ca="1"/>
        <v>BGN</v>
      </c>
      <c r="J162" s="104">
        <f ca="1"/>
        <v>-900000</v>
      </c>
      <c r="K162" s="104">
        <f ca="1"/>
        <v>-900000</v>
      </c>
      <c r="L162" s="104">
        <v>0</v>
      </c>
      <c r="M162">
        <f ca="1"/>
        <v>115.2</v>
      </c>
      <c r="N162">
        <v>109.66</v>
      </c>
      <c r="O162">
        <f ca="1"/>
        <v>115.223</v>
      </c>
      <c r="Q162" s="104">
        <v>1</v>
      </c>
      <c r="R162" s="104">
        <v>540.00000000002046</v>
      </c>
      <c r="S162" s="104">
        <f ca="1"/>
        <v>0</v>
      </c>
      <c r="T162" s="104">
        <v>540.00000000002046</v>
      </c>
      <c r="V162">
        <v>540.00000000002046</v>
      </c>
    </row>
    <row r="163" spans="3:22" x14ac:dyDescent="0.35">
      <c r="C163" t="str">
        <f ca="1"/>
        <v>XS2033351995</v>
      </c>
      <c r="D163" t="str">
        <f ca="1"/>
        <v>VOON</v>
      </c>
      <c r="E163" t="str">
        <v>XS1139315581_VOON</v>
      </c>
      <c r="F163" t="str">
        <f ca="1"/>
        <v>TRNIM 0 1/8 07/25/25</v>
      </c>
      <c r="G163" t="str">
        <f ca="1"/>
        <v>Bond Corporate</v>
      </c>
      <c r="H163" t="str">
        <f ca="1"/>
        <v>BGN</v>
      </c>
      <c r="I163" t="str">
        <f ca="1"/>
        <v>BGN</v>
      </c>
      <c r="J163" s="104">
        <f ca="1"/>
        <v>1900000</v>
      </c>
      <c r="K163" s="104">
        <f ca="1"/>
        <v>1900000</v>
      </c>
      <c r="L163" s="104">
        <v>0</v>
      </c>
      <c r="M163">
        <f ca="1"/>
        <v>101.55</v>
      </c>
      <c r="N163">
        <v>107.61</v>
      </c>
      <c r="O163">
        <f ca="1"/>
        <v>101.566</v>
      </c>
      <c r="Q163" s="104">
        <v>1</v>
      </c>
      <c r="R163" s="104">
        <v>1050.0000000000398</v>
      </c>
      <c r="S163" s="104">
        <f ca="1"/>
        <v>0</v>
      </c>
      <c r="T163" s="104">
        <v>1050.0000000000398</v>
      </c>
      <c r="V163">
        <v>1050.0000000000398</v>
      </c>
    </row>
    <row r="164" spans="3:22" x14ac:dyDescent="0.35">
      <c r="C164" t="str">
        <f ca="1"/>
        <v>XS2209023402</v>
      </c>
      <c r="D164" t="str">
        <f ca="1"/>
        <v>VOON</v>
      </c>
      <c r="E164" t="str">
        <v>XS2004381245_VOON</v>
      </c>
      <c r="F164" t="str">
        <f ca="1"/>
        <v>TRNIM 0 3/4 07/24/32</v>
      </c>
      <c r="G164" t="str">
        <f ca="1"/>
        <v>Bond Corporate</v>
      </c>
      <c r="H164" t="str">
        <f ca="1"/>
        <v>BGN</v>
      </c>
      <c r="I164" t="str">
        <f ca="1"/>
        <v>BGN</v>
      </c>
      <c r="J164" s="104">
        <f ca="1"/>
        <v>-317000</v>
      </c>
      <c r="K164" s="104">
        <f ca="1"/>
        <v>-317000</v>
      </c>
      <c r="L164" s="104">
        <v>0</v>
      </c>
      <c r="M164">
        <f ca="1"/>
        <v>105.41</v>
      </c>
      <c r="N164">
        <v>116.29</v>
      </c>
      <c r="O164">
        <f ca="1"/>
        <v>105.496</v>
      </c>
      <c r="Q164" s="104">
        <v>1</v>
      </c>
      <c r="R164" s="104">
        <v>1370.0000000000045</v>
      </c>
      <c r="S164" s="104">
        <f ca="1"/>
        <v>0</v>
      </c>
      <c r="T164" s="104">
        <v>1370.0000000000045</v>
      </c>
      <c r="V164">
        <v>1370.0000000000045</v>
      </c>
    </row>
    <row r="165" spans="3:22" x14ac:dyDescent="0.35">
      <c r="C165" t="str">
        <f ca="1"/>
        <v>XS2105110329</v>
      </c>
      <c r="D165" t="str">
        <f ca="1"/>
        <v>CAZZANIGA</v>
      </c>
      <c r="E165" t="str">
        <v>XS1048519679_VOON</v>
      </c>
      <c r="F165" t="str">
        <f ca="1"/>
        <v>UBIIM 5 7/8 PERP</v>
      </c>
      <c r="G165" t="str">
        <f ca="1"/>
        <v>Bond Corporate</v>
      </c>
      <c r="H165" t="str">
        <f ca="1"/>
        <v>BGN</v>
      </c>
      <c r="I165" t="str">
        <f ca="1"/>
        <v>BGN</v>
      </c>
      <c r="J165" s="104">
        <f ca="1"/>
        <v>-200000</v>
      </c>
      <c r="K165" s="104">
        <f ca="1"/>
        <v>-200000</v>
      </c>
      <c r="L165" s="104">
        <v>0</v>
      </c>
      <c r="M165">
        <f ca="1"/>
        <v>103.07</v>
      </c>
      <c r="N165">
        <v>115.2</v>
      </c>
      <c r="O165">
        <f ca="1"/>
        <v>103.254</v>
      </c>
      <c r="Q165" s="104">
        <v>1</v>
      </c>
      <c r="R165" s="104">
        <v>-206.99999999996521</v>
      </c>
      <c r="S165" s="104">
        <f ca="1"/>
        <v>0</v>
      </c>
      <c r="T165" s="104">
        <v>-206.99999999996521</v>
      </c>
      <c r="V165">
        <v>-206.99999999996521</v>
      </c>
    </row>
    <row r="166" spans="3:22" x14ac:dyDescent="0.35">
      <c r="C166" t="str">
        <f ca="1"/>
        <v>XS1882681452</v>
      </c>
      <c r="D166" t="str">
        <f ca="1"/>
        <v>VOON</v>
      </c>
      <c r="E166" t="str">
        <v>XS1974787480_SEMINARA</v>
      </c>
      <c r="F166" t="str">
        <f ca="1"/>
        <v>VGASDE 1 1/2 09/25/28</v>
      </c>
      <c r="G166" t="str">
        <f ca="1"/>
        <v>Bond Corporate</v>
      </c>
      <c r="H166" t="str">
        <f ca="1"/>
        <v>BGN</v>
      </c>
      <c r="I166" t="str">
        <f ca="1"/>
        <v>BGN</v>
      </c>
      <c r="J166" s="104">
        <f ca="1"/>
        <v>-4000000</v>
      </c>
      <c r="K166" s="104">
        <f ca="1"/>
        <v>-4000000</v>
      </c>
      <c r="L166" s="104">
        <v>0</v>
      </c>
      <c r="M166">
        <f ca="1"/>
        <v>111.96</v>
      </c>
      <c r="N166">
        <v>102.04</v>
      </c>
      <c r="O166">
        <f ca="1"/>
        <v>111.979</v>
      </c>
      <c r="Q166" s="104">
        <v>1</v>
      </c>
      <c r="R166" s="104">
        <v>83.019999999975056</v>
      </c>
      <c r="S166" s="104">
        <f ca="1"/>
        <v>0</v>
      </c>
      <c r="T166" s="104">
        <v>83.019999999975056</v>
      </c>
      <c r="V166">
        <v>83.019999999975056</v>
      </c>
    </row>
    <row r="167" spans="3:22" x14ac:dyDescent="0.35">
      <c r="C167" t="str">
        <f ca="1"/>
        <v>FR0013394681</v>
      </c>
      <c r="D167" t="str">
        <f ca="1"/>
        <v>VOON</v>
      </c>
      <c r="E167" t="str">
        <v>XS1195201931_SEMINARA</v>
      </c>
      <c r="F167" t="str">
        <f ca="1"/>
        <v>VIEFP 0.892 01/14/24</v>
      </c>
      <c r="G167" t="str">
        <f ca="1"/>
        <v>Bond Corporate</v>
      </c>
      <c r="H167" t="str">
        <f ca="1"/>
        <v>BGN</v>
      </c>
      <c r="I167" t="str">
        <f ca="1"/>
        <v>BGN</v>
      </c>
      <c r="J167" s="104">
        <f ca="1"/>
        <v>0</v>
      </c>
      <c r="K167" s="104">
        <f ca="1"/>
        <v>1200000</v>
      </c>
      <c r="L167" s="104">
        <v>0</v>
      </c>
      <c r="M167">
        <f ca="1"/>
        <v>0</v>
      </c>
      <c r="N167">
        <v>100.68</v>
      </c>
      <c r="O167" t="str">
        <f ca="1"/>
        <v>#N/A Requesting Data...</v>
      </c>
      <c r="Q167" s="104">
        <v>1</v>
      </c>
      <c r="R167" s="104">
        <v>231.88000000004425</v>
      </c>
      <c r="S167" s="104">
        <f ca="1"/>
        <v>0</v>
      </c>
      <c r="T167" s="104">
        <v>231.88000000004425</v>
      </c>
      <c r="V167">
        <v>231.88000000004425</v>
      </c>
    </row>
    <row r="168" spans="3:22" x14ac:dyDescent="0.35">
      <c r="C168" t="str">
        <f ca="1"/>
        <v>FR0013476595</v>
      </c>
      <c r="D168" t="str">
        <f ca="1"/>
        <v>VOON</v>
      </c>
      <c r="E168" t="str">
        <v>XS1413581205_SEMINARA</v>
      </c>
      <c r="F168" t="str">
        <f ca="1"/>
        <v>VIEFP 0.664 01/15/31</v>
      </c>
      <c r="G168" t="str">
        <f ca="1"/>
        <v>Bond Corporate</v>
      </c>
      <c r="H168" t="str">
        <f ca="1"/>
        <v>BGN</v>
      </c>
      <c r="I168" t="str">
        <f ca="1"/>
        <v>BGN</v>
      </c>
      <c r="J168" s="104">
        <f ca="1"/>
        <v>-4000000</v>
      </c>
      <c r="K168" s="104">
        <f ca="1"/>
        <v>-4000000</v>
      </c>
      <c r="L168" s="104">
        <v>0</v>
      </c>
      <c r="M168">
        <f ca="1"/>
        <v>103.61</v>
      </c>
      <c r="N168">
        <v>105.09</v>
      </c>
      <c r="O168">
        <f ca="1"/>
        <v>103.654</v>
      </c>
      <c r="Q168" s="104">
        <v>1</v>
      </c>
      <c r="R168" s="104">
        <v>475.99999999973619</v>
      </c>
      <c r="S168" s="104">
        <f ca="1"/>
        <v>0</v>
      </c>
      <c r="T168" s="104">
        <v>475.99999999973619</v>
      </c>
      <c r="V168">
        <v>475.99999999973619</v>
      </c>
    </row>
    <row r="169" spans="3:22" x14ac:dyDescent="0.35">
      <c r="C169" t="str">
        <f ca="1"/>
        <v>FR0013507704</v>
      </c>
      <c r="D169" t="str">
        <f ca="1"/>
        <v>VOON</v>
      </c>
      <c r="E169" t="str">
        <v>XS2105110329_CAZZANIGA</v>
      </c>
      <c r="F169" t="str">
        <f ca="1"/>
        <v>VIEFP 1 1/4 04/15/28</v>
      </c>
      <c r="G169" t="str">
        <f ca="1"/>
        <v>Bond Corporate</v>
      </c>
      <c r="H169" t="str">
        <f ca="1"/>
        <v>BGN</v>
      </c>
      <c r="I169" t="str">
        <f ca="1"/>
        <v>BGN</v>
      </c>
      <c r="J169" s="104">
        <f ca="1"/>
        <v>-2300000</v>
      </c>
      <c r="K169" s="104">
        <f ca="1"/>
        <v>-2300000</v>
      </c>
      <c r="L169" s="104">
        <v>0</v>
      </c>
      <c r="M169">
        <f ca="1"/>
        <v>108.32</v>
      </c>
      <c r="N169">
        <v>103.07</v>
      </c>
      <c r="O169">
        <f ca="1"/>
        <v>108.371</v>
      </c>
      <c r="Q169" s="104">
        <v>1</v>
      </c>
      <c r="R169" s="104">
        <v>-368.00000000002342</v>
      </c>
      <c r="S169" s="104">
        <f ca="1"/>
        <v>0</v>
      </c>
      <c r="T169" s="104">
        <v>-368.00000000002342</v>
      </c>
      <c r="V169">
        <v>-368.00000000002342</v>
      </c>
    </row>
    <row r="170" spans="3:22" x14ac:dyDescent="0.35">
      <c r="C170" t="str">
        <f ca="1"/>
        <v>FR0013246733</v>
      </c>
      <c r="D170" t="str">
        <f ca="1"/>
        <v>VOON</v>
      </c>
      <c r="E170" t="str">
        <v>FR0013210408_VOON</v>
      </c>
      <c r="F170" t="str">
        <f ca="1"/>
        <v>VIEFP 1.496 11/30/26</v>
      </c>
      <c r="G170" t="str">
        <f ca="1"/>
        <v>Bond Corporate</v>
      </c>
      <c r="H170" t="str">
        <f ca="1"/>
        <v>BGN</v>
      </c>
      <c r="I170" t="str">
        <f ca="1"/>
        <v>BGN</v>
      </c>
      <c r="J170" s="104">
        <f ca="1"/>
        <v>-500000</v>
      </c>
      <c r="K170" s="104">
        <f ca="1"/>
        <v>-500000</v>
      </c>
      <c r="L170" s="104">
        <v>0</v>
      </c>
      <c r="M170">
        <f ca="1"/>
        <v>109.57</v>
      </c>
      <c r="N170">
        <v>101.41</v>
      </c>
      <c r="O170">
        <f ca="1"/>
        <v>109.583</v>
      </c>
      <c r="Q170" s="104">
        <v>1</v>
      </c>
      <c r="R170" s="104">
        <v>99.000000000089017</v>
      </c>
      <c r="S170" s="104">
        <f ca="1"/>
        <v>0</v>
      </c>
      <c r="T170" s="104">
        <v>99.000000000089017</v>
      </c>
      <c r="V170">
        <v>99.000000000089017</v>
      </c>
    </row>
    <row r="171" spans="3:22" x14ac:dyDescent="0.35">
      <c r="C171" t="str">
        <f ca="1"/>
        <v>FR0013210408</v>
      </c>
      <c r="D171" t="str">
        <f ca="1"/>
        <v>VOON</v>
      </c>
      <c r="E171" t="str">
        <v>FR0013476595_VOON</v>
      </c>
      <c r="F171" t="str">
        <f ca="1"/>
        <v>VIEFP 0.314 10/04/23</v>
      </c>
      <c r="G171" t="str">
        <f ca="1"/>
        <v>Bond Corporate</v>
      </c>
      <c r="H171" t="str">
        <f ca="1"/>
        <v>BGN</v>
      </c>
      <c r="I171" t="str">
        <f ca="1"/>
        <v>BGN</v>
      </c>
      <c r="J171" s="104">
        <f ca="1"/>
        <v>900000</v>
      </c>
      <c r="K171" s="104">
        <f ca="1"/>
        <v>900000</v>
      </c>
      <c r="L171" s="104">
        <v>0</v>
      </c>
      <c r="M171">
        <f ca="1"/>
        <v>101.41</v>
      </c>
      <c r="N171">
        <v>103.61</v>
      </c>
      <c r="O171">
        <f ca="1"/>
        <v>101.42100000000001</v>
      </c>
      <c r="Q171" s="104">
        <v>1</v>
      </c>
      <c r="R171" s="104">
        <v>-1759.9999999998772</v>
      </c>
      <c r="S171" s="104">
        <f ca="1"/>
        <v>0</v>
      </c>
      <c r="T171" s="104">
        <v>-1759.9999999998772</v>
      </c>
      <c r="V171">
        <v>-1759.9999999998772</v>
      </c>
    </row>
    <row r="172" spans="3:22" x14ac:dyDescent="0.35">
      <c r="C172" t="str">
        <f ca="1"/>
        <v>FR00140007L3</v>
      </c>
      <c r="D172" t="str">
        <f ca="1"/>
        <v>SEMINARA</v>
      </c>
      <c r="E172" t="str">
        <v>FR0013394681_VOON</v>
      </c>
      <c r="F172" t="str">
        <f ca="1"/>
        <v>VIEFP 2 1/2 PERP</v>
      </c>
      <c r="G172" t="str">
        <f ca="1"/>
        <v>Bond Corporate</v>
      </c>
      <c r="H172" t="str">
        <f ca="1"/>
        <v>BGN</v>
      </c>
      <c r="I172" t="str">
        <f ca="1"/>
        <v>BGN</v>
      </c>
      <c r="J172" s="104">
        <f ca="1"/>
        <v>7400000</v>
      </c>
      <c r="K172" s="104">
        <f ca="1"/>
        <v>7400000</v>
      </c>
      <c r="L172" s="104">
        <v>1200000</v>
      </c>
      <c r="M172">
        <f ca="1"/>
        <v>99.4</v>
      </c>
      <c r="N172">
        <v>0</v>
      </c>
      <c r="O172">
        <f ca="1"/>
        <v>99.375</v>
      </c>
      <c r="Q172" s="104">
        <v>1</v>
      </c>
      <c r="R172" s="104">
        <v>0</v>
      </c>
      <c r="S172" s="104">
        <f ca="1"/>
        <v>0</v>
      </c>
      <c r="T172" s="104">
        <v>1488.0000000001132</v>
      </c>
      <c r="V172">
        <v>0</v>
      </c>
    </row>
    <row r="173" spans="3:22" x14ac:dyDescent="0.35">
      <c r="C173" t="str">
        <f ca="1"/>
        <v>FR0010033381</v>
      </c>
      <c r="D173" t="str">
        <f ca="1"/>
        <v>VOON</v>
      </c>
      <c r="E173" t="str">
        <v>FR0013507704_VOON</v>
      </c>
      <c r="F173" t="str">
        <f ca="1"/>
        <v>VIEFP 6 1/8 11/25/33</v>
      </c>
      <c r="G173" t="str">
        <f ca="1"/>
        <v>Bond Corporate</v>
      </c>
      <c r="H173" t="str">
        <f ca="1"/>
        <v>BGN</v>
      </c>
      <c r="I173" t="str">
        <f ca="1"/>
        <v>BGN</v>
      </c>
      <c r="J173" s="104">
        <f ca="1"/>
        <v>600000</v>
      </c>
      <c r="K173" s="104">
        <f ca="1"/>
        <v>600000</v>
      </c>
      <c r="L173" s="104">
        <v>0</v>
      </c>
      <c r="M173">
        <f ca="1"/>
        <v>170.71</v>
      </c>
      <c r="N173">
        <v>108.32</v>
      </c>
      <c r="O173">
        <f ca="1"/>
        <v>170.73400000000001</v>
      </c>
      <c r="Q173" s="104">
        <v>1</v>
      </c>
      <c r="R173" s="104">
        <v>-1173.0000000000443</v>
      </c>
      <c r="S173" s="104">
        <f ca="1"/>
        <v>0</v>
      </c>
      <c r="T173" s="104">
        <v>-1173.0000000000443</v>
      </c>
      <c r="V173">
        <v>-1173.0000000000443</v>
      </c>
    </row>
    <row r="174" spans="3:22" x14ac:dyDescent="0.35">
      <c r="C174" t="str">
        <f ca="1"/>
        <v>FR0012663169</v>
      </c>
      <c r="D174" t="str">
        <f ca="1"/>
        <v>VOON</v>
      </c>
      <c r="E174" t="str">
        <v>FR0013246733_VOON</v>
      </c>
      <c r="F174" t="str">
        <f ca="1"/>
        <v>VIEFP 1.59 01/10/28</v>
      </c>
      <c r="G174" t="str">
        <f ca="1"/>
        <v>Bond Corporate</v>
      </c>
      <c r="H174" t="str">
        <f ca="1"/>
        <v>BGN</v>
      </c>
      <c r="I174" t="str">
        <f ca="1"/>
        <v>BGN</v>
      </c>
      <c r="J174" s="104">
        <f ca="1"/>
        <v>6200000</v>
      </c>
      <c r="K174" s="104">
        <f ca="1"/>
        <v>6200000</v>
      </c>
      <c r="L174" s="104">
        <v>0</v>
      </c>
      <c r="M174">
        <f ca="1"/>
        <v>110.71</v>
      </c>
      <c r="N174">
        <v>109.57</v>
      </c>
      <c r="O174">
        <f ca="1"/>
        <v>110.754</v>
      </c>
      <c r="Q174" s="104">
        <v>1</v>
      </c>
      <c r="R174" s="104">
        <v>-65.000000000026148</v>
      </c>
      <c r="S174" s="104">
        <f ca="1"/>
        <v>0</v>
      </c>
      <c r="T174" s="104">
        <v>-65.000000000026148</v>
      </c>
      <c r="V174">
        <v>-65.000000000026148</v>
      </c>
    </row>
    <row r="175" spans="3:22" x14ac:dyDescent="0.35">
      <c r="C175" t="str">
        <f ca="1"/>
        <v>XS1888180996</v>
      </c>
      <c r="D175" t="str">
        <f ca="1"/>
        <v>SEMINARA</v>
      </c>
      <c r="E175" t="str">
        <v>FR0012663169_VOON</v>
      </c>
      <c r="F175" t="str">
        <f ca="1"/>
        <v>VOD 4 7/8 10/03/78</v>
      </c>
      <c r="G175" t="str">
        <f ca="1"/>
        <v>Bond Corporate</v>
      </c>
      <c r="H175" t="str">
        <f ca="1"/>
        <v>BGN</v>
      </c>
      <c r="I175" t="str">
        <f ca="1"/>
        <v>BGN</v>
      </c>
      <c r="J175" s="104">
        <f ca="1"/>
        <v>-1000000</v>
      </c>
      <c r="K175" s="104">
        <f ca="1"/>
        <v>-1000000</v>
      </c>
      <c r="L175" s="104">
        <v>0</v>
      </c>
      <c r="M175">
        <f ca="1"/>
        <v>108.23</v>
      </c>
      <c r="N175">
        <v>110.71</v>
      </c>
      <c r="O175">
        <f ca="1"/>
        <v>108.343</v>
      </c>
      <c r="Q175" s="104">
        <v>1</v>
      </c>
      <c r="R175" s="104">
        <v>2728.0000000006908</v>
      </c>
      <c r="S175" s="104">
        <f ca="1"/>
        <v>0</v>
      </c>
      <c r="T175" s="104">
        <v>2728.0000000006908</v>
      </c>
      <c r="V175">
        <v>2728.0000000006908</v>
      </c>
    </row>
    <row r="176" spans="3:22" x14ac:dyDescent="0.35">
      <c r="C176" t="str">
        <f ca="1"/>
        <v>XS1888179550</v>
      </c>
      <c r="D176" t="str">
        <f ca="1"/>
        <v>SEMINARA</v>
      </c>
      <c r="E176" t="str">
        <v>FR0010033381_VOON</v>
      </c>
      <c r="F176" t="str">
        <f ca="1"/>
        <v>VOD 4.2 10/03/78</v>
      </c>
      <c r="G176" t="str">
        <f ca="1"/>
        <v>Bond Corporate</v>
      </c>
      <c r="H176" t="str">
        <f ca="1"/>
        <v>BGN</v>
      </c>
      <c r="I176" t="str">
        <f ca="1"/>
        <v>BGN</v>
      </c>
      <c r="J176" s="104">
        <f ca="1"/>
        <v>2000000</v>
      </c>
      <c r="K176" s="104">
        <f ca="1"/>
        <v>2000000</v>
      </c>
      <c r="L176" s="104">
        <v>0</v>
      </c>
      <c r="M176">
        <f ca="1"/>
        <v>112.98</v>
      </c>
      <c r="N176">
        <v>170.71</v>
      </c>
      <c r="O176">
        <f ca="1"/>
        <v>113.014</v>
      </c>
      <c r="Q176" s="104">
        <v>1</v>
      </c>
      <c r="R176" s="104">
        <v>144.00000000000546</v>
      </c>
      <c r="S176" s="104">
        <f ca="1"/>
        <v>0</v>
      </c>
      <c r="T176" s="104">
        <v>144.00000000000546</v>
      </c>
      <c r="V176">
        <v>144.00000000000546</v>
      </c>
    </row>
    <row r="177" spans="3:22" x14ac:dyDescent="0.35">
      <c r="C177" t="str">
        <f ca="1"/>
        <v>US92857WBQ24</v>
      </c>
      <c r="D177" t="str">
        <f ca="1"/>
        <v>SEMINARA</v>
      </c>
      <c r="E177" t="str">
        <v>FR00140007L3_SEMINARA</v>
      </c>
      <c r="F177" t="str">
        <f ca="1"/>
        <v>VOD 7 04/04/79</v>
      </c>
      <c r="G177" t="str">
        <f ca="1"/>
        <v>Bond Corporate</v>
      </c>
      <c r="H177" t="str">
        <f ca="1"/>
        <v>BGN</v>
      </c>
      <c r="I177" t="str">
        <f ca="1"/>
        <v>BGN</v>
      </c>
      <c r="J177" s="104">
        <f ca="1"/>
        <v>-8000000</v>
      </c>
      <c r="K177" s="104">
        <f ca="1"/>
        <v>-8000000</v>
      </c>
      <c r="L177" s="104">
        <v>0</v>
      </c>
      <c r="M177">
        <f ca="1"/>
        <v>121.6</v>
      </c>
      <c r="N177">
        <v>99.4</v>
      </c>
      <c r="O177">
        <f ca="1"/>
        <v>121.73399999999999</v>
      </c>
      <c r="Q177" s="104">
        <v>1</v>
      </c>
      <c r="R177" s="104">
        <v>-1850.0000000004206</v>
      </c>
      <c r="S177" s="104">
        <f ca="1"/>
        <v>0</v>
      </c>
      <c r="T177" s="104">
        <v>-1850.0000000004206</v>
      </c>
      <c r="V177">
        <v>-1850.0000000004206</v>
      </c>
    </row>
    <row r="178" spans="3:22" x14ac:dyDescent="0.35">
      <c r="C178" t="str">
        <f ca="1"/>
        <v>XS1888180640</v>
      </c>
      <c r="D178" t="str">
        <f ca="1"/>
        <v>SEMINARA</v>
      </c>
      <c r="E178" t="str">
        <v>XS2052320954_VOON</v>
      </c>
      <c r="F178" t="str">
        <f ca="1"/>
        <v>VOD 6 1/4 10/03/78</v>
      </c>
      <c r="G178" t="str">
        <f ca="1"/>
        <v>Bond Corporate</v>
      </c>
      <c r="H178" t="str">
        <f ca="1"/>
        <v>BGN</v>
      </c>
      <c r="I178" t="str">
        <f ca="1"/>
        <v>BGN</v>
      </c>
      <c r="J178" s="104">
        <f ca="1"/>
        <v>-8689000</v>
      </c>
      <c r="K178" s="104">
        <f ca="1"/>
        <v>-8689000</v>
      </c>
      <c r="L178" s="104">
        <v>0</v>
      </c>
      <c r="M178">
        <f ca="1"/>
        <v>109.96</v>
      </c>
      <c r="N178">
        <v>103.65</v>
      </c>
      <c r="O178">
        <f ca="1"/>
        <v>110.04600000000001</v>
      </c>
      <c r="Q178" s="104">
        <v>1</v>
      </c>
      <c r="R178" s="104">
        <v>218.87999999994349</v>
      </c>
      <c r="S178" s="104">
        <f ca="1"/>
        <v>0</v>
      </c>
      <c r="T178" s="104">
        <v>218.87999999994349</v>
      </c>
      <c r="V178">
        <v>218.87999999994349</v>
      </c>
    </row>
    <row r="179" spans="3:22" x14ac:dyDescent="0.35">
      <c r="C179" t="str">
        <f ca="1"/>
        <v>XS2225204010</v>
      </c>
      <c r="D179" t="str">
        <f ca="1"/>
        <v>SEMINARA</v>
      </c>
      <c r="E179" t="str">
        <v>XS2052321093_VOON</v>
      </c>
      <c r="F179" t="str">
        <f ca="1"/>
        <v>VOD 3 08/27/80</v>
      </c>
      <c r="G179" t="str">
        <f ca="1"/>
        <v>Bond Corporate</v>
      </c>
      <c r="H179" t="str">
        <f ca="1"/>
        <v>BGN</v>
      </c>
      <c r="I179" t="str">
        <f ca="1"/>
        <v>BGN</v>
      </c>
      <c r="J179" s="104">
        <f ca="1"/>
        <v>-5000000</v>
      </c>
      <c r="K179" s="104">
        <f ca="1"/>
        <v>-11500000</v>
      </c>
      <c r="L179" s="104">
        <v>0</v>
      </c>
      <c r="M179">
        <f ca="1"/>
        <v>102.2</v>
      </c>
      <c r="N179">
        <v>108.33</v>
      </c>
      <c r="O179">
        <f ca="1"/>
        <v>102.3</v>
      </c>
      <c r="Q179" s="104">
        <v>1</v>
      </c>
      <c r="R179" s="104">
        <v>-1365.0000000000518</v>
      </c>
      <c r="S179" s="104">
        <f ca="1"/>
        <v>6465.0000000001746</v>
      </c>
      <c r="T179" s="104">
        <v>-1365.0000000000518</v>
      </c>
      <c r="V179">
        <v>-1365.0000000000518</v>
      </c>
    </row>
    <row r="180" spans="3:22" x14ac:dyDescent="0.35">
      <c r="C180" t="str">
        <f ca="1"/>
        <v>XS2225157424</v>
      </c>
      <c r="D180" t="str">
        <f ca="1"/>
        <v>SEMINARA</v>
      </c>
      <c r="E180" t="str">
        <v>XS1882681452_VOON</v>
      </c>
      <c r="F180" t="str">
        <f ca="1"/>
        <v>VOD 2 5/8 08/27/80</v>
      </c>
      <c r="G180" t="str">
        <f ca="1"/>
        <v>Bond Corporate</v>
      </c>
      <c r="H180" t="str">
        <f ca="1"/>
        <v>BGN</v>
      </c>
      <c r="I180" t="str">
        <f ca="1"/>
        <v>BGN</v>
      </c>
      <c r="J180" s="104">
        <f ca="1"/>
        <v>19377000</v>
      </c>
      <c r="K180" s="104">
        <f ca="1"/>
        <v>18777000</v>
      </c>
      <c r="L180" s="104">
        <v>0</v>
      </c>
      <c r="M180">
        <f ca="1"/>
        <v>102.21</v>
      </c>
      <c r="N180">
        <v>111.96</v>
      </c>
      <c r="O180">
        <f ca="1"/>
        <v>102.245</v>
      </c>
      <c r="Q180" s="104">
        <v>1</v>
      </c>
      <c r="R180" s="104">
        <v>-760.00000000021828</v>
      </c>
      <c r="S180" s="104">
        <f ca="1"/>
        <v>1640.0000000000148</v>
      </c>
      <c r="T180" s="104">
        <v>-760.00000000021828</v>
      </c>
      <c r="V180">
        <v>-760.00000000021828</v>
      </c>
    </row>
    <row r="181" spans="3:22" x14ac:dyDescent="0.35">
      <c r="C181" t="str">
        <f ca="1"/>
        <v>XS1721422902</v>
      </c>
      <c r="D181" t="str">
        <f ca="1"/>
        <v>VOON</v>
      </c>
      <c r="E181" t="str">
        <v>XS1721422902_VOON</v>
      </c>
      <c r="F181" t="str">
        <f ca="1"/>
        <v>VOD 2 7/8 11/20/37</v>
      </c>
      <c r="G181" t="str">
        <f ca="1"/>
        <v>Bond Corporate</v>
      </c>
      <c r="H181" t="str">
        <f ca="1"/>
        <v>BGN</v>
      </c>
      <c r="I181" t="str">
        <f ca="1"/>
        <v>BGN</v>
      </c>
      <c r="J181" s="104">
        <f ca="1"/>
        <v>-300000</v>
      </c>
      <c r="K181" s="104">
        <f ca="1"/>
        <v>-300000</v>
      </c>
      <c r="L181" s="104">
        <v>0</v>
      </c>
      <c r="M181">
        <f ca="1"/>
        <v>127.34</v>
      </c>
      <c r="N181">
        <v>127.34</v>
      </c>
      <c r="O181">
        <f ca="1"/>
        <v>127.508</v>
      </c>
      <c r="Q181" s="104">
        <v>1</v>
      </c>
      <c r="R181" s="104">
        <v>-503.99999999997652</v>
      </c>
      <c r="S181" s="104">
        <f ca="1"/>
        <v>0</v>
      </c>
      <c r="T181" s="104">
        <v>-503.99999999997652</v>
      </c>
      <c r="V181">
        <v>-503.99999999997652</v>
      </c>
    </row>
    <row r="182" spans="3:22" x14ac:dyDescent="0.35">
      <c r="C182" t="str">
        <f ca="1"/>
        <v>XS1910948675</v>
      </c>
      <c r="D182" t="str">
        <f ca="1"/>
        <v>VOON</v>
      </c>
      <c r="E182" t="str">
        <v>US92857WBQ24_SEMINARA</v>
      </c>
      <c r="F182" t="str">
        <f ca="1"/>
        <v>VW 4 1/8 11/16/38</v>
      </c>
      <c r="G182" t="str">
        <f ca="1"/>
        <v>Bond Corporate</v>
      </c>
      <c r="H182" t="str">
        <f ca="1"/>
        <v>BGN</v>
      </c>
      <c r="I182" t="str">
        <f ca="1"/>
        <v>BGN</v>
      </c>
      <c r="J182" s="104">
        <f ca="1"/>
        <v>1000000</v>
      </c>
      <c r="K182" s="104">
        <f ca="1"/>
        <v>1000000</v>
      </c>
      <c r="L182" s="104">
        <v>0</v>
      </c>
      <c r="M182">
        <f ca="1"/>
        <v>142.94999999999999</v>
      </c>
      <c r="N182">
        <v>121.6</v>
      </c>
      <c r="O182">
        <f ca="1"/>
        <v>143.00299999999999</v>
      </c>
      <c r="Q182" s="104">
        <v>1</v>
      </c>
      <c r="R182" s="104">
        <v>-10720.000000000027</v>
      </c>
      <c r="S182" s="104">
        <f ca="1"/>
        <v>0</v>
      </c>
      <c r="T182" s="104">
        <v>-10720.000000000027</v>
      </c>
      <c r="V182">
        <v>-10720.000000000027</v>
      </c>
    </row>
    <row r="183" spans="3:22" x14ac:dyDescent="0.35">
      <c r="C183" t="str">
        <f ca="1"/>
        <v>XS2152058868</v>
      </c>
      <c r="D183" t="str">
        <f ca="1"/>
        <v>VOON</v>
      </c>
      <c r="E183" t="str">
        <v>XS2225204010_SEMINARA</v>
      </c>
      <c r="F183" t="str">
        <f ca="1"/>
        <v>VW 2 1/2 04/06/23</v>
      </c>
      <c r="G183" t="str">
        <f ca="1"/>
        <v>Bond Corporate</v>
      </c>
      <c r="H183" t="str">
        <f ca="1"/>
        <v>BGN</v>
      </c>
      <c r="I183" t="str">
        <f ca="1"/>
        <v>BGN</v>
      </c>
      <c r="J183" s="104">
        <f ca="1"/>
        <v>5300000</v>
      </c>
      <c r="K183" s="104">
        <f ca="1"/>
        <v>5300000</v>
      </c>
      <c r="L183" s="104">
        <v>-1500000</v>
      </c>
      <c r="M183">
        <f ca="1"/>
        <v>106</v>
      </c>
      <c r="N183">
        <v>102.2</v>
      </c>
      <c r="O183">
        <f ca="1"/>
        <v>105.989</v>
      </c>
      <c r="Q183" s="104">
        <v>1</v>
      </c>
      <c r="R183" s="104">
        <v>-4999.9999999997162</v>
      </c>
      <c r="S183" s="104">
        <f ca="1"/>
        <v>0</v>
      </c>
      <c r="T183" s="104">
        <v>-5674.9999999997417</v>
      </c>
      <c r="V183">
        <v>-4999.9999999997162</v>
      </c>
    </row>
    <row r="184" spans="3:22" x14ac:dyDescent="0.35">
      <c r="C184" t="str">
        <f ca="1"/>
        <v>XS2052321093</v>
      </c>
      <c r="D184" t="str">
        <f ca="1"/>
        <v>VOON</v>
      </c>
      <c r="E184" t="str">
        <v>XS2225157424_SEMINARA</v>
      </c>
      <c r="F184" t="str">
        <f ca="1"/>
        <v>VZ 1 1/2 09/19/39</v>
      </c>
      <c r="G184" t="str">
        <f ca="1"/>
        <v>Bond Corporate</v>
      </c>
      <c r="H184" t="str">
        <f ca="1"/>
        <v>BGN</v>
      </c>
      <c r="I184" t="str">
        <f ca="1"/>
        <v>BGN</v>
      </c>
      <c r="J184" s="104">
        <f ca="1"/>
        <v>-1300000</v>
      </c>
      <c r="K184" s="104">
        <f ca="1"/>
        <v>-1300000</v>
      </c>
      <c r="L184" s="104">
        <v>-400000</v>
      </c>
      <c r="M184">
        <f ca="1"/>
        <v>108.33</v>
      </c>
      <c r="N184">
        <v>102.21</v>
      </c>
      <c r="O184">
        <f ca="1"/>
        <v>108.435</v>
      </c>
      <c r="Q184" s="104">
        <v>1</v>
      </c>
      <c r="R184" s="104">
        <v>6781.9500000020935</v>
      </c>
      <c r="S184" s="104">
        <f ca="1"/>
        <v>0</v>
      </c>
      <c r="T184" s="104">
        <v>7781.9500000020935</v>
      </c>
      <c r="V184">
        <v>6781.9500000020935</v>
      </c>
    </row>
    <row r="185" spans="3:22" x14ac:dyDescent="0.35">
      <c r="C185" t="str">
        <f ca="1"/>
        <v>XS2052320954</v>
      </c>
      <c r="D185" t="str">
        <f ca="1"/>
        <v>VOON</v>
      </c>
      <c r="E185" t="str">
        <v>XS1888180996_SEMINARA</v>
      </c>
      <c r="F185" t="str">
        <f ca="1"/>
        <v>VZ 0 7/8 03/19/32</v>
      </c>
      <c r="G185" t="str">
        <f ca="1"/>
        <v>Bond Corporate</v>
      </c>
      <c r="H185" t="str">
        <f ca="1"/>
        <v>BGN</v>
      </c>
      <c r="I185" t="str">
        <f ca="1"/>
        <v>BGN</v>
      </c>
      <c r="J185" s="104">
        <f ca="1"/>
        <v>456000</v>
      </c>
      <c r="K185" s="104">
        <f ca="1"/>
        <v>456000</v>
      </c>
      <c r="L185" s="104">
        <v>0</v>
      </c>
      <c r="M185">
        <f ca="1"/>
        <v>103.65</v>
      </c>
      <c r="N185">
        <v>108.23</v>
      </c>
      <c r="O185">
        <f ca="1"/>
        <v>103.69799999999999</v>
      </c>
      <c r="Q185" s="104">
        <v>1</v>
      </c>
      <c r="R185" s="104">
        <v>-1129.9999999999955</v>
      </c>
      <c r="S185" s="104">
        <f ca="1"/>
        <v>0</v>
      </c>
      <c r="T185" s="104">
        <v>-1129.9999999999955</v>
      </c>
      <c r="V185">
        <v>-1129.9999999999955</v>
      </c>
    </row>
    <row r="186" spans="3:22" x14ac:dyDescent="0.35">
      <c r="E186" t="str">
        <v>XS1888179550_SEMINARA</v>
      </c>
      <c r="L186" s="104">
        <v>0</v>
      </c>
      <c r="N186">
        <v>112.98</v>
      </c>
      <c r="Q186" s="104">
        <v>1</v>
      </c>
      <c r="R186" s="104">
        <v>679.99999999983629</v>
      </c>
      <c r="T186" s="104">
        <v>679.99999999983629</v>
      </c>
      <c r="V186">
        <v>679.99999999983629</v>
      </c>
    </row>
    <row r="187" spans="3:22" x14ac:dyDescent="0.35">
      <c r="E187" t="str">
        <v>XS1888180640_SEMINARA</v>
      </c>
      <c r="L187" s="104">
        <v>0</v>
      </c>
      <c r="N187">
        <v>109.96</v>
      </c>
      <c r="Q187" s="104">
        <v>1</v>
      </c>
      <c r="R187" s="104">
        <v>-7472.5400000011059</v>
      </c>
      <c r="T187" s="104">
        <v>-7472.5400000011059</v>
      </c>
      <c r="V187">
        <v>-7472.5400000011059</v>
      </c>
    </row>
    <row r="188" spans="3:22" x14ac:dyDescent="0.35">
      <c r="E188" t="str">
        <v>XS2152058868_VOON</v>
      </c>
      <c r="L188" s="104">
        <v>0</v>
      </c>
      <c r="N188">
        <v>106</v>
      </c>
      <c r="Q188" s="104">
        <v>1</v>
      </c>
      <c r="R188" s="104">
        <v>-582.99999999977103</v>
      </c>
      <c r="T188" s="104">
        <v>-582.99999999977103</v>
      </c>
      <c r="V188">
        <v>-582.99999999977103</v>
      </c>
    </row>
    <row r="189" spans="3:22" x14ac:dyDescent="0.35">
      <c r="E189" t="str">
        <v>XS1910948675_VOON</v>
      </c>
      <c r="L189" s="104">
        <v>0</v>
      </c>
      <c r="N189">
        <v>142.94999999999999</v>
      </c>
      <c r="Q189" s="104">
        <v>1</v>
      </c>
      <c r="R189" s="104">
        <v>529.99999999997272</v>
      </c>
      <c r="T189" s="104">
        <v>529.99999999997272</v>
      </c>
      <c r="V189">
        <v>529.99999999997272</v>
      </c>
    </row>
  </sheetData>
  <conditionalFormatting sqref="C1:C1048576">
    <cfRule type="duplicateValues" dxfId="52" priority="3"/>
  </conditionalFormatting>
  <conditionalFormatting sqref="E1:E1048576">
    <cfRule type="duplicateValues" dxfId="51" priority="10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BD0A0-3854-4248-B3E9-8288144E5E64}">
  <sheetPr codeName="Sheet3">
    <tabColor theme="5"/>
  </sheetPr>
  <dimension ref="A3:BK315"/>
  <sheetViews>
    <sheetView showGridLines="0" tabSelected="1" workbookViewId="0">
      <selection activeCell="C3" sqref="C3"/>
    </sheetView>
  </sheetViews>
  <sheetFormatPr defaultRowHeight="14.5" x14ac:dyDescent="0.35"/>
  <cols>
    <col min="1" max="1" width="11.36328125" style="19" bestFit="1" customWidth="1"/>
    <col min="2" max="2" width="8.7265625" style="19"/>
    <col min="3" max="3" width="21.1796875" style="19" bestFit="1" customWidth="1"/>
    <col min="4" max="4" width="11.81640625" style="19" customWidth="1"/>
    <col min="5" max="5" width="8.7265625" style="19"/>
    <col min="6" max="6" width="12" style="96" bestFit="1" customWidth="1"/>
    <col min="7" max="7" width="11.36328125" style="96" bestFit="1" customWidth="1"/>
    <col min="8" max="11" width="8.7265625" style="19"/>
    <col min="12" max="12" width="9" style="96" bestFit="1" customWidth="1"/>
    <col min="13" max="13" width="9" style="96" customWidth="1"/>
    <col min="14" max="19" width="8.7265625" style="19"/>
    <col min="20" max="20" width="21.1796875" style="19" bestFit="1" customWidth="1"/>
    <col min="21" max="21" width="25.6328125" style="19" customWidth="1"/>
    <col min="22" max="22" width="10.6328125" style="67" customWidth="1"/>
    <col min="23" max="23" width="10.6328125" style="76" customWidth="1"/>
    <col min="24" max="24" width="7.54296875" style="77" customWidth="1"/>
    <col min="25" max="25" width="9.36328125" style="77" customWidth="1"/>
    <col min="26" max="26" width="10.6328125" style="62" customWidth="1"/>
    <col min="27" max="27" width="19.81640625" style="62" bestFit="1" customWidth="1"/>
    <col min="28" max="28" width="9.36328125" style="58" bestFit="1" customWidth="1"/>
    <col min="29" max="29" width="8.6328125" style="58" customWidth="1"/>
    <col min="30" max="30" width="8.6328125" style="62" customWidth="1"/>
    <col min="31" max="31" width="19.81640625" style="19" bestFit="1" customWidth="1"/>
    <col min="32" max="32" width="9" style="19" bestFit="1" customWidth="1"/>
    <col min="33" max="34" width="8.7265625" style="19"/>
    <col min="35" max="35" width="21.1796875" style="19" bestFit="1" customWidth="1"/>
    <col min="36" max="36" width="15.54296875" style="62" bestFit="1" customWidth="1"/>
    <col min="37" max="40" width="8.7265625" style="19"/>
    <col min="41" max="41" width="21.1796875" style="19" bestFit="1" customWidth="1"/>
    <col min="42" max="42" width="15.54296875" style="62" bestFit="1" customWidth="1"/>
    <col min="43" max="46" width="8.7265625" style="19"/>
    <col min="47" max="47" width="22.54296875" style="19" bestFit="1" customWidth="1"/>
    <col min="48" max="50" width="8.7265625" style="19"/>
    <col min="51" max="51" width="10.81640625" style="19" bestFit="1" customWidth="1"/>
    <col min="52" max="60" width="8.7265625" style="19"/>
    <col min="61" max="61" width="10.81640625" style="19" bestFit="1" customWidth="1"/>
    <col min="62" max="16384" width="8.7265625" style="19"/>
  </cols>
  <sheetData>
    <row r="3" spans="3:46" x14ac:dyDescent="0.35">
      <c r="C3" s="19" t="s">
        <v>1236</v>
      </c>
      <c r="E3" s="19" t="str" cm="1">
        <f t="array" aca="1" ref="E3" ca="1">dl_calc_type()</f>
        <v>manual</v>
      </c>
    </row>
    <row r="5" spans="3:46" ht="15" thickBot="1" x14ac:dyDescent="0.4">
      <c r="Q5" s="20" t="s">
        <v>867</v>
      </c>
      <c r="R5" s="20" t="s">
        <v>867</v>
      </c>
      <c r="S5" s="20" t="s">
        <v>867</v>
      </c>
      <c r="T5" s="20" t="s">
        <v>867</v>
      </c>
      <c r="U5" s="20" t="s">
        <v>867</v>
      </c>
      <c r="V5" s="20" t="s">
        <v>867</v>
      </c>
      <c r="W5" s="20" t="s">
        <v>867</v>
      </c>
      <c r="X5" s="20" t="s">
        <v>867</v>
      </c>
      <c r="Y5" s="20" t="s">
        <v>867</v>
      </c>
      <c r="Z5" s="20" t="s">
        <v>867</v>
      </c>
      <c r="AA5" s="20" t="s">
        <v>867</v>
      </c>
      <c r="AB5" s="20" t="s">
        <v>867</v>
      </c>
      <c r="AC5" s="20" t="s">
        <v>867</v>
      </c>
      <c r="AD5" s="20" t="s">
        <v>867</v>
      </c>
      <c r="AE5" s="20" t="s">
        <v>867</v>
      </c>
      <c r="AF5" s="20" t="s">
        <v>867</v>
      </c>
      <c r="AG5" s="20" t="s">
        <v>867</v>
      </c>
      <c r="AH5" s="20" t="s">
        <v>867</v>
      </c>
      <c r="AI5" s="20" t="s">
        <v>867</v>
      </c>
      <c r="AJ5" s="20" t="s">
        <v>867</v>
      </c>
      <c r="AK5" s="20" t="s">
        <v>867</v>
      </c>
      <c r="AL5" s="20" t="s">
        <v>867</v>
      </c>
      <c r="AM5" s="20" t="s">
        <v>867</v>
      </c>
      <c r="AN5" s="20" t="s">
        <v>867</v>
      </c>
      <c r="AO5" s="20" t="s">
        <v>867</v>
      </c>
      <c r="AP5" s="20" t="s">
        <v>867</v>
      </c>
      <c r="AQ5" s="20" t="s">
        <v>867</v>
      </c>
      <c r="AR5" s="20" t="s">
        <v>867</v>
      </c>
      <c r="AS5" s="20" t="s">
        <v>867</v>
      </c>
      <c r="AT5" s="20" t="s">
        <v>867</v>
      </c>
    </row>
    <row r="6" spans="3:46" x14ac:dyDescent="0.35">
      <c r="Q6" s="20" t="s">
        <v>867</v>
      </c>
      <c r="R6" s="21"/>
      <c r="S6" s="22"/>
      <c r="T6" s="22"/>
      <c r="U6" s="22"/>
      <c r="V6" s="63"/>
      <c r="W6" s="68"/>
      <c r="X6" s="69"/>
      <c r="Y6" s="69"/>
      <c r="Z6" s="55"/>
      <c r="AA6" s="55"/>
      <c r="AB6" s="54"/>
      <c r="AC6" s="54"/>
      <c r="AD6" s="55"/>
      <c r="AE6" s="22"/>
      <c r="AF6" s="22"/>
      <c r="AG6" s="22"/>
      <c r="AH6" s="22"/>
      <c r="AI6" s="22"/>
      <c r="AJ6" s="55"/>
      <c r="AK6" s="22"/>
      <c r="AL6" s="22"/>
      <c r="AM6" s="22"/>
      <c r="AN6" s="22"/>
      <c r="AO6" s="22"/>
      <c r="AP6" s="55"/>
      <c r="AQ6" s="22"/>
      <c r="AR6" s="22"/>
      <c r="AS6" s="23"/>
      <c r="AT6" s="20" t="s">
        <v>867</v>
      </c>
    </row>
    <row r="7" spans="3:46" x14ac:dyDescent="0.35">
      <c r="Q7" s="20" t="s">
        <v>867</v>
      </c>
      <c r="R7" s="24"/>
      <c r="S7" s="25"/>
      <c r="T7" s="25"/>
      <c r="U7" s="25"/>
      <c r="V7" s="64"/>
      <c r="W7" s="70"/>
      <c r="X7" s="71"/>
      <c r="Y7" s="71"/>
      <c r="Z7" s="57"/>
      <c r="AA7" s="57"/>
      <c r="AB7" s="56"/>
      <c r="AC7" s="56"/>
      <c r="AD7" s="57"/>
      <c r="AE7" s="25"/>
      <c r="AF7" s="25"/>
      <c r="AG7" s="25"/>
      <c r="AH7" s="25"/>
      <c r="AI7" s="25"/>
      <c r="AJ7" s="57"/>
      <c r="AK7" s="25"/>
      <c r="AL7" s="25"/>
      <c r="AM7" s="25"/>
      <c r="AN7" s="25"/>
      <c r="AO7" s="25"/>
      <c r="AP7" s="57"/>
      <c r="AQ7" s="25"/>
      <c r="AR7" s="25"/>
      <c r="AS7" s="26"/>
      <c r="AT7" s="20" t="s">
        <v>867</v>
      </c>
    </row>
    <row r="8" spans="3:46" x14ac:dyDescent="0.35">
      <c r="Q8" s="20" t="s">
        <v>867</v>
      </c>
      <c r="R8" s="24"/>
      <c r="S8" s="25"/>
      <c r="T8" s="25"/>
      <c r="U8" s="25"/>
      <c r="V8" s="64"/>
      <c r="W8" s="70"/>
      <c r="X8" s="71"/>
      <c r="Y8" s="71"/>
      <c r="Z8" s="57"/>
      <c r="AA8" s="57"/>
      <c r="AB8" s="56"/>
      <c r="AC8" s="56"/>
      <c r="AG8" s="25"/>
      <c r="AH8" s="25"/>
      <c r="AI8" s="25"/>
      <c r="AJ8" s="57"/>
      <c r="AK8" s="25"/>
      <c r="AL8" s="25"/>
      <c r="AM8" s="25"/>
      <c r="AN8" s="25"/>
      <c r="AO8" s="25"/>
      <c r="AP8" s="57"/>
      <c r="AQ8" s="25"/>
      <c r="AR8" s="25"/>
      <c r="AS8" s="26"/>
      <c r="AT8" s="20" t="s">
        <v>867</v>
      </c>
    </row>
    <row r="9" spans="3:46" x14ac:dyDescent="0.35">
      <c r="Q9" s="20" t="s">
        <v>867</v>
      </c>
      <c r="R9" s="24"/>
      <c r="S9" s="25"/>
      <c r="T9" s="25"/>
      <c r="U9" s="25"/>
      <c r="V9" s="64"/>
      <c r="W9" s="70"/>
      <c r="X9" s="71"/>
      <c r="Y9" s="71"/>
      <c r="Z9" s="57"/>
      <c r="AA9" s="57"/>
      <c r="AB9" s="56"/>
      <c r="AC9" s="56"/>
      <c r="AE9" s="47" t="s">
        <v>1191</v>
      </c>
      <c r="AF9" s="88">
        <f ca="1">SUM(_xlfn.ANCHORARRAY(AB42))</f>
        <v>-65473.569832919529</v>
      </c>
      <c r="AG9" s="25"/>
      <c r="AH9" s="25"/>
      <c r="AI9" s="25"/>
      <c r="AJ9" s="57"/>
      <c r="AK9" s="25"/>
      <c r="AL9" s="25"/>
      <c r="AM9" s="25"/>
      <c r="AN9" s="25"/>
      <c r="AO9" s="25"/>
      <c r="AP9" s="57"/>
      <c r="AQ9" s="25"/>
      <c r="AR9" s="25"/>
      <c r="AS9" s="26"/>
      <c r="AT9" s="20" t="s">
        <v>867</v>
      </c>
    </row>
    <row r="10" spans="3:46" x14ac:dyDescent="0.35">
      <c r="Q10" s="20" t="s">
        <v>867</v>
      </c>
      <c r="R10" s="24"/>
      <c r="S10" s="25"/>
      <c r="T10" s="25"/>
      <c r="U10" s="25"/>
      <c r="V10" s="64"/>
      <c r="W10" s="70"/>
      <c r="X10" s="71"/>
      <c r="Y10" s="71"/>
      <c r="Z10" s="57"/>
      <c r="AA10" s="57"/>
      <c r="AB10" s="56"/>
      <c r="AC10" s="56"/>
      <c r="AE10" s="57"/>
      <c r="AF10" s="25"/>
      <c r="AG10" s="25"/>
      <c r="AH10" s="25"/>
      <c r="AI10" s="25"/>
      <c r="AJ10" s="57"/>
      <c r="AK10" s="25"/>
      <c r="AL10" s="25"/>
      <c r="AM10" s="25"/>
      <c r="AN10" s="25"/>
      <c r="AO10" s="25"/>
      <c r="AP10" s="57"/>
      <c r="AQ10" s="25"/>
      <c r="AR10" s="25"/>
      <c r="AS10" s="26"/>
      <c r="AT10" s="20" t="s">
        <v>867</v>
      </c>
    </row>
    <row r="11" spans="3:46" x14ac:dyDescent="0.35">
      <c r="Q11" s="20" t="s">
        <v>867</v>
      </c>
      <c r="R11" s="24"/>
      <c r="S11" s="25"/>
      <c r="T11" s="25"/>
      <c r="U11" s="25"/>
      <c r="V11" s="64"/>
      <c r="W11" s="70"/>
      <c r="X11" s="71"/>
      <c r="Y11" s="71"/>
      <c r="Z11" s="57"/>
      <c r="AA11" s="57"/>
      <c r="AB11" s="56"/>
      <c r="AC11" s="56"/>
      <c r="AE11" s="25" t="s">
        <v>1228</v>
      </c>
      <c r="AF11" s="83">
        <f ca="1">AF9-SUM(AC:AC)</f>
        <v>-86878.08519792599</v>
      </c>
      <c r="AG11" s="25"/>
      <c r="AH11" s="25"/>
      <c r="AI11" s="25" t="s">
        <v>1751</v>
      </c>
      <c r="AJ11" s="56" t="e" cm="1">
        <f t="array" aca="1" ref="AJ11" ca="1">SUM(ABS(_xlfn.ANCHORARRAY(trades!K6)))</f>
        <v>#VALUE!</v>
      </c>
      <c r="AK11" s="25"/>
      <c r="AL11" s="25"/>
      <c r="AM11" s="25"/>
      <c r="AN11" s="25"/>
      <c r="AO11" s="25"/>
      <c r="AP11" s="57"/>
      <c r="AQ11" s="25"/>
      <c r="AR11" s="25"/>
      <c r="AS11" s="26"/>
      <c r="AT11" s="20" t="s">
        <v>867</v>
      </c>
    </row>
    <row r="12" spans="3:46" x14ac:dyDescent="0.35">
      <c r="Q12" s="20" t="s">
        <v>867</v>
      </c>
      <c r="R12" s="24"/>
      <c r="S12" s="25"/>
      <c r="T12" s="25"/>
      <c r="U12" s="25"/>
      <c r="V12" s="64"/>
      <c r="W12" s="70"/>
      <c r="X12" s="71"/>
      <c r="Y12" s="71"/>
      <c r="Z12" s="57"/>
      <c r="AA12" s="57"/>
      <c r="AB12" s="56"/>
      <c r="AC12" s="56"/>
      <c r="AE12" s="25" t="s">
        <v>1229</v>
      </c>
      <c r="AF12" s="84">
        <f ca="1">AF9-SUM(AD:AD)</f>
        <v>-94404.500542485883</v>
      </c>
      <c r="AG12" s="25"/>
      <c r="AH12" s="25"/>
      <c r="AI12" s="25"/>
      <c r="AJ12" s="57"/>
      <c r="AK12" s="25"/>
      <c r="AL12" s="25"/>
      <c r="AM12" s="25"/>
      <c r="AN12" s="25"/>
      <c r="AO12" s="25"/>
      <c r="AP12" s="57"/>
      <c r="AQ12" s="25"/>
      <c r="AR12" s="25"/>
      <c r="AS12" s="26"/>
      <c r="AT12" s="20" t="s">
        <v>867</v>
      </c>
    </row>
    <row r="13" spans="3:46" x14ac:dyDescent="0.35">
      <c r="Q13" s="20" t="s">
        <v>867</v>
      </c>
      <c r="R13" s="24"/>
      <c r="S13" s="25"/>
      <c r="T13" s="25"/>
      <c r="U13" s="25"/>
      <c r="V13" s="64"/>
      <c r="W13" s="70"/>
      <c r="X13" s="71"/>
      <c r="Y13" s="71"/>
      <c r="Z13" s="57"/>
      <c r="AA13" s="57"/>
      <c r="AB13" s="56"/>
      <c r="AC13" s="56"/>
      <c r="AD13" s="57"/>
      <c r="AE13" s="25"/>
      <c r="AF13" s="25"/>
      <c r="AG13" s="25"/>
      <c r="AH13" s="25"/>
      <c r="AI13" s="25"/>
      <c r="AJ13" s="57"/>
      <c r="AK13" s="25"/>
      <c r="AL13" s="25"/>
      <c r="AM13" s="25"/>
      <c r="AN13" s="25"/>
      <c r="AO13" s="25"/>
      <c r="AP13" s="57"/>
      <c r="AQ13" s="25"/>
      <c r="AR13" s="25"/>
      <c r="AS13" s="26"/>
      <c r="AT13" s="20" t="s">
        <v>867</v>
      </c>
    </row>
    <row r="14" spans="3:46" x14ac:dyDescent="0.35">
      <c r="Q14" s="20" t="s">
        <v>867</v>
      </c>
      <c r="R14" s="24"/>
      <c r="S14" s="25"/>
      <c r="T14" s="25"/>
      <c r="U14" s="25"/>
      <c r="V14" s="64"/>
      <c r="W14" s="70"/>
      <c r="X14" s="71"/>
      <c r="Y14" s="71"/>
      <c r="Z14" s="57"/>
      <c r="AA14" s="57"/>
      <c r="AB14" s="56"/>
      <c r="AC14" s="56"/>
      <c r="AD14" s="57"/>
      <c r="AE14" s="90" t="s">
        <v>1231</v>
      </c>
      <c r="AF14" s="25"/>
      <c r="AG14" s="25"/>
      <c r="AH14" s="25"/>
      <c r="AI14" s="25"/>
      <c r="AJ14" s="57"/>
      <c r="AK14" s="25"/>
      <c r="AL14" s="25"/>
      <c r="AM14" s="25"/>
      <c r="AN14" s="25"/>
      <c r="AO14" s="25"/>
      <c r="AP14" s="57"/>
      <c r="AQ14" s="25"/>
      <c r="AR14" s="25"/>
      <c r="AS14" s="26"/>
      <c r="AT14" s="20" t="s">
        <v>867</v>
      </c>
    </row>
    <row r="15" spans="3:46" x14ac:dyDescent="0.35">
      <c r="J15" s="85" t="s">
        <v>1732</v>
      </c>
      <c r="Q15" s="20" t="s">
        <v>867</v>
      </c>
      <c r="R15" s="24"/>
      <c r="S15" s="25"/>
      <c r="T15" s="25"/>
      <c r="U15" s="25"/>
      <c r="V15" s="64"/>
      <c r="W15" s="70"/>
      <c r="X15" s="71"/>
      <c r="Y15" s="71"/>
      <c r="Z15" s="57"/>
      <c r="AA15" s="57"/>
      <c r="AB15" s="56"/>
      <c r="AC15" s="56"/>
      <c r="AD15" s="57"/>
      <c r="AE15" s="25" t="str" cm="1">
        <f t="array" aca="1" ref="AE15:AE19" ca="1">_xlfn.UNIQUE(_xlfn.ANCHORARRAY(Z42))</f>
        <v>VOON</v>
      </c>
      <c r="AF15" s="83" cm="1">
        <f t="array" aca="1" ref="AF15:AF19" ca="1">SUMIF(_xlfn.ANCHORARRAY(Z42),_xlfn.ANCHORARRAY(AE15),_xlfn.ANCHORARRAY(AB42))</f>
        <v>-29928.523338664239</v>
      </c>
      <c r="AG15" s="25"/>
      <c r="AH15" s="25"/>
      <c r="AI15" s="25"/>
      <c r="AJ15" s="57"/>
      <c r="AK15" s="25"/>
      <c r="AL15" s="25"/>
      <c r="AM15" s="25"/>
      <c r="AN15" s="25"/>
      <c r="AO15" s="25"/>
      <c r="AP15" s="57"/>
      <c r="AQ15" s="25"/>
      <c r="AR15" s="25"/>
      <c r="AS15" s="26"/>
      <c r="AT15" s="20" t="s">
        <v>867</v>
      </c>
    </row>
    <row r="16" spans="3:46" x14ac:dyDescent="0.35">
      <c r="J16" s="19" t="str" cm="1">
        <f t="array" aca="1" ref="J16:J22" ca="1">_xlfn.UNIQUE(_xlfn.ANCHORARRAY(AA42))</f>
        <v>CDS Index Swap</v>
      </c>
      <c r="Q16" s="20" t="s">
        <v>867</v>
      </c>
      <c r="R16" s="24"/>
      <c r="S16" s="25"/>
      <c r="T16" s="25"/>
      <c r="U16" s="25"/>
      <c r="V16" s="64"/>
      <c r="W16" s="70"/>
      <c r="X16" s="71"/>
      <c r="Y16" s="71"/>
      <c r="Z16" s="57"/>
      <c r="AA16" s="57"/>
      <c r="AB16" s="56"/>
      <c r="AC16" s="56"/>
      <c r="AD16" s="57"/>
      <c r="AE16" s="25" t="str">
        <f ca="1"/>
        <v>TIGER</v>
      </c>
      <c r="AF16" s="87">
        <f ca="1"/>
        <v>-169.30351018631131</v>
      </c>
      <c r="AG16" s="25"/>
      <c r="AH16" s="25"/>
      <c r="AI16" s="25"/>
      <c r="AJ16" s="57"/>
      <c r="AK16" s="25"/>
      <c r="AL16" s="25"/>
      <c r="AM16" s="25"/>
      <c r="AN16" s="25"/>
      <c r="AO16" s="25"/>
      <c r="AP16" s="57"/>
      <c r="AQ16" s="25"/>
      <c r="AR16" s="25"/>
      <c r="AS16" s="26"/>
      <c r="AT16" s="20" t="s">
        <v>867</v>
      </c>
    </row>
    <row r="17" spans="3:46" x14ac:dyDescent="0.35">
      <c r="J17" s="19" t="str">
        <f ca="1"/>
        <v>Exchange Traded Fund</v>
      </c>
      <c r="Q17" s="20" t="s">
        <v>867</v>
      </c>
      <c r="R17" s="24"/>
      <c r="S17" s="25"/>
      <c r="T17" s="25"/>
      <c r="U17" s="25"/>
      <c r="V17" s="64"/>
      <c r="W17" s="70"/>
      <c r="X17" s="71"/>
      <c r="Y17" s="71"/>
      <c r="Z17" s="57"/>
      <c r="AA17" s="57"/>
      <c r="AB17" s="56"/>
      <c r="AC17" s="56"/>
      <c r="AD17" s="57"/>
      <c r="AE17" s="25" t="str">
        <f ca="1"/>
        <v>SEMINARA</v>
      </c>
      <c r="AF17" s="87">
        <f ca="1"/>
        <v>-33807.222734069044</v>
      </c>
      <c r="AG17" s="25"/>
      <c r="AH17" s="25"/>
      <c r="AI17" s="25"/>
      <c r="AJ17" s="57"/>
      <c r="AK17" s="25"/>
      <c r="AL17" s="25"/>
      <c r="AM17" s="25"/>
      <c r="AN17" s="25"/>
      <c r="AO17" s="25"/>
      <c r="AP17" s="57"/>
      <c r="AQ17" s="25"/>
      <c r="AR17" s="25"/>
      <c r="AS17" s="26"/>
      <c r="AT17" s="20" t="s">
        <v>867</v>
      </c>
    </row>
    <row r="18" spans="3:46" x14ac:dyDescent="0.35">
      <c r="J18" s="19" t="str">
        <f ca="1"/>
        <v>Future</v>
      </c>
      <c r="Q18" s="20" t="s">
        <v>867</v>
      </c>
      <c r="R18" s="24"/>
      <c r="S18" s="25"/>
      <c r="T18" s="25"/>
      <c r="U18" s="25"/>
      <c r="V18" s="64"/>
      <c r="W18" s="70"/>
      <c r="X18" s="71"/>
      <c r="Y18" s="71"/>
      <c r="Z18" s="57"/>
      <c r="AA18" s="57"/>
      <c r="AB18" s="56"/>
      <c r="AC18" s="56"/>
      <c r="AD18" s="57"/>
      <c r="AE18" s="25" t="str">
        <f ca="1"/>
        <v>GIORGETTI</v>
      </c>
      <c r="AF18" s="87">
        <f ca="1"/>
        <v>110.34134999999878</v>
      </c>
      <c r="AG18" s="25"/>
      <c r="AH18" s="25"/>
      <c r="AI18" s="25"/>
      <c r="AJ18" s="57"/>
      <c r="AK18" s="25"/>
      <c r="AL18" s="25"/>
      <c r="AM18" s="25"/>
      <c r="AN18" s="25"/>
      <c r="AO18" s="25"/>
      <c r="AP18" s="57"/>
      <c r="AQ18" s="25"/>
      <c r="AR18" s="25"/>
      <c r="AS18" s="26"/>
      <c r="AT18" s="20" t="s">
        <v>867</v>
      </c>
    </row>
    <row r="19" spans="3:46" x14ac:dyDescent="0.35">
      <c r="J19" s="19" t="str">
        <f ca="1"/>
        <v>Bond Corporate</v>
      </c>
      <c r="Q19" s="20" t="s">
        <v>867</v>
      </c>
      <c r="R19" s="24"/>
      <c r="S19" s="25"/>
      <c r="T19" s="25"/>
      <c r="U19" s="25"/>
      <c r="V19" s="64"/>
      <c r="W19" s="70"/>
      <c r="X19" s="71"/>
      <c r="Y19" s="71"/>
      <c r="Z19" s="57"/>
      <c r="AA19" s="57"/>
      <c r="AB19" s="56"/>
      <c r="AC19" s="56"/>
      <c r="AD19" s="57"/>
      <c r="AE19" s="25" t="str">
        <f ca="1"/>
        <v>CAZZANIGA</v>
      </c>
      <c r="AF19" s="84">
        <f ca="1"/>
        <v>-1678.8615999999261</v>
      </c>
      <c r="AG19" s="25"/>
      <c r="AH19" s="25"/>
      <c r="AI19" s="25"/>
      <c r="AJ19" s="57"/>
      <c r="AK19" s="25"/>
      <c r="AL19" s="25"/>
      <c r="AM19" s="25"/>
      <c r="AN19" s="25"/>
      <c r="AO19" s="25"/>
      <c r="AP19" s="57"/>
      <c r="AQ19" s="25"/>
      <c r="AR19" s="25"/>
      <c r="AS19" s="26"/>
      <c r="AT19" s="20" t="s">
        <v>867</v>
      </c>
    </row>
    <row r="20" spans="3:46" x14ac:dyDescent="0.35">
      <c r="J20" s="19" t="str">
        <f ca="1"/>
        <v>Bond Sovereign</v>
      </c>
      <c r="Q20" s="20" t="s">
        <v>867</v>
      </c>
      <c r="R20" s="24"/>
      <c r="S20" s="25"/>
      <c r="T20" s="25"/>
      <c r="U20" s="25"/>
      <c r="V20" s="64"/>
      <c r="W20" s="70"/>
      <c r="X20" s="71"/>
      <c r="Y20" s="71"/>
      <c r="Z20" s="57"/>
      <c r="AA20" s="57"/>
      <c r="AB20" s="56"/>
      <c r="AC20" s="56"/>
      <c r="AD20" s="57"/>
      <c r="AE20" s="85" t="s">
        <v>1230</v>
      </c>
      <c r="AF20" s="86">
        <f ca="1">SUM(AF15:AF19)</f>
        <v>-65473.569832919522</v>
      </c>
      <c r="AG20" s="25"/>
      <c r="AH20" s="25"/>
      <c r="AI20" s="25"/>
      <c r="AJ20" s="57"/>
      <c r="AK20" s="25"/>
      <c r="AL20" s="25"/>
      <c r="AM20" s="25"/>
      <c r="AN20" s="25"/>
      <c r="AO20" s="25"/>
      <c r="AP20" s="57"/>
      <c r="AQ20" s="25"/>
      <c r="AR20" s="25"/>
      <c r="AS20" s="26"/>
      <c r="AT20" s="20" t="s">
        <v>867</v>
      </c>
    </row>
    <row r="21" spans="3:46" x14ac:dyDescent="0.35">
      <c r="J21" s="19" t="str">
        <f ca="1"/>
        <v>Credit Default Swap</v>
      </c>
      <c r="Q21" s="20" t="s">
        <v>867</v>
      </c>
      <c r="R21" s="24"/>
      <c r="S21" s="25"/>
      <c r="T21" s="25"/>
      <c r="U21" s="25"/>
      <c r="V21" s="64"/>
      <c r="W21" s="70"/>
      <c r="X21" s="71"/>
      <c r="Y21" s="71"/>
      <c r="Z21" s="57"/>
      <c r="AA21" s="57"/>
      <c r="AB21" s="56"/>
      <c r="AC21" s="56"/>
      <c r="AD21" s="57"/>
      <c r="AE21" s="85"/>
      <c r="AF21" s="86"/>
      <c r="AG21" s="25"/>
      <c r="AH21" s="25"/>
      <c r="AI21" s="25"/>
      <c r="AJ21" s="57"/>
      <c r="AK21" s="25"/>
      <c r="AL21" s="25"/>
      <c r="AM21" s="25"/>
      <c r="AN21" s="25"/>
      <c r="AO21" s="25"/>
      <c r="AP21" s="57"/>
      <c r="AQ21" s="25"/>
      <c r="AR21" s="25"/>
      <c r="AS21" s="26"/>
      <c r="AT21" s="20" t="s">
        <v>867</v>
      </c>
    </row>
    <row r="22" spans="3:46" x14ac:dyDescent="0.35">
      <c r="J22" s="19" t="str">
        <f ca="1"/>
        <v>Fund</v>
      </c>
      <c r="Q22" s="20" t="s">
        <v>867</v>
      </c>
      <c r="R22" s="24"/>
      <c r="S22" s="25"/>
      <c r="T22" s="25"/>
      <c r="U22" s="25"/>
      <c r="V22" s="64"/>
      <c r="W22" s="70"/>
      <c r="X22" s="71"/>
      <c r="Y22" s="71"/>
      <c r="Z22" s="57"/>
      <c r="AA22" s="57"/>
      <c r="AB22" s="56"/>
      <c r="AC22" s="56"/>
      <c r="AD22" s="57"/>
      <c r="AE22" s="85"/>
      <c r="AF22" s="86"/>
      <c r="AG22" s="25"/>
      <c r="AH22" s="25"/>
      <c r="AI22" s="25"/>
      <c r="AJ22" s="57"/>
      <c r="AK22" s="25"/>
      <c r="AL22" s="25"/>
      <c r="AM22" s="25"/>
      <c r="AN22" s="25"/>
      <c r="AO22" s="25"/>
      <c r="AP22" s="57"/>
      <c r="AQ22" s="25"/>
      <c r="AR22" s="25"/>
      <c r="AS22" s="26"/>
      <c r="AT22" s="20" t="s">
        <v>867</v>
      </c>
    </row>
    <row r="23" spans="3:46" x14ac:dyDescent="0.35">
      <c r="Q23" s="20" t="s">
        <v>867</v>
      </c>
      <c r="R23" s="24"/>
      <c r="S23" s="25"/>
      <c r="T23" s="25"/>
      <c r="U23" s="25"/>
      <c r="V23" s="64"/>
      <c r="W23" s="70"/>
      <c r="X23" s="71"/>
      <c r="Y23" s="71"/>
      <c r="Z23" s="57"/>
      <c r="AA23" s="57"/>
      <c r="AB23" s="56"/>
      <c r="AC23" s="56"/>
      <c r="AD23" s="57"/>
      <c r="AE23" s="89" t="s">
        <v>1232</v>
      </c>
      <c r="AF23" s="86"/>
      <c r="AG23" s="25"/>
      <c r="AH23" s="25"/>
      <c r="AI23" s="25"/>
      <c r="AJ23" s="57"/>
      <c r="AK23" s="25"/>
      <c r="AL23" s="25"/>
      <c r="AM23" s="25"/>
      <c r="AN23" s="25"/>
      <c r="AO23" s="25"/>
      <c r="AP23" s="57"/>
      <c r="AQ23" s="25"/>
      <c r="AR23" s="25"/>
      <c r="AS23" s="26"/>
      <c r="AT23" s="20" t="s">
        <v>867</v>
      </c>
    </row>
    <row r="24" spans="3:46" x14ac:dyDescent="0.35">
      <c r="C24" s="19" t="s">
        <v>1271</v>
      </c>
      <c r="Q24" s="20" t="s">
        <v>867</v>
      </c>
      <c r="R24" s="24"/>
      <c r="S24" s="25"/>
      <c r="T24" s="25"/>
      <c r="U24" s="25"/>
      <c r="V24" s="64"/>
      <c r="W24" s="70"/>
      <c r="X24" s="71"/>
      <c r="Y24" s="71"/>
      <c r="Z24" s="57"/>
      <c r="AA24" s="57"/>
      <c r="AB24" s="56"/>
      <c r="AC24" s="56"/>
      <c r="AD24" s="57"/>
      <c r="AE24" s="89" t="str" cm="1">
        <f t="array" aca="1" ref="AE24:AE30" ca="1">_xlfn.UNIQUE(_xlfn.ANCHORARRAY(AA42))</f>
        <v>CDS Index Swap</v>
      </c>
      <c r="AF24" s="92" cm="1">
        <f t="array" aca="1" ref="AF24:AF30" ca="1">SUMIF(_xlfn.ANCHORARRAY(AA42),_xlfn.ANCHORARRAY(AE24),_xlfn.ANCHORARRAY(AB42))</f>
        <v>13605.23270607341</v>
      </c>
      <c r="AG24" s="25"/>
      <c r="AH24" s="25"/>
      <c r="AI24" s="25"/>
      <c r="AJ24" s="57"/>
      <c r="AK24" s="25"/>
      <c r="AL24" s="25"/>
      <c r="AM24" s="25"/>
      <c r="AN24" s="25"/>
      <c r="AO24" s="25"/>
      <c r="AP24" s="57"/>
      <c r="AQ24" s="25"/>
      <c r="AR24" s="25"/>
      <c r="AS24" s="26"/>
      <c r="AT24" s="20" t="s">
        <v>867</v>
      </c>
    </row>
    <row r="25" spans="3:46" x14ac:dyDescent="0.35">
      <c r="C25" s="19" t="s">
        <v>1263</v>
      </c>
      <c r="D25" s="19" t="s">
        <v>1264</v>
      </c>
      <c r="E25" s="19" cm="1">
        <f t="array" ref="E25">_xll.BDP(C25,D25)</f>
        <v>50.007930000000002</v>
      </c>
      <c r="G25" s="19" t="s">
        <v>1268</v>
      </c>
      <c r="J25" s="19" t="s">
        <v>1752</v>
      </c>
      <c r="Q25" s="20" t="s">
        <v>867</v>
      </c>
      <c r="R25" s="24"/>
      <c r="S25" s="25"/>
      <c r="T25" s="25"/>
      <c r="U25" s="25"/>
      <c r="V25" s="64"/>
      <c r="W25" s="70"/>
      <c r="X25" s="71"/>
      <c r="Y25" s="71"/>
      <c r="Z25" s="57"/>
      <c r="AA25" s="57"/>
      <c r="AB25" s="56"/>
      <c r="AC25" s="56"/>
      <c r="AD25" s="57"/>
      <c r="AE25" s="89" t="str">
        <f ca="1"/>
        <v>Exchange Traded Fund</v>
      </c>
      <c r="AF25" s="93">
        <f ca="1"/>
        <v>-15.150000000000572</v>
      </c>
      <c r="AG25" s="25"/>
      <c r="AH25" s="25"/>
      <c r="AI25" s="25"/>
      <c r="AJ25" s="57"/>
      <c r="AK25" s="25"/>
      <c r="AL25" s="25"/>
      <c r="AM25" s="25"/>
      <c r="AN25" s="25"/>
      <c r="AO25" s="25"/>
      <c r="AP25" s="57"/>
      <c r="AQ25" s="25"/>
      <c r="AR25" s="25"/>
      <c r="AS25" s="26"/>
      <c r="AT25" s="20" t="s">
        <v>867</v>
      </c>
    </row>
    <row r="26" spans="3:46" x14ac:dyDescent="0.35">
      <c r="C26" s="19" t="s">
        <v>1263</v>
      </c>
      <c r="D26" s="19" t="s">
        <v>1265</v>
      </c>
      <c r="E26" s="19" cm="1">
        <f t="array" ref="E26">_xll.BDP(C26,D26)</f>
        <v>49.970999999999997</v>
      </c>
      <c r="G26" s="19" t="s">
        <v>1267</v>
      </c>
      <c r="J26" s="19" t="s">
        <v>1753</v>
      </c>
      <c r="K26" s="19" t="s">
        <v>1653</v>
      </c>
      <c r="L26" s="96" t="s">
        <v>1759</v>
      </c>
      <c r="Q26" s="20" t="s">
        <v>867</v>
      </c>
      <c r="R26" s="24"/>
      <c r="S26" s="25"/>
      <c r="T26" s="25"/>
      <c r="U26" s="25"/>
      <c r="V26" s="64"/>
      <c r="W26" s="70"/>
      <c r="X26" s="71"/>
      <c r="Y26" s="71"/>
      <c r="Z26" s="57"/>
      <c r="AA26" s="57"/>
      <c r="AB26" s="56"/>
      <c r="AC26" s="56"/>
      <c r="AD26" s="57"/>
      <c r="AE26" s="89" t="str">
        <f ca="1"/>
        <v>Future</v>
      </c>
      <c r="AF26" s="93">
        <f ca="1"/>
        <v>-50749.658649997582</v>
      </c>
      <c r="AG26" s="25"/>
      <c r="AH26" s="25"/>
      <c r="AI26" s="25"/>
      <c r="AJ26" s="57"/>
      <c r="AK26" s="25"/>
      <c r="AL26" s="25"/>
      <c r="AM26" s="25"/>
      <c r="AN26" s="25"/>
      <c r="AO26" s="25"/>
      <c r="AP26" s="57"/>
      <c r="AQ26" s="25"/>
      <c r="AR26" s="25"/>
      <c r="AS26" s="26"/>
      <c r="AT26" s="20" t="s">
        <v>867</v>
      </c>
    </row>
    <row r="27" spans="3:46" x14ac:dyDescent="0.35">
      <c r="C27" s="19" t="s">
        <v>1263</v>
      </c>
      <c r="D27" s="19" t="s">
        <v>1266</v>
      </c>
      <c r="E27" s="19" cm="1">
        <f t="array" ref="E27">_xll.BDP(C27,D27)</f>
        <v>-2.5498988166933452</v>
      </c>
      <c r="G27" s="19" t="s">
        <v>1269</v>
      </c>
      <c r="J27" s="19">
        <v>35</v>
      </c>
      <c r="K27" s="19" t="s">
        <v>1754</v>
      </c>
      <c r="L27" s="96">
        <v>1</v>
      </c>
      <c r="Q27" s="20" t="s">
        <v>867</v>
      </c>
      <c r="R27" s="24"/>
      <c r="S27" s="25"/>
      <c r="T27" s="25"/>
      <c r="U27" s="25"/>
      <c r="V27" s="64"/>
      <c r="W27" s="70"/>
      <c r="X27" s="71"/>
      <c r="Y27" s="71"/>
      <c r="Z27" s="57"/>
      <c r="AA27" s="57"/>
      <c r="AB27" s="56"/>
      <c r="AC27" s="56"/>
      <c r="AD27" s="57"/>
      <c r="AE27" s="89" t="str">
        <f ca="1"/>
        <v>Bond Corporate</v>
      </c>
      <c r="AF27" s="93">
        <f ca="1"/>
        <v>-26379.993888995636</v>
      </c>
      <c r="AG27" s="25"/>
      <c r="AH27" s="25"/>
      <c r="AI27" s="25"/>
      <c r="AJ27" s="57"/>
      <c r="AK27" s="25"/>
      <c r="AL27" s="25"/>
      <c r="AM27" s="25"/>
      <c r="AN27" s="25"/>
      <c r="AO27" s="25"/>
      <c r="AP27" s="57"/>
      <c r="AQ27" s="25"/>
      <c r="AR27" s="25"/>
      <c r="AS27" s="26"/>
      <c r="AT27" s="20" t="s">
        <v>867</v>
      </c>
    </row>
    <row r="28" spans="3:46" x14ac:dyDescent="0.35">
      <c r="C28" s="19" t="s">
        <v>1263</v>
      </c>
      <c r="D28" s="19" t="s">
        <v>1270</v>
      </c>
      <c r="E28" s="19" cm="1">
        <f t="array" ref="E28">_xll.BDP(C28,D28)</f>
        <v>-2.4398196754661967</v>
      </c>
      <c r="G28" s="19" t="s">
        <v>1267</v>
      </c>
      <c r="J28" s="19">
        <v>112</v>
      </c>
      <c r="K28" s="19" t="s">
        <v>1755</v>
      </c>
      <c r="L28" s="95" cm="1">
        <f t="array" aca="1" ref="L28" ca="1">_xll.BDP("gbpeur curncy","last_price")</f>
        <v>1.1163000000000001</v>
      </c>
      <c r="Q28" s="20" t="s">
        <v>867</v>
      </c>
      <c r="R28" s="24"/>
      <c r="S28" s="25"/>
      <c r="T28" s="25"/>
      <c r="U28" s="25"/>
      <c r="V28" s="64"/>
      <c r="W28" s="70"/>
      <c r="X28" s="71"/>
      <c r="Y28" s="71"/>
      <c r="Z28" s="57"/>
      <c r="AA28" s="57"/>
      <c r="AB28" s="56"/>
      <c r="AC28" s="56"/>
      <c r="AD28" s="57"/>
      <c r="AE28" s="89" t="str">
        <f ca="1"/>
        <v>Bond Sovereign</v>
      </c>
      <c r="AF28" s="93">
        <f ca="1"/>
        <v>-1933.9999999997135</v>
      </c>
      <c r="AG28" s="25"/>
      <c r="AH28" s="25"/>
      <c r="AI28" s="25"/>
      <c r="AJ28" s="57"/>
      <c r="AK28" s="25"/>
      <c r="AL28" s="25"/>
      <c r="AM28" s="25"/>
      <c r="AN28" s="25"/>
      <c r="AO28" s="25"/>
      <c r="AP28" s="57"/>
      <c r="AQ28" s="25"/>
      <c r="AR28" s="25"/>
      <c r="AS28" s="26"/>
      <c r="AT28" s="20" t="s">
        <v>867</v>
      </c>
    </row>
    <row r="29" spans="3:46" x14ac:dyDescent="0.35">
      <c r="C29" s="19" t="s">
        <v>1272</v>
      </c>
      <c r="D29" s="19" t="s">
        <v>1270</v>
      </c>
      <c r="E29" s="19" cm="1">
        <f t="array" ref="E29">_xll.BDP(C29,D29)</f>
        <v>-2.4398196754661967</v>
      </c>
      <c r="G29" s="19" t="s">
        <v>1267</v>
      </c>
      <c r="J29" s="19">
        <v>113</v>
      </c>
      <c r="K29" s="19" t="s">
        <v>1756</v>
      </c>
      <c r="L29" s="95" cm="1">
        <f t="array" aca="1" ref="L29" ca="1">_xll.BDP("usdeur curncy","last_price")</f>
        <v>0.84279999999999999</v>
      </c>
      <c r="Q29" s="20" t="s">
        <v>867</v>
      </c>
      <c r="R29" s="24"/>
      <c r="S29" s="25"/>
      <c r="T29" s="25"/>
      <c r="U29" s="25"/>
      <c r="V29" s="64"/>
      <c r="W29" s="70"/>
      <c r="X29" s="71"/>
      <c r="Y29" s="71"/>
      <c r="Z29" s="57"/>
      <c r="AA29" s="57"/>
      <c r="AB29" s="56"/>
      <c r="AC29" s="56"/>
      <c r="AD29" s="57"/>
      <c r="AE29" s="89" t="str">
        <f ca="1"/>
        <v>Credit Default Swap</v>
      </c>
      <c r="AF29" s="93">
        <f ca="1"/>
        <v>0</v>
      </c>
      <c r="AG29" s="25"/>
      <c r="AH29" s="25"/>
      <c r="AI29" s="25"/>
      <c r="AJ29" s="57"/>
      <c r="AK29" s="25"/>
      <c r="AL29" s="25"/>
      <c r="AM29" s="25"/>
      <c r="AN29" s="25"/>
      <c r="AO29" s="25"/>
      <c r="AP29" s="57"/>
      <c r="AQ29" s="25"/>
      <c r="AR29" s="25"/>
      <c r="AS29" s="26"/>
      <c r="AT29" s="20" t="s">
        <v>867</v>
      </c>
    </row>
    <row r="30" spans="3:46" x14ac:dyDescent="0.35">
      <c r="Q30" s="20" t="s">
        <v>867</v>
      </c>
      <c r="R30" s="24"/>
      <c r="S30" s="25"/>
      <c r="T30" s="25"/>
      <c r="U30" s="25"/>
      <c r="V30" s="64"/>
      <c r="W30" s="70"/>
      <c r="X30" s="71"/>
      <c r="Y30" s="71"/>
      <c r="Z30" s="57"/>
      <c r="AA30" s="57"/>
      <c r="AB30" s="56"/>
      <c r="AC30" s="56"/>
      <c r="AD30" s="19"/>
      <c r="AE30" s="19" t="str">
        <f ca="1"/>
        <v>Fund</v>
      </c>
      <c r="AF30" s="94">
        <f ca="1"/>
        <v>0</v>
      </c>
      <c r="AG30" s="25"/>
      <c r="AH30" s="25"/>
      <c r="AI30" s="25"/>
      <c r="AJ30" s="57"/>
      <c r="AK30" s="25"/>
      <c r="AL30" s="25"/>
      <c r="AM30" s="25"/>
      <c r="AN30" s="25"/>
      <c r="AO30" s="25"/>
      <c r="AP30" s="57"/>
      <c r="AQ30" s="25"/>
      <c r="AR30" s="25"/>
      <c r="AS30" s="26"/>
      <c r="AT30" s="20" t="s">
        <v>867</v>
      </c>
    </row>
    <row r="31" spans="3:46" x14ac:dyDescent="0.35">
      <c r="Q31" s="20" t="s">
        <v>867</v>
      </c>
      <c r="R31" s="24"/>
      <c r="S31" s="25"/>
      <c r="T31" s="25"/>
      <c r="U31" s="25"/>
      <c r="V31" s="64"/>
      <c r="W31" s="70"/>
      <c r="X31" s="71"/>
      <c r="Y31" s="71"/>
      <c r="Z31" s="57"/>
      <c r="AA31" s="57"/>
      <c r="AB31" s="56"/>
      <c r="AC31" s="56"/>
      <c r="AD31" s="85"/>
      <c r="AE31" s="85" t="s">
        <v>1230</v>
      </c>
      <c r="AF31" s="86">
        <f ca="1">SUM(AF24:AF30)</f>
        <v>-65473.569832919522</v>
      </c>
      <c r="AG31" s="25"/>
      <c r="AH31" s="25"/>
      <c r="AI31" s="25"/>
      <c r="AJ31" s="57"/>
      <c r="AK31" s="25"/>
      <c r="AL31" s="25"/>
      <c r="AM31" s="25"/>
      <c r="AN31" s="25"/>
      <c r="AO31" s="25"/>
      <c r="AP31" s="57"/>
      <c r="AQ31" s="25"/>
      <c r="AR31" s="25"/>
      <c r="AS31" s="26"/>
      <c r="AT31" s="20" t="s">
        <v>867</v>
      </c>
    </row>
    <row r="32" spans="3:46" x14ac:dyDescent="0.35">
      <c r="Q32" s="20" t="s">
        <v>867</v>
      </c>
      <c r="R32" s="24"/>
      <c r="S32" s="25"/>
      <c r="T32" s="25"/>
      <c r="U32" s="25"/>
      <c r="V32" s="64"/>
      <c r="W32" s="70"/>
      <c r="X32" s="71"/>
      <c r="Y32" s="71"/>
      <c r="Z32" s="57"/>
      <c r="AA32" s="57"/>
      <c r="AB32" s="56"/>
      <c r="AC32" s="56"/>
      <c r="AD32" s="57"/>
      <c r="AE32" s="89"/>
      <c r="AF32" s="86"/>
      <c r="AG32" s="25"/>
      <c r="AH32" s="25"/>
      <c r="AI32" s="25"/>
      <c r="AJ32" s="57"/>
      <c r="AK32" s="25"/>
      <c r="AL32" s="25"/>
      <c r="AM32" s="25"/>
      <c r="AN32" s="25"/>
      <c r="AO32" s="25"/>
      <c r="AP32" s="57"/>
      <c r="AQ32" s="25"/>
      <c r="AR32" s="25"/>
      <c r="AS32" s="26"/>
      <c r="AT32" s="20" t="s">
        <v>867</v>
      </c>
    </row>
    <row r="33" spans="1:63" x14ac:dyDescent="0.35">
      <c r="Q33" s="20" t="s">
        <v>867</v>
      </c>
      <c r="R33" s="24"/>
      <c r="S33" s="25"/>
      <c r="T33" s="25"/>
      <c r="U33" s="25"/>
      <c r="V33" s="64"/>
      <c r="W33" s="70"/>
      <c r="X33" s="71"/>
      <c r="Y33" s="71"/>
      <c r="Z33" s="57"/>
      <c r="AA33" s="57"/>
      <c r="AB33" s="56"/>
      <c r="AC33" s="56"/>
      <c r="AD33" s="57"/>
      <c r="AE33" s="89"/>
      <c r="AF33" s="86"/>
      <c r="AG33" s="25"/>
      <c r="AH33" s="25"/>
      <c r="AI33" s="25"/>
      <c r="AJ33" s="57"/>
      <c r="AK33" s="25"/>
      <c r="AL33" s="25"/>
      <c r="AM33" s="25"/>
      <c r="AN33" s="25"/>
      <c r="AO33" s="25"/>
      <c r="AP33" s="57"/>
      <c r="AQ33" s="25"/>
      <c r="AR33" s="25"/>
      <c r="AS33" s="26"/>
      <c r="AT33" s="20" t="s">
        <v>867</v>
      </c>
    </row>
    <row r="34" spans="1:63" x14ac:dyDescent="0.35">
      <c r="Q34" s="20" t="s">
        <v>867</v>
      </c>
      <c r="R34" s="24"/>
      <c r="S34" s="25"/>
      <c r="T34" s="25"/>
      <c r="U34" s="25"/>
      <c r="V34" s="64"/>
      <c r="W34" s="70"/>
      <c r="X34" s="71"/>
      <c r="Y34" s="71"/>
      <c r="Z34" s="57"/>
      <c r="AA34" s="57"/>
      <c r="AB34" s="56"/>
      <c r="AC34" s="56"/>
      <c r="AD34" s="57"/>
      <c r="AE34" s="89" t="s">
        <v>1724</v>
      </c>
      <c r="AF34" s="92">
        <f ca="1">SUM(_xlfn.ANCHORARRAY(H42))</f>
        <v>-106279.84729391952</v>
      </c>
      <c r="AG34" s="25"/>
      <c r="AH34" s="25"/>
      <c r="AI34" s="25"/>
      <c r="AJ34" s="57"/>
      <c r="AK34" s="25"/>
      <c r="AL34" s="25"/>
      <c r="AM34" s="25"/>
      <c r="AN34" s="25"/>
      <c r="AO34" s="25"/>
      <c r="AP34" s="57"/>
      <c r="AQ34" s="25"/>
      <c r="AR34" s="25"/>
      <c r="AS34" s="26"/>
      <c r="AT34" s="20" t="s">
        <v>867</v>
      </c>
    </row>
    <row r="35" spans="1:63" x14ac:dyDescent="0.35">
      <c r="Q35" s="20" t="s">
        <v>867</v>
      </c>
      <c r="R35" s="24"/>
      <c r="S35" s="25"/>
      <c r="T35" s="25"/>
      <c r="U35" s="25"/>
      <c r="V35" s="64"/>
      <c r="W35" s="70"/>
      <c r="X35" s="71"/>
      <c r="Y35" s="71"/>
      <c r="Z35" s="57"/>
      <c r="AA35" s="57"/>
      <c r="AB35" s="56"/>
      <c r="AC35" s="56"/>
      <c r="AD35" s="57"/>
      <c r="AE35" s="89" t="s">
        <v>1731</v>
      </c>
      <c r="AF35" s="94">
        <f ca="1">SUM(_xlfn.ANCHORARRAY(I42))</f>
        <v>38894.880000000201</v>
      </c>
      <c r="AG35" s="25"/>
      <c r="AH35" s="25"/>
      <c r="AI35" s="25"/>
      <c r="AJ35" s="57"/>
      <c r="AK35" s="25"/>
      <c r="AL35" s="25"/>
      <c r="AM35" s="25"/>
      <c r="AN35" s="25"/>
      <c r="AO35" s="25"/>
      <c r="AP35" s="57"/>
      <c r="AQ35" s="25"/>
      <c r="AR35" s="25"/>
      <c r="AS35" s="26"/>
      <c r="AT35" s="20" t="s">
        <v>867</v>
      </c>
    </row>
    <row r="36" spans="1:63" x14ac:dyDescent="0.35">
      <c r="Q36" s="20" t="s">
        <v>867</v>
      </c>
      <c r="R36" s="24"/>
      <c r="S36" s="25"/>
      <c r="T36" s="25"/>
      <c r="U36" s="25"/>
      <c r="V36" s="64"/>
      <c r="W36" s="70"/>
      <c r="X36" s="71"/>
      <c r="Y36" s="71"/>
      <c r="Z36" s="57"/>
      <c r="AA36" s="57"/>
      <c r="AB36" s="56"/>
      <c r="AC36" s="56"/>
      <c r="AD36" s="57"/>
      <c r="AE36" s="85" t="s">
        <v>1230</v>
      </c>
      <c r="AF36" s="86">
        <f ca="1">SUM(AF34:AF35)</f>
        <v>-67384.967293919326</v>
      </c>
      <c r="AG36" s="25"/>
      <c r="AH36" s="25"/>
      <c r="AI36" s="25"/>
      <c r="AJ36" s="57"/>
      <c r="AK36" s="25"/>
      <c r="AL36" s="25"/>
      <c r="AM36" s="25"/>
      <c r="AN36" s="25"/>
      <c r="AO36" s="25"/>
      <c r="AP36" s="57"/>
      <c r="AQ36" s="25"/>
      <c r="AR36" s="25"/>
      <c r="AS36" s="26"/>
      <c r="AT36" s="20" t="s">
        <v>867</v>
      </c>
    </row>
    <row r="37" spans="1:63" x14ac:dyDescent="0.35">
      <c r="Q37" s="20" t="s">
        <v>867</v>
      </c>
      <c r="R37" s="24"/>
      <c r="S37" s="25"/>
      <c r="T37" s="25"/>
      <c r="U37" s="25"/>
      <c r="V37" s="64"/>
      <c r="W37" s="70"/>
      <c r="X37" s="71"/>
      <c r="Y37" s="71"/>
      <c r="Z37" s="57"/>
      <c r="AA37" s="57"/>
      <c r="AB37" s="56"/>
      <c r="AC37" s="56"/>
      <c r="AD37" s="57"/>
      <c r="AE37" s="85"/>
      <c r="AF37" s="86"/>
      <c r="AG37" s="25"/>
      <c r="AH37" s="25"/>
      <c r="AI37" s="25"/>
      <c r="AJ37" s="57"/>
      <c r="AK37" s="25"/>
      <c r="AL37" s="25"/>
      <c r="AM37" s="25"/>
      <c r="AN37" s="25"/>
      <c r="AO37" s="25"/>
      <c r="AP37" s="57"/>
      <c r="AQ37" s="25"/>
      <c r="AR37" s="25"/>
      <c r="AS37" s="26"/>
      <c r="AT37" s="20" t="s">
        <v>867</v>
      </c>
    </row>
    <row r="38" spans="1:63" x14ac:dyDescent="0.35">
      <c r="C38" s="19" t="s">
        <v>1156</v>
      </c>
      <c r="H38" s="96"/>
      <c r="I38" s="97"/>
      <c r="Q38" s="20" t="s">
        <v>867</v>
      </c>
      <c r="R38" s="24"/>
      <c r="S38" s="25"/>
      <c r="T38" s="25" t="s">
        <v>1233</v>
      </c>
      <c r="U38" s="27">
        <f ca="1">NOW()</f>
        <v>44152.774792476848</v>
      </c>
      <c r="V38" s="64"/>
      <c r="W38" s="70"/>
      <c r="X38" s="71"/>
      <c r="Y38" s="71"/>
      <c r="Z38" s="57"/>
      <c r="AA38" s="57"/>
      <c r="AE38" s="89"/>
      <c r="AG38" s="25"/>
      <c r="AH38" s="25"/>
      <c r="AI38" s="25" t="s">
        <v>1234</v>
      </c>
      <c r="AJ38" s="78">
        <v>44152.774791666663</v>
      </c>
      <c r="AK38" s="37"/>
      <c r="AL38" s="25"/>
      <c r="AM38" s="25"/>
      <c r="AO38" s="25" t="s">
        <v>1235</v>
      </c>
      <c r="AP38" s="78">
        <v>44152.733124999999</v>
      </c>
      <c r="AQ38" s="25"/>
      <c r="AR38" s="25"/>
      <c r="AS38" s="26"/>
      <c r="AT38" s="20" t="s">
        <v>867</v>
      </c>
    </row>
    <row r="39" spans="1:63" x14ac:dyDescent="0.35">
      <c r="C39" s="19" t="s">
        <v>1157</v>
      </c>
      <c r="Q39" s="20" t="s">
        <v>867</v>
      </c>
      <c r="R39" s="24"/>
      <c r="S39" s="25"/>
      <c r="T39" s="25" t="s">
        <v>1254</v>
      </c>
      <c r="U39" s="91">
        <f ca="1">(U38-time_stamp)</f>
        <v>4.1667476849397644E-2</v>
      </c>
      <c r="V39" s="64"/>
      <c r="W39" s="70"/>
      <c r="X39" s="71"/>
      <c r="Y39" s="71"/>
      <c r="Z39" s="57"/>
      <c r="AA39" s="57"/>
      <c r="AB39" s="56"/>
      <c r="AC39" s="56"/>
      <c r="AD39" s="57"/>
      <c r="AE39" s="25"/>
      <c r="AF39" s="25"/>
      <c r="AG39" s="25"/>
      <c r="AH39" s="25"/>
      <c r="AI39" s="25"/>
      <c r="AJ39" s="57"/>
      <c r="AK39" s="25"/>
      <c r="AL39" s="25"/>
      <c r="AM39" s="25"/>
      <c r="AN39" s="25"/>
      <c r="AO39" s="25"/>
      <c r="AP39" s="57"/>
      <c r="AQ39" s="25"/>
      <c r="AR39" s="25"/>
      <c r="AS39" s="26"/>
      <c r="AT39" s="20" t="s">
        <v>867</v>
      </c>
    </row>
    <row r="40" spans="1:63" x14ac:dyDescent="0.35">
      <c r="Q40" s="20" t="s">
        <v>867</v>
      </c>
      <c r="R40" s="24"/>
      <c r="S40" s="25"/>
      <c r="T40" s="25"/>
      <c r="U40" s="35"/>
      <c r="V40" s="64"/>
      <c r="W40" s="70"/>
      <c r="X40" s="71"/>
      <c r="Y40" s="71"/>
      <c r="Z40" s="57"/>
      <c r="AA40" s="57"/>
      <c r="AB40" s="56"/>
      <c r="AC40" s="56"/>
      <c r="AD40" s="57"/>
      <c r="AE40" s="25"/>
      <c r="AF40" s="25"/>
      <c r="AG40" s="25"/>
      <c r="AH40" s="25"/>
      <c r="AI40" s="25"/>
      <c r="AJ40" s="57"/>
      <c r="AK40" s="25"/>
      <c r="AL40" s="25"/>
      <c r="AM40" s="25"/>
      <c r="AN40" s="25"/>
      <c r="AO40" s="25"/>
      <c r="AP40" s="57"/>
      <c r="AQ40" s="25"/>
      <c r="AR40" s="25"/>
      <c r="AS40" s="26"/>
      <c r="AT40" s="20" t="s">
        <v>867</v>
      </c>
    </row>
    <row r="41" spans="1:63" ht="29" x14ac:dyDescent="0.35">
      <c r="C41" s="45" t="s">
        <v>1155</v>
      </c>
      <c r="D41" s="45" t="s">
        <v>1644</v>
      </c>
      <c r="E41" s="45" t="s">
        <v>945</v>
      </c>
      <c r="F41" s="101"/>
      <c r="G41" s="101" t="s">
        <v>1637</v>
      </c>
      <c r="H41" s="42" t="s">
        <v>1724</v>
      </c>
      <c r="I41" s="44" t="s">
        <v>1725</v>
      </c>
      <c r="J41" s="44" t="s">
        <v>1224</v>
      </c>
      <c r="K41" s="44" t="s">
        <v>1653</v>
      </c>
      <c r="L41" s="101" t="s">
        <v>1757</v>
      </c>
      <c r="M41" s="101" t="s">
        <v>1758</v>
      </c>
      <c r="N41" s="44" t="s">
        <v>1225</v>
      </c>
      <c r="O41" s="44"/>
      <c r="Q41" s="20" t="s">
        <v>867</v>
      </c>
      <c r="R41" s="24"/>
      <c r="S41" s="25"/>
      <c r="T41" s="39" t="s">
        <v>847</v>
      </c>
      <c r="U41" s="40" t="s">
        <v>855</v>
      </c>
      <c r="V41" s="41" t="s">
        <v>856</v>
      </c>
      <c r="W41" s="46" t="s">
        <v>946</v>
      </c>
      <c r="X41" s="45" t="s">
        <v>1154</v>
      </c>
      <c r="Y41" s="45" t="s">
        <v>915</v>
      </c>
      <c r="Z41" s="40" t="s">
        <v>854</v>
      </c>
      <c r="AA41" s="42" t="s">
        <v>928</v>
      </c>
      <c r="AB41" s="48" t="s">
        <v>919</v>
      </c>
      <c r="AC41" s="48" t="s">
        <v>1226</v>
      </c>
      <c r="AD41" s="43" t="s">
        <v>1227</v>
      </c>
      <c r="AE41" s="25"/>
      <c r="AH41" s="28" t="s">
        <v>943</v>
      </c>
      <c r="AI41" s="39" t="s">
        <v>1158</v>
      </c>
      <c r="AJ41" s="49" t="s">
        <v>919</v>
      </c>
      <c r="AK41" s="28"/>
      <c r="AL41" s="28"/>
      <c r="AM41" s="28"/>
      <c r="AN41" s="28" t="s">
        <v>944</v>
      </c>
      <c r="AO41" s="39" t="s">
        <v>1158</v>
      </c>
      <c r="AP41" s="49" t="s">
        <v>919</v>
      </c>
      <c r="AQ41" s="25"/>
      <c r="AR41" s="29"/>
      <c r="AS41" s="30"/>
      <c r="AT41" s="20" t="s">
        <v>867</v>
      </c>
      <c r="AU41" s="31"/>
      <c r="AV41" s="31"/>
      <c r="AW41" s="28"/>
      <c r="AX41" s="28"/>
      <c r="AY41" s="38"/>
      <c r="AZ41" s="28"/>
      <c r="BA41" s="36"/>
      <c r="BB41" s="29"/>
      <c r="BC41" s="29"/>
      <c r="BD41" s="29"/>
      <c r="BE41" s="29"/>
      <c r="BF41" s="29"/>
      <c r="BG41" s="28"/>
      <c r="BH41" s="28"/>
      <c r="BI41" s="38"/>
      <c r="BJ41" s="28"/>
      <c r="BK41" s="29"/>
    </row>
    <row r="42" spans="1:63" x14ac:dyDescent="0.35">
      <c r="A42" s="95"/>
      <c r="B42" s="95"/>
      <c r="C42" s="25" t="str" cm="1">
        <f t="array" aca="1" ref="C42:C255" ca="1">_xlfn._xlws.FILTER(PnL_report_DL[''RH_ISIN''],PnL_report_DL[''RH_ISIN'']&lt;&gt;"")</f>
        <v>ITXEB534_TRS1</v>
      </c>
      <c r="D42" s="35" t="str" cm="1">
        <f t="array" aca="1" ref="D42:D255" ca="1">_xlfn._xlws.FILTER(PnL_report_DL[''Risk Category Name''],PnL_report_DL[''RH_ISIN'']&lt;&gt;"")</f>
        <v>VOON</v>
      </c>
      <c r="E42" s="35" cm="1">
        <f t="array" aca="1" ref="E42:E255" ca="1">_xlfn._xlws.FILTER(PnL_report_DL[''DTD Begin Price''],PnL_report_DL[''RH_ISIN'']&lt;&gt;"")</f>
        <v>-2.5779999999999998</v>
      </c>
      <c r="F42" s="102"/>
      <c r="G42" s="102" cm="1">
        <f t="array" aca="1" ref="G42:G255" ca="1">_xlfn._xlws.FILTER(PnL_report_DL[''DTD Begin Position''],PnL_report_DL[''RH_ISIN'']&lt;&gt;"")</f>
        <v>20000000</v>
      </c>
      <c r="H42" s="102" cm="1">
        <f t="array" aca="1" ref="H42:H255" ca="1">IFERROR(IF(_xlfn.ANCHORARRAY(AA42)="future",100000,1)*_xlfn.ANCHORARRAY(G42)*(_xlfn.ANCHORARRAY(Y42)-_xlfn.ANCHORARRAY(X42))/100,"-")</f>
        <v>5620.236661330935</v>
      </c>
      <c r="I42" s="37" cm="1">
        <f t="array" aca="1" ref="I42:I255" ca="1">SUMIF(trades!E:E,_xlfn.ANCHORARRAY(C42)&amp;_xlfn.ANCHORARRAY(D42),trades!O:O)</f>
        <v>0</v>
      </c>
      <c r="J42" s="37" t="str" cm="1">
        <f t="array" aca="1" ref="J42:J255" ca="1">_xlfn._xlws.FILTER(PnL_report_DL[''Security PRICING_SOURCE''],PnL_report_DL[''RH_ISIN'']&lt;&gt;"")</f>
        <v/>
      </c>
      <c r="K42" s="35" t="str" cm="1">
        <f t="array" aca="1" ref="K42:K255" ca="1">_xlfn._xlws.FILTER(PnL_report_DL[''Ccy''],PnL_report_DL[''RH_ISIN'']&lt;&gt;"")</f>
        <v>EUR</v>
      </c>
      <c r="L42" s="102" cm="1">
        <f t="array" aca="1" ref="L42:L255" ca="1">IFERROR(_xlfn.ANCHORARRAY(H42)+_xlfn.ANCHORARRAY(I42),"-")</f>
        <v>5620.236661330935</v>
      </c>
      <c r="M42" s="102" cm="1">
        <f t="array" aca="1" ref="M42:M255" ca="1">IFERROR(_xlfn.XLOOKUP(_xlfn.ANCHORARRAY(K42),$K$27:$K$29,$L$27:$L$29)*_xlfn.ANCHORARRAY(L42),"-")</f>
        <v>5620.236661330935</v>
      </c>
      <c r="N42" s="19" t="str" cm="1">
        <f t="array" aca="1" ref="N42:N255" ca="1">_xll.BDP(_xlfn.ANCHORARRAY(C42)&amp;"@"&amp;_xlfn.ANCHORARRAY(J42)&amp;" corp","last_price")</f>
        <v>#N/A Invalid Security</v>
      </c>
      <c r="Q42" s="20" t="s">
        <v>867</v>
      </c>
      <c r="R42" s="24"/>
      <c r="S42" s="25" cm="1">
        <f t="array" aca="1" ref="S42:S255" ca="1">_xlfn.SEQUENCE(ROWS(_xlfn.ANCHORARRAY(C42)),1,1,1)</f>
        <v>1</v>
      </c>
      <c r="T42" s="19" t="str" cm="1">
        <f t="array" aca="1" ref="T42:T255" ca="1">_xlfn.ANCHORARRAY(C42)</f>
        <v>ITXEB534_TRS1</v>
      </c>
      <c r="U42" s="25" t="str" cm="1">
        <f t="array" aca="1" ref="U42:U255" ca="1">_xlfn._xlws.FILTER(PnL_report_DL[''Security Ticker''],PnL_report_DL[''RH_ISIN'']&lt;&gt;"")</f>
        <v>ITXEB534_JP_2025-12-20</v>
      </c>
      <c r="V42" s="64" cm="1">
        <f t="array" aca="1" ref="V42:V255" ca="1">_xlfn._xlws.FILTER(PnL_report_DL[''Position''],PnL_report_DL[''RH_ISIN'']&lt;&gt;"")</f>
        <v>20000000</v>
      </c>
      <c r="W42" s="70" cm="1">
        <f t="array" aca="1" ref="W42:W255" ca="1">_xlfn._xlws.FILTER(PnL_report_DL[''CR01%Norm''],PnL_report_DL[''RH_ISIN'']&lt;&gt;"")</f>
        <v>-16.850000000000001</v>
      </c>
      <c r="X42" s="71" cm="1">
        <f t="array" aca="1" ref="X42:X255" ca="1">_xlfn.ANCHORARRAY(E42)</f>
        <v>-2.5779999999999998</v>
      </c>
      <c r="Y42" s="71" cm="1">
        <f t="array" aca="1" ref="Y42:Y255" ca="1">IF(LEFT(_xlfn.ANCHORARRAY(AA42),4)="bond",IF(_xlfn.ANCHORARRAY(J42)="","-",_xll.BDP(_xlfn.ANCHORARRAY(C42)&amp;"@"&amp;_xlfn.ANCHORARRAY(J42)&amp;" corp","last_price")),IF(_xlfn.ANCHORARRAY(AA42)="future",_xll.BDP(_xlfn.ANCHORARRAY(U42),"last_price"),IF(_xlfn.ANCHORARRAY(AA42)="Exchange Traded Fund",_xll.BDP(_xlfn.ANCHORARRAY(U42)&amp;" equity","last_price"),IF(_xlfn.ANCHORARRAY(AA42)="CDS Index Swap",_xll.BDP(LEFT(_xlfn.ANCHORARRAY(C42),8)&amp;" Curncy","px_eval","cds_5y","-"),"-"))))</f>
        <v>-2.5498988166933452</v>
      </c>
      <c r="Z42" s="57" t="str" cm="1">
        <f t="array" aca="1" ref="Z42:Z255" ca="1">_xlfn._xlws.FILTER(PnL_report_DL[''Risk Category Name''],PnL_report_DL[''RH_ISIN'']&lt;&gt;"")</f>
        <v>VOON</v>
      </c>
      <c r="AA42" s="57" t="str" cm="1">
        <f t="array" aca="1" ref="AA42:AA255" ca="1">_xlfn._xlws.FILTER(PnL_report_DL[''Security Type Name''],PnL_report_DL[''RH_ISIN'']&lt;&gt;"")</f>
        <v>CDS Index Swap</v>
      </c>
      <c r="AB42" s="56" cm="1">
        <f t="array" aca="1" ref="AB42:AB255" ca="1">_xlfn.ANCHORARRAY(M42)</f>
        <v>5620.236661330935</v>
      </c>
      <c r="AC42" s="56">
        <f ca="1">IFERROR(IF(ISBLANK(AB42),"-",AB42-_xlfn.XLOOKUP(T42,AI:AI,AJ:AJ)),"-")</f>
        <v>0</v>
      </c>
      <c r="AD42" s="56">
        <f ca="1">IFERROR(IF(ISBLANK(AB42),"-",AB42-_xlfn.XLOOKUP(T42,AO:AO,AP:AP)),"-")</f>
        <v>-612.80301422588218</v>
      </c>
      <c r="AE42" s="25"/>
      <c r="AF42" s="25"/>
      <c r="AG42" s="25"/>
      <c r="AH42" s="25"/>
      <c r="AI42" s="50" t="s">
        <v>2</v>
      </c>
      <c r="AJ42" s="79">
        <v>5620.236661330935</v>
      </c>
      <c r="AK42" s="25"/>
      <c r="AL42" s="25"/>
      <c r="AM42" s="25"/>
      <c r="AN42" s="25"/>
      <c r="AO42" s="50" t="s">
        <v>2</v>
      </c>
      <c r="AP42" s="79">
        <v>5620.236661330935</v>
      </c>
      <c r="AQ42" s="25"/>
      <c r="AR42" s="25"/>
      <c r="AS42" s="26"/>
      <c r="AT42" s="20" t="s">
        <v>867</v>
      </c>
      <c r="AW42" s="25"/>
      <c r="AX42" s="25"/>
      <c r="AY42" s="37"/>
      <c r="AZ42" s="25"/>
      <c r="BA42" s="35"/>
      <c r="BB42" s="25"/>
      <c r="BC42" s="25"/>
      <c r="BD42" s="25"/>
      <c r="BE42" s="25"/>
      <c r="BF42" s="25"/>
      <c r="BG42" s="25"/>
      <c r="BH42" s="25"/>
      <c r="BI42" s="37"/>
      <c r="BJ42" s="25"/>
      <c r="BK42" s="25"/>
    </row>
    <row r="43" spans="1:63" x14ac:dyDescent="0.35">
      <c r="C43" s="25" t="str">
        <f ca="1"/>
        <v>IE00BL6XZW69</v>
      </c>
      <c r="D43" s="25" t="str">
        <f ca="1"/>
        <v>VOON</v>
      </c>
      <c r="E43" s="35">
        <f ca="1"/>
        <v>101.995</v>
      </c>
      <c r="F43" s="102"/>
      <c r="G43" s="102">
        <f ca="1"/>
        <v>50500</v>
      </c>
      <c r="H43" s="25">
        <f ca="1"/>
        <v>-15.150000000000572</v>
      </c>
      <c r="I43" s="37">
        <f ca="1"/>
        <v>0</v>
      </c>
      <c r="J43" s="37" t="str">
        <f ca="1"/>
        <v>LN</v>
      </c>
      <c r="K43" s="35" t="str">
        <f ca="1"/>
        <v>EUR</v>
      </c>
      <c r="L43" s="102">
        <f ca="1"/>
        <v>-15.150000000000572</v>
      </c>
      <c r="M43" s="102">
        <f ca="1"/>
        <v>-15.150000000000572</v>
      </c>
      <c r="N43" s="19" t="str">
        <f ca="1"/>
        <v>#N/A Invalid Security</v>
      </c>
      <c r="Q43" s="20" t="s">
        <v>867</v>
      </c>
      <c r="R43" s="24"/>
      <c r="S43" s="25">
        <f ca="1"/>
        <v>2</v>
      </c>
      <c r="T43" s="19" t="str">
        <f ca="1"/>
        <v>IE00BL6XZW69</v>
      </c>
      <c r="U43" s="25" t="str">
        <f ca="1"/>
        <v>TTRX LN</v>
      </c>
      <c r="V43" s="64">
        <f ca="1"/>
        <v>50500</v>
      </c>
      <c r="W43" s="70">
        <f ca="1"/>
        <v>3.21</v>
      </c>
      <c r="X43" s="71">
        <f ca="1"/>
        <v>101.995</v>
      </c>
      <c r="Y43" s="71">
        <f ca="1"/>
        <v>101.965</v>
      </c>
      <c r="Z43" s="57" t="str">
        <f ca="1"/>
        <v>VOON</v>
      </c>
      <c r="AA43" s="57" t="str">
        <f ca="1"/>
        <v>Exchange Traded Fund</v>
      </c>
      <c r="AB43" s="56">
        <f ca="1"/>
        <v>-15.150000000000572</v>
      </c>
      <c r="AC43" s="56">
        <f ca="1">IFERROR(IF(ISBLANK(AB43),"-",AB43-_xlfn.XLOOKUP(T43,AI:AI,AJ:AJ)),"-")</f>
        <v>0</v>
      </c>
      <c r="AD43" s="56">
        <f ca="1">IFERROR(IF(ISBLANK(AB43),"-",AB43-_xlfn.XLOOKUP(T43,AO:AO,AP:AP)),"-")</f>
        <v>-15.150000000000572</v>
      </c>
      <c r="AE43" s="25"/>
      <c r="AF43" s="25"/>
      <c r="AG43" s="25"/>
      <c r="AH43" s="25"/>
      <c r="AI43" s="51" t="s">
        <v>21</v>
      </c>
      <c r="AJ43" s="80">
        <v>-15.150000000000572</v>
      </c>
      <c r="AK43" s="25"/>
      <c r="AL43" s="25"/>
      <c r="AM43" s="25"/>
      <c r="AN43" s="25"/>
      <c r="AO43" s="51" t="s">
        <v>21</v>
      </c>
      <c r="AP43" s="80">
        <v>-15.150000000000572</v>
      </c>
      <c r="AQ43" s="25"/>
      <c r="AR43" s="25"/>
      <c r="AS43" s="26"/>
      <c r="AT43" s="20" t="s">
        <v>867</v>
      </c>
      <c r="AW43" s="25"/>
      <c r="AX43" s="25"/>
      <c r="AY43" s="37"/>
      <c r="AZ43" s="25"/>
      <c r="BA43" s="35"/>
      <c r="BB43" s="25"/>
      <c r="BC43" s="25"/>
      <c r="BD43" s="25"/>
      <c r="BE43" s="25"/>
      <c r="BF43" s="25"/>
      <c r="BG43" s="25"/>
      <c r="BH43" s="25"/>
      <c r="BI43" s="37"/>
      <c r="BJ43" s="25"/>
      <c r="BK43" s="25"/>
    </row>
    <row r="44" spans="1:63" x14ac:dyDescent="0.35">
      <c r="C44" s="25" t="str">
        <f ca="1"/>
        <v>RXZ0</v>
      </c>
      <c r="D44" s="25" t="str">
        <f ca="1"/>
        <v>VOON</v>
      </c>
      <c r="E44" s="35">
        <f ca="1"/>
        <v>174.93</v>
      </c>
      <c r="F44" s="102"/>
      <c r="G44" s="102">
        <f ca="1"/>
        <v>-90</v>
      </c>
      <c r="H44" s="25">
        <f ca="1"/>
        <v>-26099.999999999283</v>
      </c>
      <c r="I44" s="37">
        <f ca="1"/>
        <v>429.9999999997226</v>
      </c>
      <c r="J44" s="37" t="str">
        <f ca="1"/>
        <v>EX</v>
      </c>
      <c r="K44" s="35" t="str">
        <f ca="1"/>
        <v>EUR</v>
      </c>
      <c r="L44" s="102">
        <f ca="1"/>
        <v>-25669.99999999956</v>
      </c>
      <c r="M44" s="102">
        <f ca="1"/>
        <v>-25669.99999999956</v>
      </c>
      <c r="N44" s="19" t="str">
        <f ca="1"/>
        <v>#N/A Invalid Security</v>
      </c>
      <c r="Q44" s="20" t="s">
        <v>867</v>
      </c>
      <c r="R44" s="24"/>
      <c r="S44" s="25">
        <f ca="1"/>
        <v>3</v>
      </c>
      <c r="T44" s="19" t="str">
        <f ca="1"/>
        <v>RXZ0</v>
      </c>
      <c r="U44" s="25" t="str">
        <f ca="1"/>
        <v>RXZ0 Comdty</v>
      </c>
      <c r="V44" s="64">
        <f ca="1"/>
        <v>-71</v>
      </c>
      <c r="W44" s="70">
        <f ca="1"/>
        <v>0</v>
      </c>
      <c r="X44" s="71">
        <f ca="1"/>
        <v>174.93</v>
      </c>
      <c r="Y44" s="71">
        <f ca="1"/>
        <v>175.22</v>
      </c>
      <c r="Z44" s="57" t="str">
        <f ca="1"/>
        <v>VOON</v>
      </c>
      <c r="AA44" s="57" t="str">
        <f ca="1"/>
        <v>Future</v>
      </c>
      <c r="AB44" s="56">
        <f ca="1"/>
        <v>-25669.99999999956</v>
      </c>
      <c r="AC44" s="56">
        <f ca="1">IFERROR(IF(ISBLANK(AB44),"-",AB44-_xlfn.XLOOKUP(T44,AI:AI,AJ:AJ)),"-")</f>
        <v>-4969.9999999995125</v>
      </c>
      <c r="AD44" s="56">
        <f ca="1">IFERROR(IF(ISBLANK(AB44),"-",AB44-_xlfn.XLOOKUP(T44,AO:AO,AP:AP)),"-")</f>
        <v>-1420.0000000007276</v>
      </c>
      <c r="AE44" s="25"/>
      <c r="AF44" s="25"/>
      <c r="AG44" s="25"/>
      <c r="AH44" s="25"/>
      <c r="AI44" s="51" t="s">
        <v>11</v>
      </c>
      <c r="AJ44" s="80">
        <v>-25669.99999999956</v>
      </c>
      <c r="AK44" s="25"/>
      <c r="AL44" s="25"/>
      <c r="AM44" s="25"/>
      <c r="AN44" s="25"/>
      <c r="AO44" s="51" t="s">
        <v>11</v>
      </c>
      <c r="AP44" s="80">
        <v>-20700.000000000047</v>
      </c>
      <c r="AQ44" s="25"/>
      <c r="AR44" s="25"/>
      <c r="AS44" s="26"/>
      <c r="AT44" s="20" t="s">
        <v>867</v>
      </c>
      <c r="AW44" s="25"/>
      <c r="AX44" s="25"/>
      <c r="AY44" s="37"/>
      <c r="AZ44" s="25"/>
      <c r="BA44" s="35"/>
      <c r="BB44" s="25"/>
      <c r="BC44" s="25"/>
      <c r="BD44" s="25"/>
      <c r="BE44" s="25"/>
      <c r="BF44" s="25"/>
      <c r="BG44" s="25"/>
      <c r="BH44" s="25"/>
      <c r="BI44" s="37"/>
      <c r="BJ44" s="25"/>
      <c r="BK44" s="25"/>
    </row>
    <row r="45" spans="1:63" x14ac:dyDescent="0.35">
      <c r="C45" s="25" t="str">
        <f ca="1"/>
        <v>OEZ0</v>
      </c>
      <c r="D45" s="25" t="str">
        <f ca="1"/>
        <v>VOON</v>
      </c>
      <c r="E45" s="35">
        <f ca="1"/>
        <v>135.30000000000001</v>
      </c>
      <c r="F45" s="102"/>
      <c r="G45" s="102">
        <f ca="1"/>
        <v>-70</v>
      </c>
      <c r="H45" s="25">
        <f ca="1"/>
        <v>-5599.9999999988859</v>
      </c>
      <c r="I45" s="37">
        <f ca="1"/>
        <v>110.00000000026942</v>
      </c>
      <c r="J45" s="37" t="str">
        <f ca="1"/>
        <v>EX</v>
      </c>
      <c r="K45" s="35" t="str">
        <f ca="1"/>
        <v>EUR</v>
      </c>
      <c r="L45" s="102">
        <f ca="1"/>
        <v>-5489.9999999986167</v>
      </c>
      <c r="M45" s="102">
        <f ca="1"/>
        <v>-5489.9999999986167</v>
      </c>
      <c r="N45" s="19" t="str">
        <f ca="1"/>
        <v>#N/A Invalid Security</v>
      </c>
      <c r="Q45" s="20" t="s">
        <v>867</v>
      </c>
      <c r="R45" s="24"/>
      <c r="S45" s="25">
        <f ca="1"/>
        <v>4</v>
      </c>
      <c r="T45" s="19" t="str">
        <f ca="1"/>
        <v>OEZ0</v>
      </c>
      <c r="U45" s="25" t="str">
        <f ca="1"/>
        <v>OEZ0 Comdty</v>
      </c>
      <c r="V45" s="64">
        <f ca="1"/>
        <v>-80</v>
      </c>
      <c r="W45" s="70">
        <f ca="1"/>
        <v>0</v>
      </c>
      <c r="X45" s="71">
        <f ca="1"/>
        <v>135.30000000000001</v>
      </c>
      <c r="Y45" s="71">
        <f ca="1"/>
        <v>135.38</v>
      </c>
      <c r="Z45" s="57" t="str">
        <f ca="1"/>
        <v>VOON</v>
      </c>
      <c r="AA45" s="57" t="str">
        <f ca="1"/>
        <v>Future</v>
      </c>
      <c r="AB45" s="56">
        <f ca="1"/>
        <v>-5489.9999999986167</v>
      </c>
      <c r="AC45" s="56">
        <f ca="1">IFERROR(IF(ISBLANK(AB45),"-",AB45-_xlfn.XLOOKUP(T45,AI:AI,AJ:AJ)),"-")</f>
        <v>-3199.9999999993638</v>
      </c>
      <c r="AD45" s="56">
        <f ca="1">IFERROR(IF(ISBLANK(AB45),"-",AB45-_xlfn.XLOOKUP(T45,AO:AO,AP:AP)),"-")</f>
        <v>-1599.9999999985448</v>
      </c>
      <c r="AE45" s="25"/>
      <c r="AF45" s="25"/>
      <c r="AG45" s="25"/>
      <c r="AH45" s="25"/>
      <c r="AI45" s="51" t="s">
        <v>16</v>
      </c>
      <c r="AJ45" s="80">
        <v>-5489.9999999986167</v>
      </c>
      <c r="AK45" s="25"/>
      <c r="AL45" s="25"/>
      <c r="AM45" s="25"/>
      <c r="AN45" s="25"/>
      <c r="AO45" s="51" t="s">
        <v>16</v>
      </c>
      <c r="AP45" s="80">
        <v>-2289.9999999992529</v>
      </c>
      <c r="AQ45" s="25"/>
      <c r="AR45" s="25"/>
      <c r="AS45" s="26"/>
      <c r="AT45" s="20" t="s">
        <v>867</v>
      </c>
      <c r="AW45" s="25"/>
      <c r="AX45" s="25"/>
      <c r="AY45" s="37"/>
      <c r="AZ45" s="25"/>
      <c r="BA45" s="35"/>
      <c r="BB45" s="25"/>
      <c r="BC45" s="25"/>
      <c r="BD45" s="25"/>
      <c r="BE45" s="25"/>
      <c r="BF45" s="25"/>
      <c r="BG45" s="25"/>
      <c r="BH45" s="25"/>
      <c r="BI45" s="37"/>
      <c r="BJ45" s="25"/>
      <c r="BK45" s="25"/>
    </row>
    <row r="46" spans="1:63" x14ac:dyDescent="0.35">
      <c r="C46" s="25" t="str">
        <f ca="1"/>
        <v>UBZ0</v>
      </c>
      <c r="D46" s="25" t="str">
        <f ca="1"/>
        <v>VOON</v>
      </c>
      <c r="E46" s="35">
        <f ca="1"/>
        <v>224.94</v>
      </c>
      <c r="F46" s="102"/>
      <c r="G46" s="102">
        <f ca="1"/>
        <v>-17</v>
      </c>
      <c r="H46" s="25">
        <f ca="1"/>
        <v>-20399.999999999807</v>
      </c>
      <c r="I46" s="37">
        <f ca="1"/>
        <v>2519.9999999998963</v>
      </c>
      <c r="J46" s="37" t="str">
        <f ca="1"/>
        <v>EX</v>
      </c>
      <c r="K46" s="35" t="str">
        <f ca="1"/>
        <v>EUR</v>
      </c>
      <c r="L46" s="102">
        <f ca="1"/>
        <v>-17879.999999999913</v>
      </c>
      <c r="M46" s="102">
        <f ca="1"/>
        <v>-17879.999999999913</v>
      </c>
      <c r="N46" s="19" t="str">
        <f ca="1"/>
        <v>#N/A Invalid Security</v>
      </c>
      <c r="Q46" s="20" t="s">
        <v>867</v>
      </c>
      <c r="R46" s="24"/>
      <c r="S46" s="25">
        <f ca="1"/>
        <v>5</v>
      </c>
      <c r="T46" s="19" t="str">
        <f ca="1"/>
        <v>UBZ0</v>
      </c>
      <c r="U46" s="25" t="str">
        <f ca="1"/>
        <v>UBZ0 Comdty</v>
      </c>
      <c r="V46" s="64">
        <f ca="1"/>
        <v>-13</v>
      </c>
      <c r="W46" s="70">
        <f ca="1"/>
        <v>0</v>
      </c>
      <c r="X46" s="71">
        <f ca="1"/>
        <v>224.94</v>
      </c>
      <c r="Y46" s="71">
        <f ca="1"/>
        <v>226.14</v>
      </c>
      <c r="Z46" s="57" t="str">
        <f ca="1"/>
        <v>VOON</v>
      </c>
      <c r="AA46" s="57" t="str">
        <f ca="1"/>
        <v>Future</v>
      </c>
      <c r="AB46" s="56">
        <f ca="1"/>
        <v>-17879.999999999913</v>
      </c>
      <c r="AC46" s="56">
        <f ca="1">IFERROR(IF(ISBLANK(AB46),"-",AB46-_xlfn.XLOOKUP(T46,AI:AI,AJ:AJ)),"-")</f>
        <v>-3639.9999999996489</v>
      </c>
      <c r="AD46" s="56">
        <f ca="1">IFERROR(IF(ISBLANK(AB46),"-",AB46-_xlfn.XLOOKUP(T46,AO:AO,AP:AP)),"-")</f>
        <v>-1579.9999999996762</v>
      </c>
      <c r="AE46" s="25"/>
      <c r="AF46" s="25"/>
      <c r="AG46" s="25"/>
      <c r="AH46" s="25"/>
      <c r="AI46" s="51" t="s">
        <v>25</v>
      </c>
      <c r="AJ46" s="80">
        <v>-17879.999999999913</v>
      </c>
      <c r="AK46" s="25"/>
      <c r="AL46" s="25"/>
      <c r="AM46" s="25"/>
      <c r="AN46" s="25"/>
      <c r="AO46" s="51" t="s">
        <v>25</v>
      </c>
      <c r="AP46" s="80">
        <v>-14240.000000000264</v>
      </c>
      <c r="AQ46" s="25"/>
      <c r="AR46" s="25"/>
      <c r="AS46" s="26"/>
      <c r="AT46" s="20" t="s">
        <v>867</v>
      </c>
      <c r="AW46" s="25"/>
      <c r="AX46" s="25"/>
      <c r="AY46" s="37"/>
      <c r="AZ46" s="25"/>
      <c r="BA46" s="35"/>
      <c r="BB46" s="25"/>
      <c r="BC46" s="25"/>
      <c r="BD46" s="25"/>
      <c r="BE46" s="25"/>
      <c r="BF46" s="25"/>
      <c r="BG46" s="25"/>
      <c r="BH46" s="25"/>
      <c r="BI46" s="37"/>
      <c r="BJ46" s="25"/>
      <c r="BK46" s="25"/>
    </row>
    <row r="47" spans="1:63" x14ac:dyDescent="0.35">
      <c r="C47" s="25" t="str">
        <f ca="1"/>
        <v>DUZ0</v>
      </c>
      <c r="D47" s="25" t="str">
        <f ca="1"/>
        <v>VOON</v>
      </c>
      <c r="E47" s="35">
        <f ca="1"/>
        <v>112.30500000000001</v>
      </c>
      <c r="F47" s="102"/>
      <c r="G47" s="102">
        <f ca="1"/>
        <v>-50</v>
      </c>
      <c r="H47" s="25">
        <f ca="1"/>
        <v>-499.99999999954525</v>
      </c>
      <c r="I47" s="37">
        <f ca="1"/>
        <v>0</v>
      </c>
      <c r="J47" s="37" t="str">
        <f ca="1"/>
        <v>EX</v>
      </c>
      <c r="K47" s="35" t="str">
        <f ca="1"/>
        <v>EUR</v>
      </c>
      <c r="L47" s="102">
        <f ca="1"/>
        <v>-499.99999999954525</v>
      </c>
      <c r="M47" s="102">
        <f ca="1"/>
        <v>-499.99999999954525</v>
      </c>
      <c r="N47" s="19" t="str">
        <f ca="1"/>
        <v>#N/A Invalid Security</v>
      </c>
      <c r="Q47" s="20" t="s">
        <v>867</v>
      </c>
      <c r="R47" s="24"/>
      <c r="S47" s="25">
        <f ca="1"/>
        <v>6</v>
      </c>
      <c r="T47" s="19" t="str">
        <f ca="1"/>
        <v>DUZ0</v>
      </c>
      <c r="U47" s="25" t="str">
        <f ca="1"/>
        <v>DUZ0 Comdty</v>
      </c>
      <c r="V47" s="64">
        <f ca="1"/>
        <v>-50</v>
      </c>
      <c r="W47" s="70">
        <f ca="1"/>
        <v>0</v>
      </c>
      <c r="X47" s="71">
        <f ca="1"/>
        <v>112.30500000000001</v>
      </c>
      <c r="Y47" s="71">
        <f ca="1"/>
        <v>112.315</v>
      </c>
      <c r="Z47" s="57" t="str">
        <f ca="1"/>
        <v>VOON</v>
      </c>
      <c r="AA47" s="57" t="str">
        <f ca="1"/>
        <v>Future</v>
      </c>
      <c r="AB47" s="56">
        <f ca="1"/>
        <v>-499.99999999954525</v>
      </c>
      <c r="AC47" s="56">
        <f ca="1">IFERROR(IF(ISBLANK(AB47),"-",AB47-_xlfn.XLOOKUP(T47,AI:AI,AJ:AJ)),"-")</f>
        <v>-499.99999999954525</v>
      </c>
      <c r="AD47" s="56">
        <f ca="1">IFERROR(IF(ISBLANK(AB47),"-",AB47-_xlfn.XLOOKUP(T47,AO:AO,AP:AP)),"-")</f>
        <v>-499.99999999954525</v>
      </c>
      <c r="AE47" s="25"/>
      <c r="AF47" s="25"/>
      <c r="AG47" s="25"/>
      <c r="AH47" s="25"/>
      <c r="AI47" s="51" t="s">
        <v>23</v>
      </c>
      <c r="AJ47" s="80">
        <v>-499.99999999954525</v>
      </c>
      <c r="AK47" s="25"/>
      <c r="AL47" s="25"/>
      <c r="AM47" s="25"/>
      <c r="AN47" s="25"/>
      <c r="AO47" s="51" t="s">
        <v>23</v>
      </c>
      <c r="AP47" s="80">
        <v>0</v>
      </c>
      <c r="AQ47" s="25"/>
      <c r="AR47" s="25"/>
      <c r="AS47" s="26"/>
      <c r="AT47" s="20" t="s">
        <v>867</v>
      </c>
      <c r="AW47" s="25"/>
      <c r="AX47" s="25"/>
      <c r="AY47" s="37"/>
      <c r="AZ47" s="25"/>
      <c r="BA47" s="35"/>
      <c r="BB47" s="25"/>
      <c r="BC47" s="25"/>
      <c r="BD47" s="25"/>
      <c r="BE47" s="25"/>
      <c r="BF47" s="25"/>
      <c r="BG47" s="25"/>
      <c r="BH47" s="25"/>
      <c r="BI47" s="37"/>
      <c r="BJ47" s="25"/>
      <c r="BK47" s="25"/>
    </row>
    <row r="48" spans="1:63" x14ac:dyDescent="0.35">
      <c r="C48" s="25" t="str">
        <f ca="1"/>
        <v>BE6320936287</v>
      </c>
      <c r="D48" s="25" t="str">
        <f ca="1"/>
        <v>VOON</v>
      </c>
      <c r="E48" s="35">
        <f ca="1"/>
        <v>138.01900000000001</v>
      </c>
      <c r="F48" s="102"/>
      <c r="G48" s="102">
        <f ca="1"/>
        <v>0</v>
      </c>
      <c r="H48" s="25">
        <f ca="1"/>
        <v>0</v>
      </c>
      <c r="I48" s="37">
        <f ca="1"/>
        <v>0</v>
      </c>
      <c r="J48" s="37" t="str">
        <f ca="1"/>
        <v>BGN</v>
      </c>
      <c r="K48" s="35" t="str">
        <f ca="1"/>
        <v>EUR</v>
      </c>
      <c r="L48" s="102">
        <f ca="1"/>
        <v>0</v>
      </c>
      <c r="M48" s="102">
        <f ca="1"/>
        <v>0</v>
      </c>
      <c r="N48" s="19">
        <f ca="1"/>
        <v>138.846</v>
      </c>
      <c r="Q48" s="20" t="s">
        <v>867</v>
      </c>
      <c r="R48" s="24"/>
      <c r="S48" s="25">
        <f ca="1"/>
        <v>7</v>
      </c>
      <c r="T48" s="19" t="str">
        <f ca="1"/>
        <v>BE6320936287</v>
      </c>
      <c r="U48" s="25" t="str">
        <f ca="1"/>
        <v>ABIBB 3.7 04/02/40</v>
      </c>
      <c r="V48" s="64">
        <f ca="1"/>
        <v>0</v>
      </c>
      <c r="W48" s="70">
        <f ca="1"/>
        <v>0</v>
      </c>
      <c r="X48" s="71">
        <f ca="1"/>
        <v>138.01900000000001</v>
      </c>
      <c r="Y48" s="71">
        <f ca="1"/>
        <v>138.846</v>
      </c>
      <c r="Z48" s="57" t="str">
        <f ca="1"/>
        <v>VOON</v>
      </c>
      <c r="AA48" s="57" t="str">
        <f ca="1"/>
        <v>Bond Corporate</v>
      </c>
      <c r="AB48" s="56">
        <f ca="1"/>
        <v>0</v>
      </c>
      <c r="AC48" s="56">
        <f ca="1">IFERROR(IF(ISBLANK(AB48),"-",AB48-_xlfn.XLOOKUP(T48,AI:AI,AJ:AJ)),"-")</f>
        <v>0</v>
      </c>
      <c r="AD48" s="56">
        <f ca="1">IFERROR(IF(ISBLANK(AB48),"-",AB48-_xlfn.XLOOKUP(T48,AO:AO,AP:AP)),"-")</f>
        <v>0</v>
      </c>
      <c r="AE48" s="25"/>
      <c r="AF48" s="25"/>
      <c r="AG48" s="25"/>
      <c r="AH48" s="25"/>
      <c r="AI48" s="51" t="s">
        <v>27</v>
      </c>
      <c r="AJ48" s="80">
        <v>0</v>
      </c>
      <c r="AK48" s="25"/>
      <c r="AL48" s="25"/>
      <c r="AM48" s="25"/>
      <c r="AN48" s="25"/>
      <c r="AO48" s="51" t="s">
        <v>27</v>
      </c>
      <c r="AP48" s="80">
        <v>0</v>
      </c>
      <c r="AQ48" s="25"/>
      <c r="AR48" s="25"/>
      <c r="AS48" s="26"/>
      <c r="AT48" s="20" t="s">
        <v>867</v>
      </c>
      <c r="AW48" s="25"/>
      <c r="AX48" s="25"/>
      <c r="AY48" s="37"/>
      <c r="AZ48" s="25"/>
      <c r="BA48" s="35"/>
      <c r="BB48" s="25"/>
      <c r="BC48" s="25"/>
      <c r="BD48" s="25"/>
      <c r="BE48" s="25"/>
      <c r="BF48" s="25"/>
      <c r="BG48" s="25"/>
      <c r="BH48" s="25"/>
      <c r="BI48" s="37"/>
      <c r="BJ48" s="25"/>
      <c r="BK48" s="25"/>
    </row>
    <row r="49" spans="3:63" x14ac:dyDescent="0.35">
      <c r="C49" s="25" t="str">
        <f ca="1"/>
        <v>BE6320935271</v>
      </c>
      <c r="D49" s="25" t="str">
        <f ca="1"/>
        <v>VOON</v>
      </c>
      <c r="E49" s="35">
        <f ca="1"/>
        <v>124.617</v>
      </c>
      <c r="F49" s="102"/>
      <c r="G49" s="102">
        <f ca="1"/>
        <v>-1500000</v>
      </c>
      <c r="H49" s="25">
        <f ca="1"/>
        <v>-4529.9999999998872</v>
      </c>
      <c r="I49" s="37">
        <f ca="1"/>
        <v>0</v>
      </c>
      <c r="J49" s="37" t="str">
        <f ca="1"/>
        <v>BGN</v>
      </c>
      <c r="K49" s="35" t="str">
        <f ca="1"/>
        <v>EUR</v>
      </c>
      <c r="L49" s="102">
        <f ca="1"/>
        <v>-4529.9999999998872</v>
      </c>
      <c r="M49" s="102">
        <f ca="1"/>
        <v>-4529.9999999998872</v>
      </c>
      <c r="N49" s="19">
        <f ca="1"/>
        <v>124.919</v>
      </c>
      <c r="Q49" s="20" t="s">
        <v>867</v>
      </c>
      <c r="R49" s="24"/>
      <c r="S49" s="25">
        <f ca="1"/>
        <v>8</v>
      </c>
      <c r="T49" s="19" t="str">
        <f ca="1"/>
        <v>BE6320935271</v>
      </c>
      <c r="U49" s="25" t="str">
        <f ca="1"/>
        <v>ABIBB 2 7/8 04/02/32</v>
      </c>
      <c r="V49" s="64">
        <f ca="1"/>
        <v>-1500000</v>
      </c>
      <c r="W49" s="70">
        <f ca="1"/>
        <v>-4.78</v>
      </c>
      <c r="X49" s="71">
        <f ca="1"/>
        <v>124.617</v>
      </c>
      <c r="Y49" s="71">
        <f ca="1"/>
        <v>124.919</v>
      </c>
      <c r="Z49" s="57" t="str">
        <f ca="1"/>
        <v>VOON</v>
      </c>
      <c r="AA49" s="57" t="str">
        <f ca="1"/>
        <v>Bond Corporate</v>
      </c>
      <c r="AB49" s="56">
        <f ca="1"/>
        <v>-4529.9999999998872</v>
      </c>
      <c r="AC49" s="56">
        <f ca="1">IFERROR(IF(ISBLANK(AB49),"-",AB49-_xlfn.XLOOKUP(T49,AI:AI,AJ:AJ)),"-")</f>
        <v>0</v>
      </c>
      <c r="AD49" s="56">
        <f ca="1">IFERROR(IF(ISBLANK(AB49),"-",AB49-_xlfn.XLOOKUP(T49,AO:AO,AP:AP)),"-")</f>
        <v>-45.000000000000909</v>
      </c>
      <c r="AE49" s="25"/>
      <c r="AF49" s="25"/>
      <c r="AG49" s="25"/>
      <c r="AH49" s="25"/>
      <c r="AI49" s="51" t="s">
        <v>32</v>
      </c>
      <c r="AJ49" s="80">
        <v>-4529.9999999998872</v>
      </c>
      <c r="AK49" s="25"/>
      <c r="AL49" s="25"/>
      <c r="AM49" s="25"/>
      <c r="AN49" s="25"/>
      <c r="AO49" s="51" t="s">
        <v>32</v>
      </c>
      <c r="AP49" s="80">
        <v>-4529.9999999998872</v>
      </c>
      <c r="AQ49" s="25"/>
      <c r="AR49" s="25"/>
      <c r="AS49" s="26"/>
      <c r="AT49" s="20" t="s">
        <v>867</v>
      </c>
      <c r="AW49" s="25"/>
      <c r="AX49" s="25"/>
      <c r="AY49" s="37"/>
      <c r="AZ49" s="25"/>
      <c r="BA49" s="35"/>
      <c r="BB49" s="25"/>
      <c r="BC49" s="25"/>
      <c r="BD49" s="25"/>
      <c r="BE49" s="25"/>
      <c r="BF49" s="25"/>
      <c r="BG49" s="25"/>
      <c r="BH49" s="25"/>
      <c r="BI49" s="37"/>
      <c r="BJ49" s="25"/>
      <c r="BK49" s="25"/>
    </row>
    <row r="50" spans="3:63" x14ac:dyDescent="0.35">
      <c r="C50" s="25" t="str">
        <f ca="1"/>
        <v>FR0013382348</v>
      </c>
      <c r="D50" s="25" t="str">
        <f ca="1"/>
        <v>VOON</v>
      </c>
      <c r="E50" s="35">
        <f ca="1"/>
        <v>113.298</v>
      </c>
      <c r="F50" s="102"/>
      <c r="G50" s="102">
        <f ca="1"/>
        <v>0</v>
      </c>
      <c r="H50" s="25">
        <f ca="1"/>
        <v>0</v>
      </c>
      <c r="I50" s="37">
        <f ca="1"/>
        <v>0</v>
      </c>
      <c r="J50" s="37" t="str">
        <f ca="1"/>
        <v>BGN</v>
      </c>
      <c r="K50" s="35" t="str">
        <f ca="1"/>
        <v>EUR</v>
      </c>
      <c r="L50" s="102">
        <f ca="1"/>
        <v>0</v>
      </c>
      <c r="M50" s="102">
        <f ca="1"/>
        <v>0</v>
      </c>
      <c r="N50" s="19">
        <f ca="1"/>
        <v>113.517</v>
      </c>
      <c r="Q50" s="20" t="s">
        <v>867</v>
      </c>
      <c r="R50" s="24"/>
      <c r="S50" s="25">
        <f ca="1"/>
        <v>9</v>
      </c>
      <c r="T50" s="19" t="str">
        <f ca="1"/>
        <v>FR0013382348</v>
      </c>
      <c r="U50" s="25" t="str">
        <f ca="1"/>
        <v>ARRFP 1 1/2 01/25/30</v>
      </c>
      <c r="V50" s="64">
        <f ca="1"/>
        <v>0</v>
      </c>
      <c r="W50" s="70">
        <f ca="1"/>
        <v>0</v>
      </c>
      <c r="X50" s="71">
        <f ca="1"/>
        <v>113.298</v>
      </c>
      <c r="Y50" s="71">
        <f ca="1"/>
        <v>113.517</v>
      </c>
      <c r="Z50" s="57" t="str">
        <f ca="1"/>
        <v>VOON</v>
      </c>
      <c r="AA50" s="57" t="str">
        <f ca="1"/>
        <v>Bond Corporate</v>
      </c>
      <c r="AB50" s="56">
        <f ca="1"/>
        <v>0</v>
      </c>
      <c r="AC50" s="56">
        <f ca="1">IFERROR(IF(ISBLANK(AB50),"-",AB50-_xlfn.XLOOKUP(T50,AI:AI,AJ:AJ)),"-")</f>
        <v>0</v>
      </c>
      <c r="AD50" s="56">
        <f ca="1">IFERROR(IF(ISBLANK(AB50),"-",AB50-_xlfn.XLOOKUP(T50,AO:AO,AP:AP)),"-")</f>
        <v>0</v>
      </c>
      <c r="AE50" s="25"/>
      <c r="AF50" s="25"/>
      <c r="AG50" s="25"/>
      <c r="AH50" s="25"/>
      <c r="AI50" s="51" t="s">
        <v>975</v>
      </c>
      <c r="AJ50" s="80">
        <v>0</v>
      </c>
      <c r="AK50" s="25"/>
      <c r="AL50" s="25"/>
      <c r="AM50" s="25"/>
      <c r="AN50" s="25"/>
      <c r="AO50" s="51" t="s">
        <v>975</v>
      </c>
      <c r="AP50" s="80">
        <v>0</v>
      </c>
      <c r="AQ50" s="25"/>
      <c r="AR50" s="25"/>
      <c r="AS50" s="26"/>
      <c r="AT50" s="20" t="s">
        <v>867</v>
      </c>
      <c r="AW50" s="25"/>
      <c r="AX50" s="25"/>
      <c r="AY50" s="37"/>
      <c r="AZ50" s="25"/>
      <c r="BA50" s="35"/>
      <c r="BB50" s="25"/>
      <c r="BC50" s="25"/>
      <c r="BD50" s="25"/>
      <c r="BE50" s="25"/>
      <c r="BF50" s="25"/>
      <c r="BG50" s="25"/>
      <c r="BH50" s="25"/>
      <c r="BI50" s="37"/>
      <c r="BJ50" s="25"/>
      <c r="BK50" s="25"/>
    </row>
    <row r="51" spans="3:63" x14ac:dyDescent="0.35">
      <c r="C51" s="25" t="str">
        <f ca="1"/>
        <v>XS1139688268</v>
      </c>
      <c r="D51" s="25" t="str">
        <f ca="1"/>
        <v>VOON</v>
      </c>
      <c r="E51" s="35">
        <f ca="1"/>
        <v>102.459</v>
      </c>
      <c r="F51" s="102"/>
      <c r="G51" s="102">
        <f ca="1"/>
        <v>-2850000</v>
      </c>
      <c r="H51" s="25">
        <f ca="1"/>
        <v>114.00000000013932</v>
      </c>
      <c r="I51" s="37">
        <f ca="1"/>
        <v>0</v>
      </c>
      <c r="J51" s="37" t="str">
        <f ca="1"/>
        <v>BGN</v>
      </c>
      <c r="K51" s="35" t="str">
        <f ca="1"/>
        <v>EUR</v>
      </c>
      <c r="L51" s="102">
        <f ca="1"/>
        <v>114.00000000013932</v>
      </c>
      <c r="M51" s="102">
        <f ca="1"/>
        <v>114.00000000013932</v>
      </c>
      <c r="N51" s="19">
        <f ca="1"/>
        <v>102.455</v>
      </c>
      <c r="Q51" s="20" t="s">
        <v>867</v>
      </c>
      <c r="R51" s="24"/>
      <c r="S51" s="25">
        <f ca="1"/>
        <v>10</v>
      </c>
      <c r="T51" s="19" t="str">
        <f ca="1"/>
        <v>XS1139688268</v>
      </c>
      <c r="U51" s="25" t="str">
        <f ca="1"/>
        <v>BGGRP 1 1/4 11/21/22</v>
      </c>
      <c r="V51" s="64">
        <f ca="1"/>
        <v>-2850000</v>
      </c>
      <c r="W51" s="70">
        <f ca="1"/>
        <v>-1.02</v>
      </c>
      <c r="X51" s="71">
        <f ca="1"/>
        <v>102.459</v>
      </c>
      <c r="Y51" s="71">
        <f ca="1"/>
        <v>102.455</v>
      </c>
      <c r="Z51" s="57" t="str">
        <f ca="1"/>
        <v>VOON</v>
      </c>
      <c r="AA51" s="57" t="str">
        <f ca="1"/>
        <v>Bond Corporate</v>
      </c>
      <c r="AB51" s="56">
        <f ca="1"/>
        <v>114.00000000013932</v>
      </c>
      <c r="AC51" s="56">
        <f ca="1">IFERROR(IF(ISBLANK(AB51),"-",AB51-_xlfn.XLOOKUP(T51,AI:AI,AJ:AJ)),"-")</f>
        <v>227.99999999987364</v>
      </c>
      <c r="AD51" s="56">
        <f ca="1">IFERROR(IF(ISBLANK(AB51),"-",AB51-_xlfn.XLOOKUP(T51,AO:AO,AP:AP)),"-")</f>
        <v>171.00000000000648</v>
      </c>
      <c r="AE51" s="25"/>
      <c r="AF51" s="25"/>
      <c r="AG51" s="25"/>
      <c r="AH51" s="25"/>
      <c r="AI51" s="51" t="s">
        <v>40</v>
      </c>
      <c r="AJ51" s="80">
        <v>114.00000000013932</v>
      </c>
      <c r="AK51" s="25"/>
      <c r="AL51" s="25"/>
      <c r="AM51" s="25"/>
      <c r="AN51" s="25"/>
      <c r="AO51" s="51" t="s">
        <v>40</v>
      </c>
      <c r="AP51" s="80">
        <v>-113.99999999973431</v>
      </c>
      <c r="AQ51" s="25"/>
      <c r="AR51" s="25"/>
      <c r="AS51" s="26"/>
      <c r="AT51" s="20" t="s">
        <v>867</v>
      </c>
      <c r="AW51" s="25"/>
      <c r="AX51" s="25"/>
      <c r="AY51" s="37"/>
      <c r="AZ51" s="25"/>
      <c r="BA51" s="35"/>
      <c r="BB51" s="25"/>
      <c r="BC51" s="25"/>
      <c r="BD51" s="25"/>
      <c r="BE51" s="25"/>
      <c r="BF51" s="25"/>
      <c r="BG51" s="25"/>
      <c r="BH51" s="25"/>
      <c r="BI51" s="37"/>
      <c r="BJ51" s="25"/>
      <c r="BK51" s="25"/>
    </row>
    <row r="52" spans="3:63" x14ac:dyDescent="0.35">
      <c r="C52" s="25" t="str">
        <f ca="1"/>
        <v>XS2102355588</v>
      </c>
      <c r="D52" s="25" t="str">
        <f ca="1"/>
        <v>VOON</v>
      </c>
      <c r="E52" s="35">
        <f ca="1"/>
        <v>100.46899999999999</v>
      </c>
      <c r="F52" s="102"/>
      <c r="G52" s="102">
        <f ca="1"/>
        <v>-4560000</v>
      </c>
      <c r="H52" s="25">
        <f ca="1"/>
        <v>-364.80000000044589</v>
      </c>
      <c r="I52" s="37">
        <f ca="1"/>
        <v>0</v>
      </c>
      <c r="J52" s="37" t="str">
        <f ca="1"/>
        <v>BGN</v>
      </c>
      <c r="K52" s="35" t="str">
        <f ca="1"/>
        <v>EUR</v>
      </c>
      <c r="L52" s="102">
        <f ca="1"/>
        <v>-364.80000000044589</v>
      </c>
      <c r="M52" s="102">
        <f ca="1"/>
        <v>-364.80000000044589</v>
      </c>
      <c r="N52" s="19">
        <f ca="1"/>
        <v>100.477</v>
      </c>
      <c r="Q52" s="20" t="s">
        <v>867</v>
      </c>
      <c r="R52" s="24"/>
      <c r="S52" s="25">
        <f ca="1"/>
        <v>11</v>
      </c>
      <c r="T52" s="19" t="str">
        <f ca="1"/>
        <v>XS2102355588</v>
      </c>
      <c r="U52" s="25" t="str">
        <f ca="1"/>
        <v>BMW 0 04/14/23</v>
      </c>
      <c r="V52" s="64">
        <f ca="1"/>
        <v>-4560000</v>
      </c>
      <c r="W52" s="70">
        <f ca="1"/>
        <v>-1.1200000000000001</v>
      </c>
      <c r="X52" s="71">
        <f ca="1"/>
        <v>100.46899999999999</v>
      </c>
      <c r="Y52" s="71">
        <f ca="1"/>
        <v>100.477</v>
      </c>
      <c r="Z52" s="57" t="str">
        <f ca="1"/>
        <v>VOON</v>
      </c>
      <c r="AA52" s="57" t="str">
        <f ca="1"/>
        <v>Bond Corporate</v>
      </c>
      <c r="AB52" s="56">
        <f ca="1"/>
        <v>-364.80000000044589</v>
      </c>
      <c r="AC52" s="56">
        <f ca="1">IFERROR(IF(ISBLANK(AB52),"-",AB52-_xlfn.XLOOKUP(T52,AI:AI,AJ:AJ)),"-")</f>
        <v>0</v>
      </c>
      <c r="AD52" s="56">
        <f ca="1">IFERROR(IF(ISBLANK(AB52),"-",AB52-_xlfn.XLOOKUP(T52,AO:AO,AP:AP)),"-")</f>
        <v>-364.80000000044589</v>
      </c>
      <c r="AE52" s="25"/>
      <c r="AF52" s="25"/>
      <c r="AG52" s="25"/>
      <c r="AH52" s="25"/>
      <c r="AI52" s="51" t="s">
        <v>956</v>
      </c>
      <c r="AJ52" s="80">
        <v>-364.80000000044589</v>
      </c>
      <c r="AK52" s="25"/>
      <c r="AL52" s="25"/>
      <c r="AM52" s="25"/>
      <c r="AN52" s="25"/>
      <c r="AO52" s="51" t="s">
        <v>956</v>
      </c>
      <c r="AP52" s="80">
        <v>-364.80000000044589</v>
      </c>
      <c r="AQ52" s="25"/>
      <c r="AR52" s="25"/>
      <c r="AS52" s="26"/>
      <c r="AT52" s="20" t="s">
        <v>867</v>
      </c>
      <c r="AW52" s="25"/>
      <c r="AX52" s="25"/>
      <c r="AY52" s="37"/>
      <c r="AZ52" s="25"/>
      <c r="BA52" s="35"/>
      <c r="BB52" s="25"/>
      <c r="BC52" s="25"/>
      <c r="BD52" s="25"/>
      <c r="BE52" s="25"/>
      <c r="BF52" s="25"/>
      <c r="BG52" s="25"/>
      <c r="BH52" s="25"/>
      <c r="BI52" s="37"/>
      <c r="BJ52" s="25"/>
      <c r="BK52" s="25"/>
    </row>
    <row r="53" spans="3:63" x14ac:dyDescent="0.35">
      <c r="C53" s="25" t="str">
        <f ca="1"/>
        <v>XS1992927902</v>
      </c>
      <c r="D53" s="25" t="str">
        <f ca="1"/>
        <v>VOON</v>
      </c>
      <c r="E53" s="35">
        <f ca="1"/>
        <v>107.846</v>
      </c>
      <c r="F53" s="102"/>
      <c r="G53" s="102">
        <f ca="1"/>
        <v>-3850000</v>
      </c>
      <c r="H53" s="25">
        <f ca="1"/>
        <v>-9278.4999999999873</v>
      </c>
      <c r="I53" s="37">
        <f ca="1"/>
        <v>0</v>
      </c>
      <c r="J53" s="37" t="str">
        <f ca="1"/>
        <v>BGN</v>
      </c>
      <c r="K53" s="35" t="str">
        <f ca="1"/>
        <v>EUR</v>
      </c>
      <c r="L53" s="102">
        <f ca="1"/>
        <v>-9278.4999999999873</v>
      </c>
      <c r="M53" s="102">
        <f ca="1"/>
        <v>-9278.4999999999873</v>
      </c>
      <c r="N53" s="19">
        <f ca="1"/>
        <v>108.087</v>
      </c>
      <c r="Q53" s="20" t="s">
        <v>867</v>
      </c>
      <c r="R53" s="24"/>
      <c r="S53" s="25">
        <f ca="1"/>
        <v>12</v>
      </c>
      <c r="T53" s="19" t="str">
        <f ca="1"/>
        <v>XS1992927902</v>
      </c>
      <c r="U53" s="25" t="str">
        <f ca="1"/>
        <v>BPLN 1.231 05/08/31</v>
      </c>
      <c r="V53" s="64">
        <f ca="1"/>
        <v>-3850000</v>
      </c>
      <c r="W53" s="70">
        <f ca="1"/>
        <v>-8.6999999999999993</v>
      </c>
      <c r="X53" s="71">
        <f ca="1"/>
        <v>107.846</v>
      </c>
      <c r="Y53" s="71">
        <f ca="1"/>
        <v>108.087</v>
      </c>
      <c r="Z53" s="57" t="str">
        <f ca="1"/>
        <v>VOON</v>
      </c>
      <c r="AA53" s="57" t="str">
        <f ca="1"/>
        <v>Bond Corporate</v>
      </c>
      <c r="AB53" s="56">
        <f ca="1"/>
        <v>-9278.4999999999873</v>
      </c>
      <c r="AC53" s="56">
        <f ca="1">IFERROR(IF(ISBLANK(AB53),"-",AB53-_xlfn.XLOOKUP(T53,AI:AI,AJ:AJ)),"-")</f>
        <v>-269.50000000019281</v>
      </c>
      <c r="AD53" s="56">
        <f ca="1">IFERROR(IF(ISBLANK(AB53),"-",AB53-_xlfn.XLOOKUP(T53,AO:AO,AP:AP)),"-")</f>
        <v>-693.00000000002728</v>
      </c>
      <c r="AE53" s="25"/>
      <c r="AF53" s="25"/>
      <c r="AG53" s="25"/>
      <c r="AH53" s="25"/>
      <c r="AI53" s="51" t="s">
        <v>43</v>
      </c>
      <c r="AJ53" s="80">
        <v>-9278.4999999999873</v>
      </c>
      <c r="AK53" s="25"/>
      <c r="AL53" s="25"/>
      <c r="AM53" s="25"/>
      <c r="AN53" s="25"/>
      <c r="AO53" s="51" t="s">
        <v>43</v>
      </c>
      <c r="AP53" s="80">
        <v>-9008.9999999997945</v>
      </c>
      <c r="AQ53" s="25"/>
      <c r="AR53" s="25"/>
      <c r="AS53" s="26"/>
      <c r="AT53" s="20" t="s">
        <v>867</v>
      </c>
      <c r="AW53" s="25"/>
      <c r="AX53" s="25"/>
      <c r="AY53" s="37"/>
      <c r="AZ53" s="25"/>
      <c r="BA53" s="35"/>
      <c r="BB53" s="25"/>
      <c r="BC53" s="25"/>
      <c r="BD53" s="25"/>
      <c r="BE53" s="25"/>
      <c r="BF53" s="25"/>
      <c r="BG53" s="25"/>
      <c r="BH53" s="25"/>
      <c r="BI53" s="37"/>
      <c r="BJ53" s="25"/>
      <c r="BK53" s="25"/>
    </row>
    <row r="54" spans="3:63" x14ac:dyDescent="0.35">
      <c r="C54" s="25" t="str">
        <f ca="1"/>
        <v>XS1992931508</v>
      </c>
      <c r="D54" s="25" t="str">
        <f ca="1"/>
        <v>VOON</v>
      </c>
      <c r="E54" s="35">
        <f ca="1"/>
        <v>104.556</v>
      </c>
      <c r="F54" s="102"/>
      <c r="G54" s="102">
        <f ca="1"/>
        <v>1110000</v>
      </c>
      <c r="H54" s="25">
        <f ca="1"/>
        <v>1154.3999999999912</v>
      </c>
      <c r="I54" s="37">
        <f ca="1"/>
        <v>0</v>
      </c>
      <c r="J54" s="37" t="str">
        <f ca="1"/>
        <v>BGN</v>
      </c>
      <c r="K54" s="35" t="str">
        <f ca="1"/>
        <v>EUR</v>
      </c>
      <c r="L54" s="102">
        <f ca="1"/>
        <v>1154.3999999999912</v>
      </c>
      <c r="M54" s="102">
        <f ca="1"/>
        <v>1154.3999999999912</v>
      </c>
      <c r="N54" s="19">
        <f ca="1"/>
        <v>104.66</v>
      </c>
      <c r="Q54" s="20" t="s">
        <v>867</v>
      </c>
      <c r="R54" s="24"/>
      <c r="S54" s="25">
        <f ca="1"/>
        <v>13</v>
      </c>
      <c r="T54" s="19" t="str">
        <f ca="1"/>
        <v>XS1992931508</v>
      </c>
      <c r="U54" s="25" t="str">
        <f ca="1"/>
        <v>BPLN 0.831 11/08/27</v>
      </c>
      <c r="V54" s="64">
        <f ca="1"/>
        <v>1110000</v>
      </c>
      <c r="W54" s="70">
        <f ca="1"/>
        <v>1.36</v>
      </c>
      <c r="X54" s="71">
        <f ca="1"/>
        <v>104.556</v>
      </c>
      <c r="Y54" s="71">
        <f ca="1"/>
        <v>104.66</v>
      </c>
      <c r="Z54" s="57" t="str">
        <f ca="1"/>
        <v>VOON</v>
      </c>
      <c r="AA54" s="57" t="str">
        <f ca="1"/>
        <v>Bond Corporate</v>
      </c>
      <c r="AB54" s="56">
        <f ca="1"/>
        <v>1154.3999999999912</v>
      </c>
      <c r="AC54" s="56">
        <f ca="1">IFERROR(IF(ISBLANK(AB54),"-",AB54-_xlfn.XLOOKUP(T54,AI:AI,AJ:AJ)),"-")</f>
        <v>44.399999999896636</v>
      </c>
      <c r="AD54" s="56">
        <f ca="1">IFERROR(IF(ISBLANK(AB54),"-",AB54-_xlfn.XLOOKUP(T54,AO:AO,AP:AP)),"-")</f>
        <v>33.300000000001319</v>
      </c>
      <c r="AE54" s="25"/>
      <c r="AF54" s="25"/>
      <c r="AG54" s="25"/>
      <c r="AH54" s="25"/>
      <c r="AI54" s="51" t="s">
        <v>1387</v>
      </c>
      <c r="AJ54" s="80">
        <v>1154.3999999999912</v>
      </c>
      <c r="AK54" s="25"/>
      <c r="AL54" s="25"/>
      <c r="AM54" s="25"/>
      <c r="AN54" s="25"/>
      <c r="AO54" s="51" t="s">
        <v>1387</v>
      </c>
      <c r="AP54" s="80">
        <v>1110.0000000000946</v>
      </c>
      <c r="AQ54" s="25"/>
      <c r="AR54" s="25"/>
      <c r="AS54" s="26"/>
      <c r="AT54" s="20" t="s">
        <v>867</v>
      </c>
      <c r="AW54" s="25"/>
      <c r="AX54" s="25"/>
      <c r="AY54" s="37"/>
      <c r="AZ54" s="25"/>
      <c r="BA54" s="35"/>
      <c r="BB54" s="25"/>
      <c r="BC54" s="25"/>
      <c r="BD54" s="25"/>
      <c r="BE54" s="25"/>
      <c r="BF54" s="25"/>
      <c r="BG54" s="25"/>
      <c r="BH54" s="25"/>
      <c r="BI54" s="37"/>
      <c r="BJ54" s="25"/>
      <c r="BK54" s="25"/>
    </row>
    <row r="55" spans="3:63" x14ac:dyDescent="0.35">
      <c r="C55" s="25" t="str">
        <f ca="1"/>
        <v>FR0013519071</v>
      </c>
      <c r="D55" s="25" t="str">
        <f ca="1"/>
        <v>VOON</v>
      </c>
      <c r="E55" s="35">
        <f ca="1"/>
        <v>105.93600000000001</v>
      </c>
      <c r="F55" s="102"/>
      <c r="G55" s="102">
        <f ca="1"/>
        <v>-1000000</v>
      </c>
      <c r="H55" s="25">
        <f ca="1"/>
        <v>-1919.9999999999307</v>
      </c>
      <c r="I55" s="37">
        <f ca="1"/>
        <v>0</v>
      </c>
      <c r="J55" s="37" t="str">
        <f ca="1"/>
        <v>BGN</v>
      </c>
      <c r="K55" s="35" t="str">
        <f ca="1"/>
        <v>EUR</v>
      </c>
      <c r="L55" s="102">
        <f ca="1"/>
        <v>-1919.9999999999307</v>
      </c>
      <c r="M55" s="102">
        <f ca="1"/>
        <v>-1919.9999999999307</v>
      </c>
      <c r="N55" s="19">
        <f ca="1"/>
        <v>106.128</v>
      </c>
      <c r="Q55" s="20" t="s">
        <v>867</v>
      </c>
      <c r="R55" s="24"/>
      <c r="S55" s="25">
        <f ca="1"/>
        <v>14</v>
      </c>
      <c r="T55" s="19" t="str">
        <f ca="1"/>
        <v>FR0013519071</v>
      </c>
      <c r="U55" s="25" t="str">
        <f ca="1"/>
        <v>CAPFP 1 1/8 06/23/30</v>
      </c>
      <c r="V55" s="64">
        <f ca="1"/>
        <v>-1000000</v>
      </c>
      <c r="W55" s="70">
        <f ca="1"/>
        <v>-2.2799999999999998</v>
      </c>
      <c r="X55" s="71">
        <f ca="1"/>
        <v>105.93600000000001</v>
      </c>
      <c r="Y55" s="71">
        <f ca="1"/>
        <v>106.128</v>
      </c>
      <c r="Z55" s="57" t="str">
        <f ca="1"/>
        <v>VOON</v>
      </c>
      <c r="AA55" s="57" t="str">
        <f ca="1"/>
        <v>Bond Corporate</v>
      </c>
      <c r="AB55" s="56">
        <f ca="1"/>
        <v>-1919.9999999999307</v>
      </c>
      <c r="AC55" s="56">
        <f ca="1">IFERROR(IF(ISBLANK(AB55),"-",AB55-_xlfn.XLOOKUP(T55,AI:AI,AJ:AJ)),"-")</f>
        <v>0</v>
      </c>
      <c r="AD55" s="56">
        <f ca="1">IFERROR(IF(ISBLANK(AB55),"-",AB55-_xlfn.XLOOKUP(T55,AO:AO,AP:AP)),"-")</f>
        <v>-49.999999999954525</v>
      </c>
      <c r="AE55" s="25"/>
      <c r="AF55" s="25"/>
      <c r="AG55" s="25"/>
      <c r="AH55" s="25"/>
      <c r="AI55" s="51" t="s">
        <v>959</v>
      </c>
      <c r="AJ55" s="80">
        <v>-1919.9999999999307</v>
      </c>
      <c r="AK55" s="25"/>
      <c r="AL55" s="25"/>
      <c r="AM55" s="25"/>
      <c r="AN55" s="25"/>
      <c r="AO55" s="51" t="s">
        <v>959</v>
      </c>
      <c r="AP55" s="80">
        <v>-1919.9999999999307</v>
      </c>
      <c r="AQ55" s="25"/>
      <c r="AR55" s="25"/>
      <c r="AS55" s="26"/>
      <c r="AT55" s="20" t="s">
        <v>867</v>
      </c>
      <c r="AW55" s="25"/>
      <c r="AX55" s="25"/>
      <c r="AY55" s="37"/>
      <c r="AZ55" s="25"/>
      <c r="BA55" s="35"/>
      <c r="BB55" s="25"/>
      <c r="BC55" s="25"/>
      <c r="BD55" s="25"/>
      <c r="BE55" s="25"/>
      <c r="BF55" s="25"/>
      <c r="BG55" s="25"/>
      <c r="BH55" s="25"/>
      <c r="BI55" s="37"/>
      <c r="BJ55" s="25"/>
      <c r="BK55" s="25"/>
    </row>
    <row r="56" spans="3:63" x14ac:dyDescent="0.35">
      <c r="C56" s="25" t="str">
        <f ca="1"/>
        <v>XS1493320656</v>
      </c>
      <c r="D56" s="25" t="str">
        <f ca="1"/>
        <v>VOON</v>
      </c>
      <c r="E56" s="35">
        <f ca="1"/>
        <v>102.95699999999999</v>
      </c>
      <c r="F56" s="102"/>
      <c r="G56" s="102">
        <f ca="1"/>
        <v>-1600000</v>
      </c>
      <c r="H56" s="25">
        <f ca="1"/>
        <v>-352.00000000008913</v>
      </c>
      <c r="I56" s="37">
        <f ca="1"/>
        <v>0</v>
      </c>
      <c r="J56" s="37" t="str">
        <f ca="1"/>
        <v>BGN</v>
      </c>
      <c r="K56" s="35" t="str">
        <f ca="1"/>
        <v>EUR</v>
      </c>
      <c r="L56" s="102">
        <f ca="1"/>
        <v>-352.00000000008913</v>
      </c>
      <c r="M56" s="102">
        <f ca="1"/>
        <v>-352.00000000008913</v>
      </c>
      <c r="N56" s="19">
        <f ca="1"/>
        <v>102.979</v>
      </c>
      <c r="Q56" s="20" t="s">
        <v>867</v>
      </c>
      <c r="R56" s="24"/>
      <c r="S56" s="25">
        <f ca="1"/>
        <v>15</v>
      </c>
      <c r="T56" s="19" t="str">
        <f ca="1"/>
        <v>XS1493320656</v>
      </c>
      <c r="U56" s="25" t="str">
        <f ca="1"/>
        <v>CDTFIN 0 5/8 09/22/24</v>
      </c>
      <c r="V56" s="64">
        <f ca="1"/>
        <v>-1600000</v>
      </c>
      <c r="W56" s="70">
        <f ca="1"/>
        <v>-0.69</v>
      </c>
      <c r="X56" s="71">
        <f ca="1"/>
        <v>102.95699999999999</v>
      </c>
      <c r="Y56" s="71">
        <f ca="1"/>
        <v>102.979</v>
      </c>
      <c r="Z56" s="57" t="str">
        <f ca="1"/>
        <v>VOON</v>
      </c>
      <c r="AA56" s="57" t="str">
        <f ca="1"/>
        <v>Bond Corporate</v>
      </c>
      <c r="AB56" s="56">
        <f ca="1"/>
        <v>-352.00000000008913</v>
      </c>
      <c r="AC56" s="56">
        <f ca="1">IFERROR(IF(ISBLANK(AB56),"-",AB56-_xlfn.XLOOKUP(T56,AI:AI,AJ:AJ)),"-")</f>
        <v>31.999999999925421</v>
      </c>
      <c r="AD56" s="56">
        <f ca="1">IFERROR(IF(ISBLANK(AB56),"-",AB56-_xlfn.XLOOKUP(T56,AO:AO,AP:AP)),"-")</f>
        <v>304.0000000000872</v>
      </c>
      <c r="AE56" s="25"/>
      <c r="AF56" s="25"/>
      <c r="AG56" s="25"/>
      <c r="AH56" s="25"/>
      <c r="AI56" s="51" t="s">
        <v>48</v>
      </c>
      <c r="AJ56" s="80">
        <v>-352.00000000008913</v>
      </c>
      <c r="AK56" s="25"/>
      <c r="AL56" s="25"/>
      <c r="AM56" s="25"/>
      <c r="AN56" s="25"/>
      <c r="AO56" s="51" t="s">
        <v>48</v>
      </c>
      <c r="AP56" s="80">
        <v>-384.00000000001455</v>
      </c>
      <c r="AQ56" s="25"/>
      <c r="AR56" s="25"/>
      <c r="AS56" s="26"/>
      <c r="AT56" s="20" t="s">
        <v>867</v>
      </c>
      <c r="AW56" s="25"/>
      <c r="AX56" s="25"/>
      <c r="AY56" s="37"/>
      <c r="AZ56" s="25"/>
      <c r="BA56" s="35"/>
      <c r="BB56" s="25"/>
      <c r="BC56" s="25"/>
      <c r="BD56" s="25"/>
      <c r="BE56" s="25"/>
      <c r="BF56" s="25"/>
      <c r="BG56" s="25"/>
      <c r="BH56" s="25"/>
      <c r="BI56" s="37"/>
      <c r="BJ56" s="25"/>
      <c r="BK56" s="25"/>
    </row>
    <row r="57" spans="3:63" x14ac:dyDescent="0.35">
      <c r="C57" s="25" t="str">
        <f ca="1"/>
        <v>DE000A289QR9</v>
      </c>
      <c r="D57" s="25" t="str">
        <f ca="1"/>
        <v>VOON</v>
      </c>
      <c r="E57" s="35">
        <f ca="1"/>
        <v>103.05800000000001</v>
      </c>
      <c r="F57" s="102"/>
      <c r="G57" s="102">
        <f ca="1"/>
        <v>0</v>
      </c>
      <c r="H57" s="25">
        <f ca="1"/>
        <v>0</v>
      </c>
      <c r="I57" s="37">
        <f ca="1"/>
        <v>0</v>
      </c>
      <c r="J57" s="37" t="str">
        <f ca="1"/>
        <v>BGN</v>
      </c>
      <c r="K57" s="35" t="str">
        <f ca="1"/>
        <v>EUR</v>
      </c>
      <c r="L57" s="102">
        <f ca="1"/>
        <v>0</v>
      </c>
      <c r="M57" s="102">
        <f ca="1"/>
        <v>0</v>
      </c>
      <c r="N57" s="19">
        <f ca="1"/>
        <v>103.176</v>
      </c>
      <c r="Q57" s="20" t="s">
        <v>867</v>
      </c>
      <c r="R57" s="24"/>
      <c r="S57" s="25">
        <f ca="1"/>
        <v>16</v>
      </c>
      <c r="T57" s="19" t="str">
        <f ca="1"/>
        <v>DE000A289QR9</v>
      </c>
      <c r="U57" s="25" t="str">
        <f ca="1"/>
        <v>DAIGR 0 3/4 09/10/30</v>
      </c>
      <c r="V57" s="64">
        <f ca="1"/>
        <v>0</v>
      </c>
      <c r="W57" s="70">
        <f ca="1"/>
        <v>0</v>
      </c>
      <c r="X57" s="71">
        <f ca="1"/>
        <v>103.05800000000001</v>
      </c>
      <c r="Y57" s="71">
        <f ca="1"/>
        <v>103.176</v>
      </c>
      <c r="Z57" s="57" t="str">
        <f ca="1"/>
        <v>VOON</v>
      </c>
      <c r="AA57" s="57" t="str">
        <f ca="1"/>
        <v>Bond Corporate</v>
      </c>
      <c r="AB57" s="56">
        <f ca="1"/>
        <v>0</v>
      </c>
      <c r="AC57" s="56">
        <f ca="1">IFERROR(IF(ISBLANK(AB57),"-",AB57-_xlfn.XLOOKUP(T57,AI:AI,AJ:AJ)),"-")</f>
        <v>0</v>
      </c>
      <c r="AD57" s="56">
        <f ca="1">IFERROR(IF(ISBLANK(AB57),"-",AB57-_xlfn.XLOOKUP(T57,AO:AO,AP:AP)),"-")</f>
        <v>0</v>
      </c>
      <c r="AE57" s="25"/>
      <c r="AF57" s="25"/>
      <c r="AG57" s="25"/>
      <c r="AH57" s="25"/>
      <c r="AI57" s="51" t="s">
        <v>1406</v>
      </c>
      <c r="AJ57" s="80">
        <v>0</v>
      </c>
      <c r="AK57" s="25"/>
      <c r="AL57" s="25"/>
      <c r="AM57" s="25"/>
      <c r="AN57" s="25"/>
      <c r="AO57" s="51" t="s">
        <v>1406</v>
      </c>
      <c r="AP57" s="80">
        <v>0</v>
      </c>
      <c r="AQ57" s="25"/>
      <c r="AR57" s="25"/>
      <c r="AS57" s="26"/>
      <c r="AT57" s="20" t="s">
        <v>867</v>
      </c>
      <c r="AW57" s="25"/>
      <c r="AX57" s="25"/>
      <c r="AY57" s="37"/>
      <c r="AZ57" s="25"/>
      <c r="BA57" s="35"/>
      <c r="BB57" s="25"/>
      <c r="BC57" s="25"/>
      <c r="BD57" s="25"/>
      <c r="BE57" s="25"/>
      <c r="BF57" s="25"/>
      <c r="BG57" s="25"/>
      <c r="BH57" s="25"/>
      <c r="BI57" s="37"/>
      <c r="BJ57" s="25"/>
      <c r="BK57" s="25"/>
    </row>
    <row r="58" spans="3:63" x14ac:dyDescent="0.35">
      <c r="C58" s="25" t="str">
        <f ca="1"/>
        <v>DE0001135325</v>
      </c>
      <c r="D58" s="25" t="str">
        <f ca="1"/>
        <v>VOON</v>
      </c>
      <c r="E58" s="35">
        <f ca="1"/>
        <v>188.70400000000001</v>
      </c>
      <c r="F58" s="102"/>
      <c r="G58" s="102">
        <f ca="1"/>
        <v>0</v>
      </c>
      <c r="H58" s="25">
        <f ca="1"/>
        <v>0</v>
      </c>
      <c r="I58" s="37">
        <f ca="1"/>
        <v>0</v>
      </c>
      <c r="J58" s="37" t="str">
        <f ca="1"/>
        <v>BGN</v>
      </c>
      <c r="K58" s="35" t="str">
        <f ca="1"/>
        <v>EUR</v>
      </c>
      <c r="L58" s="102">
        <f ca="1"/>
        <v>0</v>
      </c>
      <c r="M58" s="102">
        <f ca="1"/>
        <v>0</v>
      </c>
      <c r="N58" s="19">
        <f ca="1"/>
        <v>189.24199999999999</v>
      </c>
      <c r="Q58" s="20" t="s">
        <v>867</v>
      </c>
      <c r="R58" s="24"/>
      <c r="S58" s="25">
        <f ca="1"/>
        <v>17</v>
      </c>
      <c r="T58" s="19" t="str">
        <f ca="1"/>
        <v>DE0001135325</v>
      </c>
      <c r="U58" s="25" t="str">
        <f ca="1"/>
        <v>DBR 4 1/4 07/04/39</v>
      </c>
      <c r="V58" s="64">
        <f ca="1"/>
        <v>0</v>
      </c>
      <c r="W58" s="70">
        <f ca="1"/>
        <v>0</v>
      </c>
      <c r="X58" s="71">
        <f ca="1"/>
        <v>188.70400000000001</v>
      </c>
      <c r="Y58" s="71">
        <f ca="1"/>
        <v>189.24199999999999</v>
      </c>
      <c r="Z58" s="57" t="str">
        <f ca="1"/>
        <v>VOON</v>
      </c>
      <c r="AA58" s="57" t="str">
        <f ca="1"/>
        <v>Bond Sovereign</v>
      </c>
      <c r="AB58" s="56">
        <f ca="1"/>
        <v>0</v>
      </c>
      <c r="AC58" s="56">
        <f ca="1">IFERROR(IF(ISBLANK(AB58),"-",AB58-_xlfn.XLOOKUP(T58,AI:AI,AJ:AJ)),"-")</f>
        <v>0</v>
      </c>
      <c r="AD58" s="56">
        <f ca="1">IFERROR(IF(ISBLANK(AB58),"-",AB58-_xlfn.XLOOKUP(T58,AO:AO,AP:AP)),"-")</f>
        <v>0</v>
      </c>
      <c r="AE58" s="25"/>
      <c r="AF58" s="25"/>
      <c r="AG58" s="25"/>
      <c r="AH58" s="25"/>
      <c r="AI58" s="51" t="s">
        <v>1382</v>
      </c>
      <c r="AJ58" s="80">
        <v>0</v>
      </c>
      <c r="AK58" s="25"/>
      <c r="AL58" s="25"/>
      <c r="AM58" s="25"/>
      <c r="AN58" s="25"/>
      <c r="AO58" s="51" t="s">
        <v>1382</v>
      </c>
      <c r="AP58" s="80">
        <v>0</v>
      </c>
      <c r="AQ58" s="25"/>
      <c r="AR58" s="25"/>
      <c r="AS58" s="26"/>
      <c r="AT58" s="20" t="s">
        <v>867</v>
      </c>
      <c r="AW58" s="25"/>
      <c r="AX58" s="25"/>
      <c r="AY58" s="37"/>
      <c r="AZ58" s="25"/>
      <c r="BA58" s="35"/>
      <c r="BB58" s="25"/>
      <c r="BC58" s="25"/>
      <c r="BD58" s="25"/>
      <c r="BE58" s="25"/>
      <c r="BF58" s="25"/>
      <c r="BG58" s="25"/>
      <c r="BH58" s="25"/>
      <c r="BI58" s="37"/>
      <c r="BJ58" s="25"/>
      <c r="BK58" s="25"/>
    </row>
    <row r="59" spans="3:63" x14ac:dyDescent="0.35">
      <c r="C59" s="25" t="str">
        <f ca="1"/>
        <v>DE0001102424</v>
      </c>
      <c r="D59" s="25" t="str">
        <f ca="1"/>
        <v>VOON</v>
      </c>
      <c r="E59" s="35">
        <f ca="1"/>
        <v>108.36499999999999</v>
      </c>
      <c r="F59" s="102"/>
      <c r="G59" s="102">
        <f ca="1"/>
        <v>0</v>
      </c>
      <c r="H59" s="25" t="str">
        <f ca="1"/>
        <v>-</v>
      </c>
      <c r="I59" s="37">
        <f ca="1"/>
        <v>0</v>
      </c>
      <c r="J59" s="37" t="str">
        <f ca="1"/>
        <v/>
      </c>
      <c r="K59" s="35" t="str">
        <f ca="1"/>
        <v>EUR</v>
      </c>
      <c r="L59" s="102" t="str">
        <f ca="1"/>
        <v>-</v>
      </c>
      <c r="M59" s="102" t="str">
        <f ca="1"/>
        <v>-</v>
      </c>
      <c r="N59" s="19" t="str">
        <f ca="1"/>
        <v>#N/A Invalid Security</v>
      </c>
      <c r="Q59" s="20" t="s">
        <v>867</v>
      </c>
      <c r="R59" s="24"/>
      <c r="S59" s="25">
        <f ca="1"/>
        <v>18</v>
      </c>
      <c r="T59" s="19" t="str">
        <f ca="1"/>
        <v>DE0001102424</v>
      </c>
      <c r="U59" s="25" t="str">
        <f ca="1"/>
        <v>DBR 0 1/2 08/15/27</v>
      </c>
      <c r="V59" s="64">
        <f ca="1"/>
        <v>0</v>
      </c>
      <c r="W59" s="70">
        <f ca="1"/>
        <v>0</v>
      </c>
      <c r="X59" s="71">
        <f ca="1"/>
        <v>108.36499999999999</v>
      </c>
      <c r="Y59" s="71" t="str">
        <f ca="1"/>
        <v>-</v>
      </c>
      <c r="Z59" s="57" t="str">
        <f ca="1"/>
        <v>VOON</v>
      </c>
      <c r="AA59" s="57" t="str">
        <f ca="1"/>
        <v>Bond Sovereign</v>
      </c>
      <c r="AB59" s="56" t="str">
        <f ca="1"/>
        <v>-</v>
      </c>
      <c r="AC59" s="56" t="str">
        <f ca="1">IFERROR(IF(ISBLANK(AB59),"-",AB59-_xlfn.XLOOKUP(T59,AI:AI,AJ:AJ)),"-")</f>
        <v>-</v>
      </c>
      <c r="AD59" s="56" t="str">
        <f ca="1">IFERROR(IF(ISBLANK(AB59),"-",AB59-_xlfn.XLOOKUP(T59,AO:AO,AP:AP)),"-")</f>
        <v>-</v>
      </c>
      <c r="AE59" s="25"/>
      <c r="AF59" s="25"/>
      <c r="AG59" s="25"/>
      <c r="AH59" s="25"/>
      <c r="AI59" s="51" t="s">
        <v>1348</v>
      </c>
      <c r="AJ59" s="80" t="s">
        <v>1181</v>
      </c>
      <c r="AK59" s="25"/>
      <c r="AL59" s="25"/>
      <c r="AM59" s="25"/>
      <c r="AN59" s="25"/>
      <c r="AO59" s="51" t="s">
        <v>1348</v>
      </c>
      <c r="AP59" s="80" t="s">
        <v>1181</v>
      </c>
      <c r="AQ59" s="25"/>
      <c r="AR59" s="25"/>
      <c r="AS59" s="26"/>
      <c r="AT59" s="20" t="s">
        <v>867</v>
      </c>
      <c r="AW59" s="25"/>
      <c r="AX59" s="25"/>
      <c r="AY59" s="37"/>
      <c r="AZ59" s="25"/>
      <c r="BA59" s="35"/>
      <c r="BB59" s="25"/>
      <c r="BC59" s="25"/>
      <c r="BD59" s="25"/>
      <c r="BE59" s="25"/>
      <c r="BF59" s="25"/>
      <c r="BG59" s="25"/>
      <c r="BH59" s="25"/>
      <c r="BI59" s="37"/>
      <c r="BJ59" s="25"/>
      <c r="BK59" s="25"/>
    </row>
    <row r="60" spans="3:63" x14ac:dyDescent="0.35">
      <c r="C60" s="25" t="str">
        <f ca="1"/>
        <v>DE0001102416</v>
      </c>
      <c r="D60" s="25" t="str">
        <f ca="1"/>
        <v>VOON</v>
      </c>
      <c r="E60" s="35">
        <f ca="1"/>
        <v>106.26300000000001</v>
      </c>
      <c r="F60" s="102"/>
      <c r="G60" s="102">
        <f ca="1"/>
        <v>0</v>
      </c>
      <c r="H60" s="25">
        <f ca="1"/>
        <v>0</v>
      </c>
      <c r="I60" s="37">
        <f ca="1"/>
        <v>-1933.9999999997135</v>
      </c>
      <c r="J60" s="37" t="str">
        <f ca="1"/>
        <v>BGN</v>
      </c>
      <c r="K60" s="35" t="str">
        <f ca="1"/>
        <v>EUR</v>
      </c>
      <c r="L60" s="102">
        <f ca="1"/>
        <v>-1933.9999999997135</v>
      </c>
      <c r="M60" s="102">
        <f ca="1"/>
        <v>-1933.9999999997135</v>
      </c>
      <c r="N60" s="19">
        <f ca="1"/>
        <v>106.29900000000001</v>
      </c>
      <c r="Q60" s="20" t="s">
        <v>867</v>
      </c>
      <c r="R60" s="24"/>
      <c r="S60" s="25">
        <f ca="1"/>
        <v>19</v>
      </c>
      <c r="T60" s="19" t="str">
        <f ca="1"/>
        <v>DE0001102416</v>
      </c>
      <c r="U60" s="25" t="str">
        <f ca="1"/>
        <v>DBR 0 1/4 02/15/27</v>
      </c>
      <c r="V60" s="64">
        <f ca="1"/>
        <v>0</v>
      </c>
      <c r="W60" s="70">
        <f ca="1"/>
        <v>0</v>
      </c>
      <c r="X60" s="71">
        <f ca="1"/>
        <v>106.26300000000001</v>
      </c>
      <c r="Y60" s="71">
        <f ca="1"/>
        <v>106.29900000000001</v>
      </c>
      <c r="Z60" s="57" t="str">
        <f ca="1"/>
        <v>VOON</v>
      </c>
      <c r="AA60" s="57" t="str">
        <f ca="1"/>
        <v>Bond Sovereign</v>
      </c>
      <c r="AB60" s="56">
        <f ca="1"/>
        <v>-1933.9999999997135</v>
      </c>
      <c r="AC60" s="56">
        <f ca="1">IFERROR(IF(ISBLANK(AB60),"-",AB60-_xlfn.XLOOKUP(T60,AI:AI,AJ:AJ)),"-")</f>
        <v>0</v>
      </c>
      <c r="AD60" s="56">
        <f ca="1">IFERROR(IF(ISBLANK(AB60),"-",AB60-_xlfn.XLOOKUP(T60,AO:AO,AP:AP)),"-")</f>
        <v>2.2737367544323206E-13</v>
      </c>
      <c r="AE60" s="25"/>
      <c r="AF60" s="25"/>
      <c r="AG60" s="25"/>
      <c r="AH60" s="25"/>
      <c r="AI60" s="51" t="s">
        <v>1480</v>
      </c>
      <c r="AJ60" s="80">
        <v>-1933.9999999997135</v>
      </c>
      <c r="AK60" s="25"/>
      <c r="AL60" s="25"/>
      <c r="AM60" s="25"/>
      <c r="AN60" s="25"/>
      <c r="AO60" s="51" t="s">
        <v>1480</v>
      </c>
      <c r="AP60" s="80">
        <v>-1933.9999999997135</v>
      </c>
      <c r="AQ60" s="25"/>
      <c r="AR60" s="25"/>
      <c r="AS60" s="26"/>
      <c r="AT60" s="20" t="s">
        <v>867</v>
      </c>
      <c r="AW60" s="25"/>
      <c r="AX60" s="25"/>
      <c r="AY60" s="37"/>
      <c r="AZ60" s="25"/>
      <c r="BA60" s="35"/>
      <c r="BB60" s="25"/>
      <c r="BC60" s="25"/>
      <c r="BD60" s="25"/>
      <c r="BE60" s="25"/>
      <c r="BF60" s="25"/>
      <c r="BG60" s="25"/>
      <c r="BH60" s="25"/>
      <c r="BI60" s="37"/>
      <c r="BJ60" s="25"/>
      <c r="BK60" s="25"/>
    </row>
    <row r="61" spans="3:63" x14ac:dyDescent="0.35">
      <c r="C61" s="25" t="str">
        <f ca="1"/>
        <v>DE0001102507</v>
      </c>
      <c r="D61" s="25" t="str">
        <f ca="1"/>
        <v>VOON</v>
      </c>
      <c r="E61" s="35">
        <f ca="1"/>
        <v>105.605</v>
      </c>
      <c r="F61" s="102"/>
      <c r="G61" s="102">
        <f ca="1"/>
        <v>0</v>
      </c>
      <c r="H61" s="25">
        <f ca="1"/>
        <v>0</v>
      </c>
      <c r="I61" s="37">
        <f ca="1"/>
        <v>0</v>
      </c>
      <c r="J61" s="37" t="str">
        <f ca="1"/>
        <v>BGN</v>
      </c>
      <c r="K61" s="35" t="str">
        <f ca="1"/>
        <v>EUR</v>
      </c>
      <c r="L61" s="102">
        <f ca="1"/>
        <v>0</v>
      </c>
      <c r="M61" s="102">
        <f ca="1"/>
        <v>0</v>
      </c>
      <c r="N61" s="19">
        <f ca="1"/>
        <v>105.655</v>
      </c>
      <c r="Q61" s="20" t="s">
        <v>867</v>
      </c>
      <c r="R61" s="24"/>
      <c r="S61" s="25">
        <f ca="1"/>
        <v>20</v>
      </c>
      <c r="T61" s="19" t="str">
        <f ca="1"/>
        <v>DE0001102507</v>
      </c>
      <c r="U61" s="25" t="str">
        <f ca="1"/>
        <v>DBR 0 08/15/30</v>
      </c>
      <c r="V61" s="64">
        <f ca="1"/>
        <v>0</v>
      </c>
      <c r="W61" s="70">
        <f ca="1"/>
        <v>0</v>
      </c>
      <c r="X61" s="71">
        <f ca="1"/>
        <v>105.605</v>
      </c>
      <c r="Y61" s="71">
        <f ca="1"/>
        <v>105.655</v>
      </c>
      <c r="Z61" s="57" t="str">
        <f ca="1"/>
        <v>VOON</v>
      </c>
      <c r="AA61" s="57" t="str">
        <f ca="1"/>
        <v>Bond Sovereign</v>
      </c>
      <c r="AB61" s="56">
        <f ca="1"/>
        <v>0</v>
      </c>
      <c r="AC61" s="56">
        <f ca="1">IFERROR(IF(ISBLANK(AB61),"-",AB61-_xlfn.XLOOKUP(T61,AI:AI,AJ:AJ)),"-")</f>
        <v>0</v>
      </c>
      <c r="AD61" s="56">
        <f ca="1">IFERROR(IF(ISBLANK(AB61),"-",AB61-_xlfn.XLOOKUP(T61,AO:AO,AP:AP)),"-")</f>
        <v>0</v>
      </c>
      <c r="AE61" s="25"/>
      <c r="AF61" s="25"/>
      <c r="AG61" s="25"/>
      <c r="AH61" s="25"/>
      <c r="AI61" s="51" t="s">
        <v>891</v>
      </c>
      <c r="AJ61" s="80">
        <v>0</v>
      </c>
      <c r="AK61" s="25"/>
      <c r="AL61" s="25"/>
      <c r="AM61" s="25"/>
      <c r="AN61" s="25"/>
      <c r="AO61" s="51" t="s">
        <v>891</v>
      </c>
      <c r="AP61" s="80">
        <v>0</v>
      </c>
      <c r="AQ61" s="25"/>
      <c r="AR61" s="25"/>
      <c r="AS61" s="26"/>
      <c r="AT61" s="20" t="s">
        <v>867</v>
      </c>
      <c r="AW61" s="25"/>
      <c r="AX61" s="25"/>
      <c r="AY61" s="37"/>
      <c r="AZ61" s="25"/>
      <c r="BA61" s="35"/>
      <c r="BB61" s="25"/>
      <c r="BC61" s="25"/>
      <c r="BD61" s="25"/>
      <c r="BE61" s="25"/>
      <c r="BF61" s="25"/>
      <c r="BG61" s="25"/>
      <c r="BH61" s="25"/>
      <c r="BI61" s="37"/>
      <c r="BJ61" s="25"/>
      <c r="BK61" s="25"/>
    </row>
    <row r="62" spans="3:63" x14ac:dyDescent="0.35">
      <c r="C62" s="25" t="str">
        <f ca="1"/>
        <v>XS1222590488</v>
      </c>
      <c r="D62" s="25" t="str">
        <f ca="1"/>
        <v>VOON</v>
      </c>
      <c r="E62" s="35">
        <f ca="1"/>
        <v>109.373</v>
      </c>
      <c r="F62" s="102"/>
      <c r="G62" s="102">
        <f ca="1"/>
        <v>6369000</v>
      </c>
      <c r="H62" s="25">
        <f ca="1"/>
        <v>1719.6300000000651</v>
      </c>
      <c r="I62" s="37">
        <f ca="1"/>
        <v>0</v>
      </c>
      <c r="J62" s="37" t="str">
        <f ca="1"/>
        <v>BGN</v>
      </c>
      <c r="K62" s="35" t="str">
        <f ca="1"/>
        <v>EUR</v>
      </c>
      <c r="L62" s="102">
        <f ca="1"/>
        <v>1719.6300000000651</v>
      </c>
      <c r="M62" s="102">
        <f ca="1"/>
        <v>1719.6300000000651</v>
      </c>
      <c r="N62" s="19">
        <f ca="1"/>
        <v>109.4</v>
      </c>
      <c r="Q62" s="20" t="s">
        <v>867</v>
      </c>
      <c r="R62" s="24"/>
      <c r="S62" s="25">
        <f ca="1"/>
        <v>21</v>
      </c>
      <c r="T62" s="19" t="str">
        <f ca="1"/>
        <v>XS1222590488</v>
      </c>
      <c r="U62" s="25" t="str">
        <f ca="1"/>
        <v>EDPPL 2 04/22/25</v>
      </c>
      <c r="V62" s="64">
        <f ca="1"/>
        <v>6369000</v>
      </c>
      <c r="W62" s="70">
        <f ca="1"/>
        <v>3.4</v>
      </c>
      <c r="X62" s="71">
        <f ca="1"/>
        <v>109.373</v>
      </c>
      <c r="Y62" s="71">
        <f ca="1"/>
        <v>109.4</v>
      </c>
      <c r="Z62" s="57" t="str">
        <f ca="1"/>
        <v>VOON</v>
      </c>
      <c r="AA62" s="57" t="str">
        <f ca="1"/>
        <v>Bond Corporate</v>
      </c>
      <c r="AB62" s="56">
        <f ca="1"/>
        <v>1719.6300000000651</v>
      </c>
      <c r="AC62" s="56">
        <f ca="1">IFERROR(IF(ISBLANK(AB62),"-",AB62-_xlfn.XLOOKUP(T62,AI:AI,AJ:AJ)),"-")</f>
        <v>0</v>
      </c>
      <c r="AD62" s="56">
        <f ca="1">IFERROR(IF(ISBLANK(AB62),"-",AB62-_xlfn.XLOOKUP(T62,AO:AO,AP:AP)),"-")</f>
        <v>636.90000000032569</v>
      </c>
      <c r="AE62" s="25"/>
      <c r="AF62" s="25"/>
      <c r="AG62" s="25"/>
      <c r="AH62" s="25"/>
      <c r="AI62" s="51" t="s">
        <v>51</v>
      </c>
      <c r="AJ62" s="80">
        <v>1719.6300000000651</v>
      </c>
      <c r="AK62" s="25"/>
      <c r="AL62" s="25"/>
      <c r="AM62" s="25"/>
      <c r="AN62" s="25"/>
      <c r="AO62" s="51" t="s">
        <v>51</v>
      </c>
      <c r="AP62" s="80">
        <v>1719.6300000000651</v>
      </c>
      <c r="AQ62" s="25"/>
      <c r="AR62" s="25"/>
      <c r="AS62" s="26"/>
      <c r="AT62" s="20" t="s">
        <v>867</v>
      </c>
      <c r="AW62" s="25"/>
      <c r="AX62" s="25"/>
      <c r="AY62" s="37"/>
      <c r="AZ62" s="25"/>
      <c r="BA62" s="35"/>
      <c r="BB62" s="25"/>
      <c r="BC62" s="25"/>
      <c r="BD62" s="25"/>
      <c r="BE62" s="25"/>
      <c r="BF62" s="25"/>
      <c r="BG62" s="25"/>
      <c r="BH62" s="25"/>
      <c r="BI62" s="37"/>
      <c r="BJ62" s="25"/>
      <c r="BK62" s="25"/>
    </row>
    <row r="63" spans="3:63" x14ac:dyDescent="0.35">
      <c r="C63" s="25" t="str">
        <f ca="1"/>
        <v>BE6321529396</v>
      </c>
      <c r="D63" s="25" t="str">
        <f ca="1"/>
        <v>VOON</v>
      </c>
      <c r="E63" s="35">
        <f ca="1"/>
        <v>105.58799999999999</v>
      </c>
      <c r="F63" s="102"/>
      <c r="G63" s="102">
        <f ca="1"/>
        <v>-3000000</v>
      </c>
      <c r="H63" s="25">
        <f ca="1"/>
        <v>-5490.0000000002083</v>
      </c>
      <c r="I63" s="37">
        <f ca="1"/>
        <v>847.99999999995646</v>
      </c>
      <c r="J63" s="37" t="str">
        <f ca="1"/>
        <v>BGN</v>
      </c>
      <c r="K63" s="35" t="str">
        <f ca="1"/>
        <v>EUR</v>
      </c>
      <c r="L63" s="102">
        <f ca="1"/>
        <v>-4642.0000000002519</v>
      </c>
      <c r="M63" s="102">
        <f ca="1"/>
        <v>-4642.0000000002519</v>
      </c>
      <c r="N63" s="19">
        <f ca="1"/>
        <v>105.771</v>
      </c>
      <c r="Q63" s="20" t="s">
        <v>867</v>
      </c>
      <c r="R63" s="24"/>
      <c r="S63" s="25">
        <f ca="1"/>
        <v>22</v>
      </c>
      <c r="T63" s="19" t="str">
        <f ca="1"/>
        <v>BE6321529396</v>
      </c>
      <c r="U63" s="25" t="str">
        <f ca="1"/>
        <v>ELIATB 0 7/8 04/28/30</v>
      </c>
      <c r="V63" s="64">
        <f ca="1"/>
        <v>-2200000</v>
      </c>
      <c r="W63" s="70">
        <f ca="1"/>
        <v>-3.54</v>
      </c>
      <c r="X63" s="71">
        <f ca="1"/>
        <v>105.58799999999999</v>
      </c>
      <c r="Y63" s="71">
        <f ca="1"/>
        <v>105.771</v>
      </c>
      <c r="Z63" s="57" t="str">
        <f ca="1"/>
        <v>VOON</v>
      </c>
      <c r="AA63" s="57" t="str">
        <f ca="1"/>
        <v>Bond Corporate</v>
      </c>
      <c r="AB63" s="56">
        <f ca="1"/>
        <v>-4642.0000000002519</v>
      </c>
      <c r="AC63" s="56">
        <f ca="1">IFERROR(IF(ISBLANK(AB63),"-",AB63-_xlfn.XLOOKUP(T63,AI:AI,AJ:AJ)),"-")</f>
        <v>0</v>
      </c>
      <c r="AD63" s="56">
        <f ca="1">IFERROR(IF(ISBLANK(AB63),"-",AB63-_xlfn.XLOOKUP(T63,AO:AO,AP:AP)),"-")</f>
        <v>-175.99999999990268</v>
      </c>
      <c r="AE63" s="25"/>
      <c r="AF63" s="25"/>
      <c r="AG63" s="25"/>
      <c r="AH63" s="25"/>
      <c r="AI63" s="51" t="s">
        <v>665</v>
      </c>
      <c r="AJ63" s="80">
        <v>-4642.0000000002519</v>
      </c>
      <c r="AK63" s="25"/>
      <c r="AL63" s="25"/>
      <c r="AM63" s="25"/>
      <c r="AN63" s="25"/>
      <c r="AO63" s="51" t="s">
        <v>665</v>
      </c>
      <c r="AP63" s="80">
        <v>-4642.0000000002519</v>
      </c>
      <c r="AQ63" s="25"/>
      <c r="AR63" s="25"/>
      <c r="AS63" s="26"/>
      <c r="AT63" s="20" t="s">
        <v>867</v>
      </c>
      <c r="AW63" s="25"/>
      <c r="AX63" s="25"/>
      <c r="AY63" s="37"/>
      <c r="AZ63" s="25"/>
      <c r="BA63" s="35"/>
      <c r="BB63" s="25"/>
      <c r="BC63" s="25"/>
      <c r="BD63" s="25"/>
      <c r="BE63" s="25"/>
      <c r="BF63" s="25"/>
      <c r="BG63" s="25"/>
      <c r="BH63" s="25"/>
      <c r="BI63" s="37"/>
      <c r="BJ63" s="25"/>
      <c r="BK63" s="25"/>
    </row>
    <row r="64" spans="3:63" x14ac:dyDescent="0.35">
      <c r="C64" s="25" t="str">
        <f ca="1"/>
        <v>BE0002466416</v>
      </c>
      <c r="D64" s="25" t="str">
        <f ca="1"/>
        <v>VOON</v>
      </c>
      <c r="E64" s="35">
        <f ca="1"/>
        <v>123.373</v>
      </c>
      <c r="F64" s="102"/>
      <c r="G64" s="102">
        <f ca="1"/>
        <v>2000000</v>
      </c>
      <c r="H64" s="25">
        <f ca="1"/>
        <v>2680.0000000000068</v>
      </c>
      <c r="I64" s="37">
        <f ca="1"/>
        <v>0</v>
      </c>
      <c r="J64" s="37" t="str">
        <f ca="1"/>
        <v>BGN</v>
      </c>
      <c r="K64" s="35" t="str">
        <f ca="1"/>
        <v>EUR</v>
      </c>
      <c r="L64" s="102">
        <f ca="1"/>
        <v>2680.0000000000068</v>
      </c>
      <c r="M64" s="102">
        <f ca="1"/>
        <v>2680.0000000000068</v>
      </c>
      <c r="N64" s="19">
        <f ca="1"/>
        <v>123.50700000000001</v>
      </c>
      <c r="Q64" s="20" t="s">
        <v>867</v>
      </c>
      <c r="R64" s="24"/>
      <c r="S64" s="25">
        <f ca="1"/>
        <v>23</v>
      </c>
      <c r="T64" s="19" t="str">
        <f ca="1"/>
        <v>BE0002466416</v>
      </c>
      <c r="U64" s="25" t="str">
        <f ca="1"/>
        <v>ELIATB 3 04/07/29</v>
      </c>
      <c r="V64" s="64">
        <f ca="1"/>
        <v>2000000</v>
      </c>
      <c r="W64" s="70">
        <f ca="1"/>
        <v>2.99</v>
      </c>
      <c r="X64" s="71">
        <f ca="1"/>
        <v>123.373</v>
      </c>
      <c r="Y64" s="71">
        <f ca="1"/>
        <v>123.50700000000001</v>
      </c>
      <c r="Z64" s="57" t="str">
        <f ca="1"/>
        <v>VOON</v>
      </c>
      <c r="AA64" s="57" t="str">
        <f ca="1"/>
        <v>Bond Corporate</v>
      </c>
      <c r="AB64" s="56">
        <f ca="1"/>
        <v>2680.0000000000068</v>
      </c>
      <c r="AC64" s="56">
        <f ca="1">IFERROR(IF(ISBLANK(AB64),"-",AB64-_xlfn.XLOOKUP(T64,AI:AI,AJ:AJ)),"-")</f>
        <v>0</v>
      </c>
      <c r="AD64" s="56">
        <f ca="1">IFERROR(IF(ISBLANK(AB64),"-",AB64-_xlfn.XLOOKUP(T64,AO:AO,AP:AP)),"-")</f>
        <v>160.00000000019554</v>
      </c>
      <c r="AE64" s="25"/>
      <c r="AF64" s="25"/>
      <c r="AG64" s="25"/>
      <c r="AH64" s="25"/>
      <c r="AI64" s="51" t="s">
        <v>58</v>
      </c>
      <c r="AJ64" s="80">
        <v>2680.0000000000068</v>
      </c>
      <c r="AK64" s="25"/>
      <c r="AL64" s="25"/>
      <c r="AM64" s="25"/>
      <c r="AN64" s="25"/>
      <c r="AO64" s="51" t="s">
        <v>58</v>
      </c>
      <c r="AP64" s="80">
        <v>2680.0000000000068</v>
      </c>
      <c r="AQ64" s="25"/>
      <c r="AR64" s="25"/>
      <c r="AS64" s="26"/>
      <c r="AT64" s="20" t="s">
        <v>867</v>
      </c>
      <c r="AW64" s="25"/>
      <c r="AX64" s="25"/>
      <c r="AY64" s="37"/>
      <c r="AZ64" s="25"/>
      <c r="BA64" s="35"/>
      <c r="BB64" s="25"/>
      <c r="BC64" s="25"/>
      <c r="BD64" s="25"/>
      <c r="BE64" s="25"/>
      <c r="BF64" s="25"/>
      <c r="BG64" s="25"/>
      <c r="BH64" s="25"/>
      <c r="BI64" s="37"/>
      <c r="BJ64" s="25"/>
      <c r="BK64" s="25"/>
    </row>
    <row r="65" spans="3:63" x14ac:dyDescent="0.35">
      <c r="C65" s="25" t="str">
        <f ca="1"/>
        <v>XS1901055472</v>
      </c>
      <c r="D65" s="25" t="str">
        <f ca="1"/>
        <v>VOON</v>
      </c>
      <c r="E65" s="35">
        <f ca="1"/>
        <v>121.655</v>
      </c>
      <c r="F65" s="102"/>
      <c r="G65" s="102">
        <f ca="1"/>
        <v>0</v>
      </c>
      <c r="H65" s="25">
        <f ca="1"/>
        <v>0</v>
      </c>
      <c r="I65" s="37">
        <f ca="1"/>
        <v>0</v>
      </c>
      <c r="J65" s="37" t="str">
        <f ca="1"/>
        <v>BGN</v>
      </c>
      <c r="K65" s="35" t="str">
        <f ca="1"/>
        <v>EUR</v>
      </c>
      <c r="L65" s="102">
        <f ca="1"/>
        <v>0</v>
      </c>
      <c r="M65" s="102">
        <f ca="1"/>
        <v>0</v>
      </c>
      <c r="N65" s="19">
        <f ca="1"/>
        <v>121.94199999999999</v>
      </c>
      <c r="Q65" s="20" t="s">
        <v>867</v>
      </c>
      <c r="R65" s="24"/>
      <c r="S65" s="25">
        <f ca="1"/>
        <v>24</v>
      </c>
      <c r="T65" s="19" t="str">
        <f ca="1"/>
        <v>XS1901055472</v>
      </c>
      <c r="U65" s="25" t="str">
        <f ca="1"/>
        <v>ENBW 1 7/8 10/31/33</v>
      </c>
      <c r="V65" s="64">
        <f ca="1"/>
        <v>0</v>
      </c>
      <c r="W65" s="70">
        <f ca="1"/>
        <v>0</v>
      </c>
      <c r="X65" s="71">
        <f ca="1"/>
        <v>121.655</v>
      </c>
      <c r="Y65" s="71">
        <f ca="1"/>
        <v>121.94199999999999</v>
      </c>
      <c r="Z65" s="57" t="str">
        <f ca="1"/>
        <v>VOON</v>
      </c>
      <c r="AA65" s="57" t="str">
        <f ca="1"/>
        <v>Bond Corporate</v>
      </c>
      <c r="AB65" s="56">
        <f ca="1"/>
        <v>0</v>
      </c>
      <c r="AC65" s="56">
        <f ca="1">IFERROR(IF(ISBLANK(AB65),"-",AB65-_xlfn.XLOOKUP(T65,AI:AI,AJ:AJ)),"-")</f>
        <v>0</v>
      </c>
      <c r="AD65" s="56">
        <f ca="1">IFERROR(IF(ISBLANK(AB65),"-",AB65-_xlfn.XLOOKUP(T65,AO:AO,AP:AP)),"-")</f>
        <v>0</v>
      </c>
      <c r="AE65" s="25"/>
      <c r="AF65" s="25"/>
      <c r="AG65" s="25"/>
      <c r="AH65" s="25"/>
      <c r="AI65" s="51" t="s">
        <v>61</v>
      </c>
      <c r="AJ65" s="80">
        <v>0</v>
      </c>
      <c r="AK65" s="25"/>
      <c r="AL65" s="25"/>
      <c r="AM65" s="25"/>
      <c r="AN65" s="25"/>
      <c r="AO65" s="51" t="s">
        <v>61</v>
      </c>
      <c r="AP65" s="80">
        <v>0</v>
      </c>
      <c r="AQ65" s="25"/>
      <c r="AR65" s="25"/>
      <c r="AS65" s="26"/>
      <c r="AT65" s="20" t="s">
        <v>867</v>
      </c>
      <c r="AW65" s="25"/>
      <c r="AX65" s="25"/>
      <c r="AY65" s="37"/>
      <c r="AZ65" s="25"/>
      <c r="BA65" s="35"/>
      <c r="BB65" s="25"/>
      <c r="BC65" s="25"/>
      <c r="BD65" s="25"/>
      <c r="BE65" s="25"/>
      <c r="BF65" s="25"/>
      <c r="BG65" s="25"/>
      <c r="BH65" s="25"/>
      <c r="BI65" s="37"/>
      <c r="BJ65" s="25"/>
      <c r="BK65" s="25"/>
    </row>
    <row r="66" spans="3:63" x14ac:dyDescent="0.35">
      <c r="C66" s="25" t="str">
        <f ca="1"/>
        <v>XS2242728041</v>
      </c>
      <c r="D66" s="25" t="str">
        <f ca="1"/>
        <v>VOON</v>
      </c>
      <c r="E66" s="35">
        <f ca="1"/>
        <v>101.413</v>
      </c>
      <c r="F66" s="102"/>
      <c r="G66" s="102">
        <f ca="1"/>
        <v>11000000</v>
      </c>
      <c r="H66" s="25">
        <f ca="1"/>
        <v>27940.000000000535</v>
      </c>
      <c r="I66" s="37">
        <f ca="1"/>
        <v>0</v>
      </c>
      <c r="J66" s="37" t="str">
        <f ca="1"/>
        <v>BGN</v>
      </c>
      <c r="K66" s="35" t="str">
        <f ca="1"/>
        <v>EUR</v>
      </c>
      <c r="L66" s="102">
        <f ca="1"/>
        <v>27940.000000000535</v>
      </c>
      <c r="M66" s="102">
        <f ca="1"/>
        <v>27940.000000000535</v>
      </c>
      <c r="N66" s="19">
        <f ca="1"/>
        <v>101.667</v>
      </c>
      <c r="Q66" s="20" t="s">
        <v>867</v>
      </c>
      <c r="R66" s="24"/>
      <c r="S66" s="25">
        <f ca="1"/>
        <v>25</v>
      </c>
      <c r="T66" s="19" t="str">
        <f ca="1"/>
        <v>XS2242728041</v>
      </c>
      <c r="U66" s="25" t="str">
        <f ca="1"/>
        <v>ENBW 0 1/4 10/19/30</v>
      </c>
      <c r="V66" s="64">
        <f ca="1"/>
        <v>11000000</v>
      </c>
      <c r="W66" s="70">
        <f ca="1"/>
        <v>11.14</v>
      </c>
      <c r="X66" s="71">
        <f ca="1"/>
        <v>101.413</v>
      </c>
      <c r="Y66" s="71">
        <f ca="1"/>
        <v>101.667</v>
      </c>
      <c r="Z66" s="57" t="str">
        <f ca="1"/>
        <v>VOON</v>
      </c>
      <c r="AA66" s="57" t="str">
        <f ca="1"/>
        <v>Bond Corporate</v>
      </c>
      <c r="AB66" s="56">
        <f ca="1"/>
        <v>27940.000000000535</v>
      </c>
      <c r="AC66" s="56">
        <f ca="1">IFERROR(IF(ISBLANK(AB66),"-",AB66-_xlfn.XLOOKUP(T66,AI:AI,AJ:AJ)),"-")</f>
        <v>0</v>
      </c>
      <c r="AD66" s="56">
        <f ca="1">IFERROR(IF(ISBLANK(AB66),"-",AB66-_xlfn.XLOOKUP(T66,AO:AO,AP:AP)),"-")</f>
        <v>440.00000000053478</v>
      </c>
      <c r="AE66" s="25"/>
      <c r="AF66" s="25"/>
      <c r="AG66" s="25"/>
      <c r="AH66" s="25"/>
      <c r="AI66" s="51" t="s">
        <v>64</v>
      </c>
      <c r="AJ66" s="80">
        <v>27940.000000000535</v>
      </c>
      <c r="AK66" s="25"/>
      <c r="AL66" s="25"/>
      <c r="AM66" s="25"/>
      <c r="AN66" s="25"/>
      <c r="AO66" s="51" t="s">
        <v>64</v>
      </c>
      <c r="AP66" s="80">
        <v>27940.000000000535</v>
      </c>
      <c r="AQ66" s="25"/>
      <c r="AR66" s="25"/>
      <c r="AS66" s="26"/>
      <c r="AT66" s="20" t="s">
        <v>867</v>
      </c>
      <c r="AW66" s="25"/>
      <c r="AX66" s="25"/>
      <c r="AY66" s="37"/>
      <c r="AZ66" s="25"/>
      <c r="BA66" s="35"/>
      <c r="BB66" s="25"/>
      <c r="BC66" s="25"/>
      <c r="BD66" s="25"/>
      <c r="BE66" s="25"/>
      <c r="BF66" s="25"/>
      <c r="BG66" s="25"/>
      <c r="BH66" s="25"/>
      <c r="BI66" s="37"/>
      <c r="BJ66" s="25"/>
      <c r="BK66" s="25"/>
    </row>
    <row r="67" spans="3:63" x14ac:dyDescent="0.35">
      <c r="C67" s="25" t="str">
        <f ca="1"/>
        <v>XS0647298883</v>
      </c>
      <c r="D67" s="25" t="str">
        <f ca="1"/>
        <v>VOON</v>
      </c>
      <c r="E67" s="35">
        <f ca="1"/>
        <v>103.477</v>
      </c>
      <c r="F67" s="102"/>
      <c r="G67" s="102">
        <f ca="1"/>
        <v>-1200000</v>
      </c>
      <c r="H67" s="25">
        <f ca="1"/>
        <v>156.00000000006276</v>
      </c>
      <c r="I67" s="37">
        <f ca="1"/>
        <v>0</v>
      </c>
      <c r="J67" s="37" t="str">
        <f ca="1"/>
        <v>BGN</v>
      </c>
      <c r="K67" s="35" t="str">
        <f ca="1"/>
        <v>EUR</v>
      </c>
      <c r="L67" s="102">
        <f ca="1"/>
        <v>156.00000000006276</v>
      </c>
      <c r="M67" s="102">
        <f ca="1"/>
        <v>156.00000000006276</v>
      </c>
      <c r="N67" s="19">
        <f ca="1"/>
        <v>103.464</v>
      </c>
      <c r="Q67" s="20" t="s">
        <v>867</v>
      </c>
      <c r="R67" s="24"/>
      <c r="S67" s="25">
        <f ca="1"/>
        <v>26</v>
      </c>
      <c r="T67" s="19" t="str">
        <f ca="1"/>
        <v>XS0647298883</v>
      </c>
      <c r="U67" s="25" t="str">
        <f ca="1"/>
        <v>ENELIM 5 07/12/21</v>
      </c>
      <c r="V67" s="64">
        <f ca="1"/>
        <v>-1200000</v>
      </c>
      <c r="W67" s="70">
        <f ca="1"/>
        <v>-0.04</v>
      </c>
      <c r="X67" s="71">
        <f ca="1"/>
        <v>103.477</v>
      </c>
      <c r="Y67" s="71">
        <f ca="1"/>
        <v>103.464</v>
      </c>
      <c r="Z67" s="57" t="str">
        <f ca="1"/>
        <v>VOON</v>
      </c>
      <c r="AA67" s="57" t="str">
        <f ca="1"/>
        <v>Bond Corporate</v>
      </c>
      <c r="AB67" s="56">
        <f ca="1"/>
        <v>156.00000000006276</v>
      </c>
      <c r="AC67" s="56">
        <f ca="1">IFERROR(IF(ISBLANK(AB67),"-",AB67-_xlfn.XLOOKUP(T67,AI:AI,AJ:AJ)),"-")</f>
        <v>0</v>
      </c>
      <c r="AD67" s="56">
        <f ca="1">IFERROR(IF(ISBLANK(AB67),"-",AB67-_xlfn.XLOOKUP(T67,AO:AO,AP:AP)),"-")</f>
        <v>48.000000000058662</v>
      </c>
      <c r="AE67" s="25"/>
      <c r="AF67" s="25"/>
      <c r="AG67" s="25"/>
      <c r="AH67" s="25"/>
      <c r="AI67" s="51" t="s">
        <v>66</v>
      </c>
      <c r="AJ67" s="80">
        <v>156.00000000006276</v>
      </c>
      <c r="AK67" s="25"/>
      <c r="AL67" s="25"/>
      <c r="AM67" s="25"/>
      <c r="AN67" s="25"/>
      <c r="AO67" s="51" t="s">
        <v>66</v>
      </c>
      <c r="AP67" s="80">
        <v>156.00000000006276</v>
      </c>
      <c r="AQ67" s="25"/>
      <c r="AR67" s="25"/>
      <c r="AS67" s="26"/>
      <c r="AT67" s="20" t="s">
        <v>867</v>
      </c>
      <c r="AW67" s="25"/>
      <c r="AX67" s="25"/>
      <c r="AY67" s="37"/>
      <c r="AZ67" s="25"/>
      <c r="BA67" s="35"/>
      <c r="BB67" s="25"/>
      <c r="BC67" s="25"/>
      <c r="BD67" s="25"/>
      <c r="BE67" s="25"/>
      <c r="BF67" s="25"/>
      <c r="BG67" s="25"/>
      <c r="BH67" s="25"/>
      <c r="BI67" s="37"/>
      <c r="BJ67" s="25"/>
      <c r="BK67" s="25"/>
    </row>
    <row r="68" spans="3:63" x14ac:dyDescent="0.35">
      <c r="C68" s="25" t="str">
        <f ca="1"/>
        <v>XS1396367911</v>
      </c>
      <c r="D68" s="25" t="str">
        <f ca="1"/>
        <v>VOON</v>
      </c>
      <c r="E68" s="35">
        <f ca="1"/>
        <v>105.42700000000001</v>
      </c>
      <c r="F68" s="102"/>
      <c r="G68" s="102">
        <f ca="1"/>
        <v>700000</v>
      </c>
      <c r="H68" s="25">
        <f ca="1"/>
        <v>321.99999999994589</v>
      </c>
      <c r="I68" s="37">
        <f ca="1"/>
        <v>0</v>
      </c>
      <c r="J68" s="37" t="str">
        <f ca="1"/>
        <v>BGN</v>
      </c>
      <c r="K68" s="35" t="str">
        <f ca="1"/>
        <v>EUR</v>
      </c>
      <c r="L68" s="102">
        <f ca="1"/>
        <v>321.99999999994589</v>
      </c>
      <c r="M68" s="102">
        <f ca="1"/>
        <v>321.99999999994589</v>
      </c>
      <c r="N68" s="19">
        <f ca="1"/>
        <v>105.473</v>
      </c>
      <c r="Q68" s="20" t="s">
        <v>867</v>
      </c>
      <c r="R68" s="24"/>
      <c r="S68" s="25">
        <f ca="1"/>
        <v>27</v>
      </c>
      <c r="T68" s="19" t="str">
        <f ca="1"/>
        <v>XS1396367911</v>
      </c>
      <c r="U68" s="25" t="str">
        <f ca="1"/>
        <v>ENEXIS 0 7/8 04/28/26</v>
      </c>
      <c r="V68" s="64">
        <f ca="1"/>
        <v>700000</v>
      </c>
      <c r="W68" s="70">
        <f ca="1"/>
        <v>0.39</v>
      </c>
      <c r="X68" s="71">
        <f ca="1"/>
        <v>105.42700000000001</v>
      </c>
      <c r="Y68" s="71">
        <f ca="1"/>
        <v>105.473</v>
      </c>
      <c r="Z68" s="57" t="str">
        <f ca="1"/>
        <v>VOON</v>
      </c>
      <c r="AA68" s="57" t="str">
        <f ca="1"/>
        <v>Bond Corporate</v>
      </c>
      <c r="AB68" s="56">
        <f ca="1"/>
        <v>321.99999999994589</v>
      </c>
      <c r="AC68" s="56">
        <f ca="1">IFERROR(IF(ISBLANK(AB68),"-",AB68-_xlfn.XLOOKUP(T68,AI:AI,AJ:AJ)),"-")</f>
        <v>0</v>
      </c>
      <c r="AD68" s="56">
        <f ca="1">IFERROR(IF(ISBLANK(AB68),"-",AB68-_xlfn.XLOOKUP(T68,AO:AO,AP:AP)),"-")</f>
        <v>0</v>
      </c>
      <c r="AE68" s="25"/>
      <c r="AF68" s="25"/>
      <c r="AG68" s="25"/>
      <c r="AH68" s="25"/>
      <c r="AI68" s="51" t="s">
        <v>69</v>
      </c>
      <c r="AJ68" s="80">
        <v>321.99999999994589</v>
      </c>
      <c r="AK68" s="25"/>
      <c r="AL68" s="25"/>
      <c r="AM68" s="25"/>
      <c r="AN68" s="25"/>
      <c r="AO68" s="51" t="s">
        <v>69</v>
      </c>
      <c r="AP68" s="80">
        <v>321.99999999994589</v>
      </c>
      <c r="AQ68" s="25"/>
      <c r="AR68" s="25"/>
      <c r="AS68" s="26"/>
      <c r="AT68" s="20" t="s">
        <v>867</v>
      </c>
      <c r="AW68" s="25"/>
      <c r="AX68" s="25"/>
      <c r="AY68" s="37"/>
      <c r="AZ68" s="25"/>
      <c r="BA68" s="35"/>
      <c r="BB68" s="25"/>
      <c r="BC68" s="25"/>
      <c r="BD68" s="25"/>
      <c r="BE68" s="25"/>
      <c r="BF68" s="25"/>
      <c r="BG68" s="25"/>
      <c r="BH68" s="25"/>
      <c r="BI68" s="37"/>
      <c r="BJ68" s="25"/>
      <c r="BK68" s="25"/>
    </row>
    <row r="69" spans="3:63" x14ac:dyDescent="0.35">
      <c r="C69" s="25" t="str">
        <f ca="1"/>
        <v>FR0013504677</v>
      </c>
      <c r="D69" s="25" t="str">
        <f ca="1"/>
        <v>VOON</v>
      </c>
      <c r="E69" s="35">
        <f ca="1"/>
        <v>112.732</v>
      </c>
      <c r="F69" s="102"/>
      <c r="G69" s="102">
        <f ca="1"/>
        <v>-200000</v>
      </c>
      <c r="H69" s="25">
        <f ca="1"/>
        <v>-199.99999999998866</v>
      </c>
      <c r="I69" s="37">
        <f ca="1"/>
        <v>0</v>
      </c>
      <c r="J69" s="37" t="str">
        <f ca="1"/>
        <v>BGN</v>
      </c>
      <c r="K69" s="35" t="str">
        <f ca="1"/>
        <v>EUR</v>
      </c>
      <c r="L69" s="102">
        <f ca="1"/>
        <v>-199.99999999998866</v>
      </c>
      <c r="M69" s="102">
        <f ca="1"/>
        <v>-199.99999999998866</v>
      </c>
      <c r="N69" s="19">
        <f ca="1"/>
        <v>112.83199999999999</v>
      </c>
      <c r="Q69" s="20" t="s">
        <v>867</v>
      </c>
      <c r="R69" s="24"/>
      <c r="S69" s="25">
        <f ca="1"/>
        <v>28</v>
      </c>
      <c r="T69" s="19" t="str">
        <f ca="1"/>
        <v>FR0013504677</v>
      </c>
      <c r="U69" s="25" t="str">
        <f ca="1"/>
        <v>ENGIFP 1 3/4 03/27/28</v>
      </c>
      <c r="V69" s="64">
        <f ca="1"/>
        <v>-200000</v>
      </c>
      <c r="W69" s="70">
        <f ca="1"/>
        <v>-0.19</v>
      </c>
      <c r="X69" s="71">
        <f ca="1"/>
        <v>112.732</v>
      </c>
      <c r="Y69" s="71">
        <f ca="1"/>
        <v>112.83199999999999</v>
      </c>
      <c r="Z69" s="57" t="str">
        <f ca="1"/>
        <v>VOON</v>
      </c>
      <c r="AA69" s="57" t="str">
        <f ca="1"/>
        <v>Bond Corporate</v>
      </c>
      <c r="AB69" s="56">
        <f ca="1"/>
        <v>-199.99999999998866</v>
      </c>
      <c r="AC69" s="56">
        <f ca="1">IFERROR(IF(ISBLANK(AB69),"-",AB69-_xlfn.XLOOKUP(T69,AI:AI,AJ:AJ)),"-")</f>
        <v>0</v>
      </c>
      <c r="AD69" s="56">
        <f ca="1">IFERROR(IF(ISBLANK(AB69),"-",AB69-_xlfn.XLOOKUP(T69,AO:AO,AP:AP)),"-")</f>
        <v>-15.999999999991161</v>
      </c>
      <c r="AE69" s="25"/>
      <c r="AF69" s="25"/>
      <c r="AG69" s="25"/>
      <c r="AH69" s="25"/>
      <c r="AI69" s="51" t="s">
        <v>75</v>
      </c>
      <c r="AJ69" s="80">
        <v>-199.99999999998866</v>
      </c>
      <c r="AK69" s="25"/>
      <c r="AL69" s="25"/>
      <c r="AM69" s="25"/>
      <c r="AN69" s="25"/>
      <c r="AO69" s="51" t="s">
        <v>75</v>
      </c>
      <c r="AP69" s="80">
        <v>-199.99999999998866</v>
      </c>
      <c r="AQ69" s="25"/>
      <c r="AR69" s="25"/>
      <c r="AS69" s="26"/>
      <c r="AT69" s="20" t="s">
        <v>867</v>
      </c>
      <c r="AW69" s="25"/>
      <c r="AX69" s="25"/>
      <c r="AY69" s="37"/>
      <c r="AZ69" s="25"/>
      <c r="BA69" s="35"/>
      <c r="BB69" s="25"/>
      <c r="BC69" s="25"/>
      <c r="BD69" s="25"/>
      <c r="BE69" s="25"/>
      <c r="BF69" s="25"/>
      <c r="BG69" s="25"/>
      <c r="BH69" s="25"/>
      <c r="BI69" s="37"/>
      <c r="BJ69" s="25"/>
      <c r="BK69" s="25"/>
    </row>
    <row r="70" spans="3:63" x14ac:dyDescent="0.35">
      <c r="C70" s="25" t="str">
        <f ca="1"/>
        <v>FR0013428489</v>
      </c>
      <c r="D70" s="25" t="str">
        <f ca="1"/>
        <v>VOON</v>
      </c>
      <c r="E70" s="35">
        <f ca="1"/>
        <v>103.08</v>
      </c>
      <c r="F70" s="102"/>
      <c r="G70" s="102">
        <f ca="1"/>
        <v>5000000</v>
      </c>
      <c r="H70" s="25">
        <f ca="1"/>
        <v>2100.0000000000796</v>
      </c>
      <c r="I70" s="37">
        <f ca="1"/>
        <v>0</v>
      </c>
      <c r="J70" s="37" t="str">
        <f ca="1"/>
        <v>BGN</v>
      </c>
      <c r="K70" s="35" t="str">
        <f ca="1"/>
        <v>EUR</v>
      </c>
      <c r="L70" s="102">
        <f ca="1"/>
        <v>2100.0000000000796</v>
      </c>
      <c r="M70" s="102">
        <f ca="1"/>
        <v>2100.0000000000796</v>
      </c>
      <c r="N70" s="19">
        <f ca="1"/>
        <v>103.122</v>
      </c>
      <c r="Q70" s="20" t="s">
        <v>867</v>
      </c>
      <c r="R70" s="24"/>
      <c r="S70" s="25">
        <f ca="1"/>
        <v>29</v>
      </c>
      <c r="T70" s="19" t="str">
        <f ca="1"/>
        <v>FR0013428489</v>
      </c>
      <c r="U70" s="25" t="str">
        <f ca="1"/>
        <v>ENGIFP 0 3/8 06/21/27</v>
      </c>
      <c r="V70" s="64">
        <f ca="1"/>
        <v>5000000</v>
      </c>
      <c r="W70" s="70">
        <f ca="1"/>
        <v>3.16</v>
      </c>
      <c r="X70" s="71">
        <f ca="1"/>
        <v>103.08</v>
      </c>
      <c r="Y70" s="71">
        <f ca="1"/>
        <v>103.122</v>
      </c>
      <c r="Z70" s="57" t="str">
        <f ca="1"/>
        <v>VOON</v>
      </c>
      <c r="AA70" s="57" t="str">
        <f ca="1"/>
        <v>Bond Corporate</v>
      </c>
      <c r="AB70" s="56">
        <f ca="1"/>
        <v>2100.0000000000796</v>
      </c>
      <c r="AC70" s="56">
        <f ca="1">IFERROR(IF(ISBLANK(AB70),"-",AB70-_xlfn.XLOOKUP(T70,AI:AI,AJ:AJ)),"-")</f>
        <v>0</v>
      </c>
      <c r="AD70" s="56">
        <f ca="1">IFERROR(IF(ISBLANK(AB70),"-",AB70-_xlfn.XLOOKUP(T70,AO:AO,AP:AP)),"-")</f>
        <v>750.00000000002842</v>
      </c>
      <c r="AE70" s="25"/>
      <c r="AF70" s="25"/>
      <c r="AG70" s="25"/>
      <c r="AH70" s="25"/>
      <c r="AI70" s="51" t="s">
        <v>1416</v>
      </c>
      <c r="AJ70" s="80">
        <v>2100.0000000000796</v>
      </c>
      <c r="AK70" s="25"/>
      <c r="AL70" s="25"/>
      <c r="AM70" s="25"/>
      <c r="AN70" s="25"/>
      <c r="AO70" s="51" t="s">
        <v>1416</v>
      </c>
      <c r="AP70" s="80">
        <v>2100.0000000000796</v>
      </c>
      <c r="AQ70" s="25"/>
      <c r="AR70" s="25"/>
      <c r="AS70" s="26"/>
      <c r="AT70" s="20" t="s">
        <v>867</v>
      </c>
      <c r="AW70" s="25"/>
      <c r="AX70" s="25"/>
      <c r="AY70" s="37"/>
      <c r="AZ70" s="25"/>
      <c r="BA70" s="35"/>
      <c r="BB70" s="25"/>
      <c r="BC70" s="25"/>
      <c r="BD70" s="25"/>
      <c r="BE70" s="25"/>
      <c r="BF70" s="25"/>
      <c r="BG70" s="25"/>
      <c r="BH70" s="25"/>
      <c r="BI70" s="37"/>
      <c r="BJ70" s="25"/>
      <c r="BK70" s="25"/>
    </row>
    <row r="71" spans="3:63" x14ac:dyDescent="0.35">
      <c r="C71" s="25" t="str">
        <f ca="1"/>
        <v>FR0013444775</v>
      </c>
      <c r="D71" s="25" t="str">
        <f ca="1"/>
        <v>VOON</v>
      </c>
      <c r="E71" s="35">
        <f ca="1"/>
        <v>0</v>
      </c>
      <c r="F71" s="102"/>
      <c r="G71" s="102">
        <f ca="1"/>
        <v>0</v>
      </c>
      <c r="H71" s="25" t="str">
        <f ca="1"/>
        <v>-</v>
      </c>
      <c r="I71" s="37">
        <f ca="1"/>
        <v>0</v>
      </c>
      <c r="J71" s="37" t="str">
        <f ca="1"/>
        <v>BGN</v>
      </c>
      <c r="K71" s="35" t="str">
        <f ca="1"/>
        <v>EUR</v>
      </c>
      <c r="L71" s="102" t="str">
        <f ca="1"/>
        <v>-</v>
      </c>
      <c r="M71" s="102" t="str">
        <f ca="1"/>
        <v>-</v>
      </c>
      <c r="N71" s="19" t="str">
        <f ca="1"/>
        <v>#N/A Requesting Data...</v>
      </c>
      <c r="Q71" s="20" t="s">
        <v>867</v>
      </c>
      <c r="R71" s="24"/>
      <c r="S71" s="25">
        <f ca="1"/>
        <v>30</v>
      </c>
      <c r="T71" s="19" t="str">
        <f ca="1"/>
        <v>FR0013444775</v>
      </c>
      <c r="U71" s="25" t="str">
        <f ca="1"/>
        <v>ENGIFP 0 03/04/27</v>
      </c>
      <c r="V71" s="64">
        <f ca="1"/>
        <v>5000000</v>
      </c>
      <c r="W71" s="70">
        <f ca="1"/>
        <v>2.71</v>
      </c>
      <c r="X71" s="71">
        <f ca="1"/>
        <v>0</v>
      </c>
      <c r="Y71" s="71" t="str">
        <f ca="1"/>
        <v>#N/A Requesting Data...</v>
      </c>
      <c r="Z71" s="57" t="str">
        <f ca="1"/>
        <v>VOON</v>
      </c>
      <c r="AA71" s="57" t="str">
        <f ca="1"/>
        <v>Bond Corporate</v>
      </c>
      <c r="AB71" s="56" t="str">
        <f ca="1"/>
        <v>-</v>
      </c>
      <c r="AC71" s="56" t="str">
        <f ca="1">IFERROR(IF(ISBLANK(AB71),"-",AB71-_xlfn.XLOOKUP(T71,AI:AI,AJ:AJ)),"-")</f>
        <v>-</v>
      </c>
      <c r="AD71" s="56" t="str">
        <f ca="1">IFERROR(IF(ISBLANK(AB71),"-",AB71-_xlfn.XLOOKUP(T71,AO:AO,AP:AP)),"-")</f>
        <v>-</v>
      </c>
      <c r="AE71" s="25"/>
      <c r="AF71" s="25"/>
      <c r="AG71" s="25"/>
      <c r="AH71" s="25"/>
      <c r="AI71" s="51" t="s">
        <v>1739</v>
      </c>
      <c r="AJ71" s="80" t="s">
        <v>1181</v>
      </c>
      <c r="AK71" s="25"/>
      <c r="AL71" s="25"/>
      <c r="AM71" s="25"/>
      <c r="AN71" s="25"/>
      <c r="AO71" s="51" t="s">
        <v>77</v>
      </c>
      <c r="AP71" s="80">
        <v>360.0000000000137</v>
      </c>
      <c r="AQ71" s="25"/>
      <c r="AR71" s="25"/>
      <c r="AS71" s="26"/>
      <c r="AT71" s="20" t="s">
        <v>867</v>
      </c>
      <c r="AW71" s="25"/>
      <c r="AX71" s="25"/>
      <c r="AY71" s="37"/>
      <c r="AZ71" s="25"/>
      <c r="BA71" s="35"/>
      <c r="BB71" s="25"/>
      <c r="BC71" s="25"/>
      <c r="BD71" s="25"/>
      <c r="BE71" s="25"/>
      <c r="BF71" s="25"/>
      <c r="BG71" s="25"/>
      <c r="BH71" s="25"/>
      <c r="BI71" s="37"/>
      <c r="BJ71" s="25"/>
      <c r="BK71" s="25"/>
    </row>
    <row r="72" spans="3:63" x14ac:dyDescent="0.35">
      <c r="C72" s="25" t="str">
        <f ca="1"/>
        <v>FR0012602761</v>
      </c>
      <c r="D72" s="25" t="str">
        <f ca="1"/>
        <v>VOON</v>
      </c>
      <c r="E72" s="35">
        <f ca="1"/>
        <v>106.089</v>
      </c>
      <c r="F72" s="102"/>
      <c r="G72" s="102">
        <f ca="1"/>
        <v>1000000</v>
      </c>
      <c r="H72" s="25">
        <f ca="1"/>
        <v>360.0000000000137</v>
      </c>
      <c r="I72" s="37">
        <f ca="1"/>
        <v>0</v>
      </c>
      <c r="J72" s="37" t="str">
        <f ca="1"/>
        <v>BGN</v>
      </c>
      <c r="K72" s="35" t="str">
        <f ca="1"/>
        <v>EUR</v>
      </c>
      <c r="L72" s="102">
        <f ca="1"/>
        <v>360.0000000000137</v>
      </c>
      <c r="M72" s="102">
        <f ca="1"/>
        <v>360.0000000000137</v>
      </c>
      <c r="N72" s="19">
        <f ca="1"/>
        <v>106.125</v>
      </c>
      <c r="Q72" s="20" t="s">
        <v>867</v>
      </c>
      <c r="R72" s="24"/>
      <c r="S72" s="25">
        <f ca="1"/>
        <v>31</v>
      </c>
      <c r="T72" s="19" t="str">
        <f ca="1"/>
        <v>FR0012602761</v>
      </c>
      <c r="U72" s="25" t="str">
        <f ca="1"/>
        <v>ENGIFP 1 03/13/26</v>
      </c>
      <c r="V72" s="64">
        <f ca="1"/>
        <v>1000000</v>
      </c>
      <c r="W72" s="70">
        <f ca="1"/>
        <v>0.52</v>
      </c>
      <c r="X72" s="71">
        <f ca="1"/>
        <v>106.089</v>
      </c>
      <c r="Y72" s="71">
        <f ca="1"/>
        <v>106.125</v>
      </c>
      <c r="Z72" s="57" t="str">
        <f ca="1"/>
        <v>VOON</v>
      </c>
      <c r="AA72" s="57" t="str">
        <f ca="1"/>
        <v>Bond Corporate</v>
      </c>
      <c r="AB72" s="56">
        <f ca="1"/>
        <v>360.0000000000137</v>
      </c>
      <c r="AC72" s="56">
        <f ca="1">IFERROR(IF(ISBLANK(AB72),"-",AB72-_xlfn.XLOOKUP(T72,AI:AI,AJ:AJ)),"-")</f>
        <v>0</v>
      </c>
      <c r="AD72" s="56">
        <f ca="1">IFERROR(IF(ISBLANK(AB72),"-",AB72-_xlfn.XLOOKUP(T72,AO:AO,AP:AP)),"-")</f>
        <v>70.000000000050079</v>
      </c>
      <c r="AE72" s="25"/>
      <c r="AF72" s="25"/>
      <c r="AG72" s="25"/>
      <c r="AH72" s="25"/>
      <c r="AI72" s="51" t="s">
        <v>77</v>
      </c>
      <c r="AJ72" s="80">
        <v>360.0000000000137</v>
      </c>
      <c r="AK72" s="25"/>
      <c r="AL72" s="25"/>
      <c r="AM72" s="25"/>
      <c r="AN72" s="25"/>
      <c r="AO72" s="51" t="s">
        <v>1394</v>
      </c>
      <c r="AP72" s="80">
        <v>30.000000000143245</v>
      </c>
      <c r="AQ72" s="25"/>
      <c r="AR72" s="25"/>
      <c r="AS72" s="26"/>
      <c r="AT72" s="20" t="s">
        <v>867</v>
      </c>
      <c r="AW72" s="25"/>
      <c r="AX72" s="25"/>
      <c r="AY72" s="37"/>
      <c r="AZ72" s="25"/>
      <c r="BA72" s="35"/>
      <c r="BB72" s="25"/>
      <c r="BC72" s="25"/>
      <c r="BD72" s="25"/>
      <c r="BE72" s="25"/>
      <c r="BF72" s="25"/>
      <c r="BG72" s="25"/>
      <c r="BH72" s="25"/>
      <c r="BI72" s="37"/>
      <c r="BJ72" s="25"/>
      <c r="BK72" s="25"/>
    </row>
    <row r="73" spans="3:63" x14ac:dyDescent="0.35">
      <c r="C73" s="25" t="str">
        <f ca="1"/>
        <v>FR0013245859</v>
      </c>
      <c r="D73" s="25" t="str">
        <f ca="1"/>
        <v>VOON</v>
      </c>
      <c r="E73" s="35">
        <f ca="1"/>
        <v>103.71299999999999</v>
      </c>
      <c r="F73" s="102"/>
      <c r="G73" s="102">
        <f ca="1"/>
        <v>1500000</v>
      </c>
      <c r="H73" s="25">
        <f ca="1"/>
        <v>30.000000000143245</v>
      </c>
      <c r="I73" s="37">
        <f ca="1"/>
        <v>0</v>
      </c>
      <c r="J73" s="37" t="str">
        <f ca="1"/>
        <v>BGN</v>
      </c>
      <c r="K73" s="35" t="str">
        <f ca="1"/>
        <v>EUR</v>
      </c>
      <c r="L73" s="102">
        <f ca="1"/>
        <v>30.000000000143245</v>
      </c>
      <c r="M73" s="102">
        <f ca="1"/>
        <v>30.000000000143245</v>
      </c>
      <c r="N73" s="19">
        <f ca="1"/>
        <v>103.715</v>
      </c>
      <c r="Q73" s="20" t="s">
        <v>867</v>
      </c>
      <c r="R73" s="24"/>
      <c r="S73" s="25">
        <f ca="1"/>
        <v>32</v>
      </c>
      <c r="T73" s="19" t="str">
        <f ca="1"/>
        <v>FR0013245859</v>
      </c>
      <c r="U73" s="25" t="str">
        <f ca="1"/>
        <v>ENGIFP 0 7/8 03/27/24</v>
      </c>
      <c r="V73" s="64">
        <f ca="1"/>
        <v>1500000</v>
      </c>
      <c r="W73" s="70">
        <f ca="1"/>
        <v>0.45</v>
      </c>
      <c r="X73" s="71">
        <f ca="1"/>
        <v>103.71299999999999</v>
      </c>
      <c r="Y73" s="71">
        <f ca="1"/>
        <v>103.715</v>
      </c>
      <c r="Z73" s="57" t="str">
        <f ca="1"/>
        <v>VOON</v>
      </c>
      <c r="AA73" s="57" t="str">
        <f ca="1"/>
        <v>Bond Corporate</v>
      </c>
      <c r="AB73" s="56">
        <f ca="1"/>
        <v>30.000000000143245</v>
      </c>
      <c r="AC73" s="56">
        <f ca="1">IFERROR(IF(ISBLANK(AB73),"-",AB73-_xlfn.XLOOKUP(T73,AI:AI,AJ:AJ)),"-")</f>
        <v>0</v>
      </c>
      <c r="AD73" s="56">
        <f ca="1">IFERROR(IF(ISBLANK(AB73),"-",AB73-_xlfn.XLOOKUP(T73,AO:AO,AP:AP)),"-")</f>
        <v>-59.999999999860179</v>
      </c>
      <c r="AE73" s="25"/>
      <c r="AF73" s="25"/>
      <c r="AG73" s="25"/>
      <c r="AH73" s="25"/>
      <c r="AI73" s="51" t="s">
        <v>1394</v>
      </c>
      <c r="AJ73" s="80">
        <v>30.000000000143245</v>
      </c>
      <c r="AK73" s="25"/>
      <c r="AL73" s="25"/>
      <c r="AM73" s="25"/>
      <c r="AN73" s="25"/>
      <c r="AO73" s="51" t="s">
        <v>1739</v>
      </c>
      <c r="AP73" s="80" t="s">
        <v>1181</v>
      </c>
      <c r="AQ73" s="25"/>
      <c r="AR73" s="25"/>
      <c r="AS73" s="26"/>
      <c r="AT73" s="20" t="s">
        <v>867</v>
      </c>
      <c r="AW73" s="25"/>
      <c r="AX73" s="25"/>
      <c r="AY73" s="37"/>
      <c r="AZ73" s="25"/>
      <c r="BA73" s="35"/>
      <c r="BB73" s="25"/>
      <c r="BC73" s="25"/>
      <c r="BD73" s="25"/>
      <c r="BE73" s="25"/>
      <c r="BF73" s="25"/>
      <c r="BG73" s="25"/>
      <c r="BH73" s="25"/>
      <c r="BI73" s="37"/>
      <c r="BJ73" s="25"/>
      <c r="BK73" s="25"/>
    </row>
    <row r="74" spans="3:63" x14ac:dyDescent="0.35">
      <c r="C74" s="25" t="str">
        <f ca="1"/>
        <v>XS2251626896</v>
      </c>
      <c r="D74" s="25" t="str">
        <f ca="1"/>
        <v>VOON</v>
      </c>
      <c r="E74" s="35">
        <f ca="1"/>
        <v>100.39</v>
      </c>
      <c r="F74" s="102"/>
      <c r="G74" s="102">
        <f ca="1"/>
        <v>0</v>
      </c>
      <c r="H74" s="25">
        <f ca="1"/>
        <v>0</v>
      </c>
      <c r="I74" s="37">
        <f ca="1"/>
        <v>0</v>
      </c>
      <c r="J74" s="37" t="str">
        <f ca="1"/>
        <v>BGN</v>
      </c>
      <c r="K74" s="35" t="str">
        <f ca="1"/>
        <v>EUR</v>
      </c>
      <c r="L74" s="102">
        <f ca="1"/>
        <v>0</v>
      </c>
      <c r="M74" s="102">
        <f ca="1"/>
        <v>0</v>
      </c>
      <c r="N74" s="19">
        <f ca="1"/>
        <v>100.754</v>
      </c>
      <c r="Q74" s="20" t="s">
        <v>867</v>
      </c>
      <c r="R74" s="24"/>
      <c r="S74" s="25">
        <f ca="1"/>
        <v>33</v>
      </c>
      <c r="T74" s="19" t="str">
        <f ca="1"/>
        <v>XS2251626896</v>
      </c>
      <c r="U74" s="25" t="str">
        <f ca="1"/>
        <v>ENGSM 0 3/8 11/05/32</v>
      </c>
      <c r="V74" s="64">
        <f ca="1"/>
        <v>0</v>
      </c>
      <c r="W74" s="70">
        <f ca="1"/>
        <v>0</v>
      </c>
      <c r="X74" s="71">
        <f ca="1"/>
        <v>100.39</v>
      </c>
      <c r="Y74" s="71">
        <f ca="1"/>
        <v>100.754</v>
      </c>
      <c r="Z74" s="57" t="str">
        <f ca="1"/>
        <v>VOON</v>
      </c>
      <c r="AA74" s="57" t="str">
        <f ca="1"/>
        <v>Bond Corporate</v>
      </c>
      <c r="AB74" s="56">
        <f ca="1"/>
        <v>0</v>
      </c>
      <c r="AC74" s="56">
        <f ca="1">IFERROR(IF(ISBLANK(AB74),"-",AB74-_xlfn.XLOOKUP(T74,AI:AI,AJ:AJ)),"-")</f>
        <v>0</v>
      </c>
      <c r="AD74" s="56">
        <f ca="1">IFERROR(IF(ISBLANK(AB74),"-",AB74-_xlfn.XLOOKUP(T74,AO:AO,AP:AP)),"-")</f>
        <v>0</v>
      </c>
      <c r="AE74" s="25"/>
      <c r="AF74" s="25"/>
      <c r="AG74" s="25"/>
      <c r="AH74" s="25"/>
      <c r="AI74" s="51" t="s">
        <v>86</v>
      </c>
      <c r="AJ74" s="80">
        <v>0</v>
      </c>
      <c r="AK74" s="25"/>
      <c r="AL74" s="25"/>
      <c r="AM74" s="25"/>
      <c r="AN74" s="25"/>
      <c r="AO74" s="51" t="s">
        <v>86</v>
      </c>
      <c r="AP74" s="80">
        <v>0</v>
      </c>
      <c r="AQ74" s="25"/>
      <c r="AR74" s="25"/>
      <c r="AS74" s="26"/>
      <c r="AT74" s="20" t="s">
        <v>867</v>
      </c>
      <c r="AW74" s="25"/>
      <c r="AX74" s="25"/>
      <c r="AY74" s="37"/>
      <c r="AZ74" s="25"/>
      <c r="BA74" s="35"/>
      <c r="BB74" s="25"/>
      <c r="BC74" s="25"/>
      <c r="BD74" s="25"/>
      <c r="BE74" s="25"/>
      <c r="BF74" s="25"/>
      <c r="BG74" s="25"/>
      <c r="BH74" s="25"/>
      <c r="BI74" s="37"/>
      <c r="BJ74" s="25"/>
      <c r="BK74" s="25"/>
    </row>
    <row r="75" spans="3:63" x14ac:dyDescent="0.35">
      <c r="C75" s="25" t="str">
        <f ca="1"/>
        <v>XS1403388694</v>
      </c>
      <c r="D75" s="25" t="str">
        <f ca="1"/>
        <v>VOON</v>
      </c>
      <c r="E75" s="35">
        <f ca="1"/>
        <v>110.739</v>
      </c>
      <c r="F75" s="102"/>
      <c r="G75" s="102">
        <f ca="1"/>
        <v>-2300000</v>
      </c>
      <c r="H75" s="25">
        <f ca="1"/>
        <v>-3656.9999999998122</v>
      </c>
      <c r="I75" s="37">
        <f ca="1"/>
        <v>0</v>
      </c>
      <c r="J75" s="37" t="str">
        <f ca="1"/>
        <v>BGN</v>
      </c>
      <c r="K75" s="35" t="str">
        <f ca="1"/>
        <v>EUR</v>
      </c>
      <c r="L75" s="102">
        <f ca="1"/>
        <v>-3656.9999999998122</v>
      </c>
      <c r="M75" s="102">
        <f ca="1"/>
        <v>-3656.9999999998122</v>
      </c>
      <c r="N75" s="19">
        <f ca="1"/>
        <v>110.898</v>
      </c>
      <c r="Q75" s="20" t="s">
        <v>867</v>
      </c>
      <c r="R75" s="24"/>
      <c r="S75" s="25">
        <f ca="1"/>
        <v>34</v>
      </c>
      <c r="T75" s="19" t="str">
        <f ca="1"/>
        <v>XS1403388694</v>
      </c>
      <c r="U75" s="25" t="str">
        <f ca="1"/>
        <v>ENGSM 1 3/8 05/05/28</v>
      </c>
      <c r="V75" s="64">
        <f ca="1"/>
        <v>-2300000</v>
      </c>
      <c r="W75" s="70">
        <f ca="1"/>
        <v>-1.6</v>
      </c>
      <c r="X75" s="71">
        <f ca="1"/>
        <v>110.739</v>
      </c>
      <c r="Y75" s="71">
        <f ca="1"/>
        <v>110.898</v>
      </c>
      <c r="Z75" s="57" t="str">
        <f ca="1"/>
        <v>VOON</v>
      </c>
      <c r="AA75" s="57" t="str">
        <f ca="1"/>
        <v>Bond Corporate</v>
      </c>
      <c r="AB75" s="56">
        <f ca="1"/>
        <v>-3656.9999999998122</v>
      </c>
      <c r="AC75" s="56">
        <f ca="1">IFERROR(IF(ISBLANK(AB75),"-",AB75-_xlfn.XLOOKUP(T75,AI:AI,AJ:AJ)),"-")</f>
        <v>0</v>
      </c>
      <c r="AD75" s="56">
        <f ca="1">IFERROR(IF(ISBLANK(AB75),"-",AB75-_xlfn.XLOOKUP(T75,AO:AO,AP:AP)),"-")</f>
        <v>23.000000000109139</v>
      </c>
      <c r="AE75" s="25"/>
      <c r="AF75" s="25"/>
      <c r="AG75" s="25"/>
      <c r="AH75" s="25"/>
      <c r="AI75" s="51" t="s">
        <v>81</v>
      </c>
      <c r="AJ75" s="80">
        <v>-3656.9999999998122</v>
      </c>
      <c r="AK75" s="25"/>
      <c r="AL75" s="25"/>
      <c r="AM75" s="25"/>
      <c r="AN75" s="25"/>
      <c r="AO75" s="51" t="s">
        <v>81</v>
      </c>
      <c r="AP75" s="80">
        <v>-3656.9999999998122</v>
      </c>
      <c r="AQ75" s="25"/>
      <c r="AR75" s="25"/>
      <c r="AS75" s="26"/>
      <c r="AT75" s="20" t="s">
        <v>867</v>
      </c>
      <c r="AW75" s="25"/>
      <c r="AX75" s="25"/>
      <c r="AY75" s="37"/>
      <c r="AZ75" s="25"/>
      <c r="BA75" s="35"/>
      <c r="BB75" s="25"/>
      <c r="BC75" s="25"/>
      <c r="BD75" s="25"/>
      <c r="BE75" s="25"/>
      <c r="BF75" s="25"/>
      <c r="BG75" s="25"/>
      <c r="BH75" s="25"/>
      <c r="BI75" s="37"/>
      <c r="BJ75" s="25"/>
      <c r="BK75" s="25"/>
    </row>
    <row r="76" spans="3:63" x14ac:dyDescent="0.35">
      <c r="C76" s="25" t="str">
        <f ca="1"/>
        <v>XS1177459531</v>
      </c>
      <c r="D76" s="25" t="str">
        <f ca="1"/>
        <v>VOON</v>
      </c>
      <c r="E76" s="35">
        <f ca="1"/>
        <v>106.104</v>
      </c>
      <c r="F76" s="102"/>
      <c r="G76" s="102">
        <f ca="1"/>
        <v>1800000</v>
      </c>
      <c r="H76" s="25">
        <f ca="1"/>
        <v>288.00000000009618</v>
      </c>
      <c r="I76" s="37">
        <f ca="1"/>
        <v>0</v>
      </c>
      <c r="J76" s="37" t="str">
        <f ca="1"/>
        <v>BGN</v>
      </c>
      <c r="K76" s="35" t="str">
        <f ca="1"/>
        <v>EUR</v>
      </c>
      <c r="L76" s="102">
        <f ca="1"/>
        <v>288.00000000009618</v>
      </c>
      <c r="M76" s="102">
        <f ca="1"/>
        <v>288.00000000009618</v>
      </c>
      <c r="N76" s="19">
        <f ca="1"/>
        <v>106.12</v>
      </c>
      <c r="Q76" s="20" t="s">
        <v>867</v>
      </c>
      <c r="R76" s="24"/>
      <c r="S76" s="25">
        <f ca="1"/>
        <v>35</v>
      </c>
      <c r="T76" s="19" t="str">
        <f ca="1"/>
        <v>XS1177459531</v>
      </c>
      <c r="U76" s="25" t="str">
        <f ca="1"/>
        <v>ENGSM 1 1/4 02/06/25</v>
      </c>
      <c r="V76" s="64">
        <f ca="1"/>
        <v>1800000</v>
      </c>
      <c r="W76" s="70">
        <f ca="1"/>
        <v>0.72</v>
      </c>
      <c r="X76" s="71">
        <f ca="1"/>
        <v>106.104</v>
      </c>
      <c r="Y76" s="71">
        <f ca="1"/>
        <v>106.12</v>
      </c>
      <c r="Z76" s="57" t="str">
        <f ca="1"/>
        <v>VOON</v>
      </c>
      <c r="AA76" s="57" t="str">
        <f ca="1"/>
        <v>Bond Corporate</v>
      </c>
      <c r="AB76" s="56">
        <f ca="1"/>
        <v>288.00000000009618</v>
      </c>
      <c r="AC76" s="56">
        <f ca="1">IFERROR(IF(ISBLANK(AB76),"-",AB76-_xlfn.XLOOKUP(T76,AI:AI,AJ:AJ)),"-")</f>
        <v>0</v>
      </c>
      <c r="AD76" s="56">
        <f ca="1">IFERROR(IF(ISBLANK(AB76),"-",AB76-_xlfn.XLOOKUP(T76,AO:AO,AP:AP)),"-")</f>
        <v>144.00000000017599</v>
      </c>
      <c r="AE76" s="25"/>
      <c r="AF76" s="25"/>
      <c r="AG76" s="25"/>
      <c r="AH76" s="25"/>
      <c r="AI76" s="51" t="s">
        <v>84</v>
      </c>
      <c r="AJ76" s="80">
        <v>288.00000000009618</v>
      </c>
      <c r="AK76" s="25"/>
      <c r="AL76" s="25"/>
      <c r="AM76" s="25"/>
      <c r="AN76" s="25"/>
      <c r="AO76" s="51" t="s">
        <v>84</v>
      </c>
      <c r="AP76" s="80">
        <v>288.00000000009618</v>
      </c>
      <c r="AQ76" s="25"/>
      <c r="AR76" s="25"/>
      <c r="AS76" s="26"/>
      <c r="AT76" s="20" t="s">
        <v>867</v>
      </c>
      <c r="AW76" s="25"/>
      <c r="AX76" s="25"/>
      <c r="AY76" s="37"/>
      <c r="AZ76" s="25"/>
      <c r="BA76" s="35"/>
      <c r="BB76" s="25"/>
      <c r="BC76" s="25"/>
      <c r="BD76" s="25"/>
      <c r="BE76" s="25"/>
      <c r="BF76" s="25"/>
      <c r="BG76" s="25"/>
      <c r="BH76" s="25"/>
      <c r="BI76" s="37"/>
      <c r="BJ76" s="25"/>
      <c r="BK76" s="25"/>
    </row>
    <row r="77" spans="3:63" x14ac:dyDescent="0.35">
      <c r="C77" s="25" t="str">
        <f ca="1"/>
        <v>XS2107315470</v>
      </c>
      <c r="D77" s="25" t="str">
        <f ca="1"/>
        <v>VOON</v>
      </c>
      <c r="E77" s="35">
        <f ca="1"/>
        <v>103.349</v>
      </c>
      <c r="F77" s="102"/>
      <c r="G77" s="102">
        <f ca="1"/>
        <v>0</v>
      </c>
      <c r="H77" s="25">
        <f ca="1"/>
        <v>0</v>
      </c>
      <c r="I77" s="37">
        <f ca="1"/>
        <v>0</v>
      </c>
      <c r="J77" s="37" t="str">
        <f ca="1"/>
        <v>BGN</v>
      </c>
      <c r="K77" s="35" t="str">
        <f ca="1"/>
        <v>EUR</v>
      </c>
      <c r="L77" s="102">
        <f ca="1"/>
        <v>0</v>
      </c>
      <c r="M77" s="102">
        <f ca="1"/>
        <v>0</v>
      </c>
      <c r="N77" s="19">
        <f ca="1"/>
        <v>103.505</v>
      </c>
      <c r="Q77" s="20" t="s">
        <v>867</v>
      </c>
      <c r="R77" s="24"/>
      <c r="S77" s="25">
        <f ca="1"/>
        <v>36</v>
      </c>
      <c r="T77" s="19" t="str">
        <f ca="1"/>
        <v>XS2107315470</v>
      </c>
      <c r="U77" s="25" t="str">
        <f ca="1"/>
        <v>ENIIM 0 5/8 01/23/30</v>
      </c>
      <c r="V77" s="64">
        <f ca="1"/>
        <v>0</v>
      </c>
      <c r="W77" s="70">
        <f ca="1"/>
        <v>0</v>
      </c>
      <c r="X77" s="71">
        <f ca="1"/>
        <v>103.349</v>
      </c>
      <c r="Y77" s="71">
        <f ca="1"/>
        <v>103.505</v>
      </c>
      <c r="Z77" s="57" t="str">
        <f ca="1"/>
        <v>VOON</v>
      </c>
      <c r="AA77" s="57" t="str">
        <f ca="1"/>
        <v>Bond Corporate</v>
      </c>
      <c r="AB77" s="56">
        <f ca="1"/>
        <v>0</v>
      </c>
      <c r="AC77" s="56">
        <f ca="1">IFERROR(IF(ISBLANK(AB77),"-",AB77-_xlfn.XLOOKUP(T77,AI:AI,AJ:AJ)),"-")</f>
        <v>0</v>
      </c>
      <c r="AD77" s="56">
        <f ca="1">IFERROR(IF(ISBLANK(AB77),"-",AB77-_xlfn.XLOOKUP(T77,AO:AO,AP:AP)),"-")</f>
        <v>0</v>
      </c>
      <c r="AE77" s="25"/>
      <c r="AF77" s="25"/>
      <c r="AG77" s="25"/>
      <c r="AH77" s="25"/>
      <c r="AI77" s="51" t="s">
        <v>896</v>
      </c>
      <c r="AJ77" s="80">
        <v>0</v>
      </c>
      <c r="AK77" s="25"/>
      <c r="AL77" s="25"/>
      <c r="AM77" s="25"/>
      <c r="AN77" s="25"/>
      <c r="AO77" s="51" t="s">
        <v>896</v>
      </c>
      <c r="AP77" s="80">
        <v>0</v>
      </c>
      <c r="AQ77" s="25"/>
      <c r="AR77" s="25"/>
      <c r="AS77" s="26"/>
      <c r="AT77" s="20" t="s">
        <v>867</v>
      </c>
      <c r="AW77" s="25"/>
      <c r="AX77" s="25"/>
      <c r="AY77" s="37"/>
      <c r="AZ77" s="25"/>
      <c r="BA77" s="35"/>
      <c r="BB77" s="25"/>
      <c r="BC77" s="25"/>
      <c r="BD77" s="25"/>
      <c r="BE77" s="25"/>
      <c r="BF77" s="25"/>
      <c r="BG77" s="25"/>
      <c r="BH77" s="25"/>
      <c r="BI77" s="37"/>
      <c r="BJ77" s="25"/>
      <c r="BK77" s="25"/>
    </row>
    <row r="78" spans="3:63" x14ac:dyDescent="0.35">
      <c r="C78" s="25" t="str">
        <f ca="1"/>
        <v>XS1493328477</v>
      </c>
      <c r="D78" s="25" t="str">
        <f ca="1"/>
        <v>VOON</v>
      </c>
      <c r="E78" s="35">
        <f ca="1"/>
        <v>107.402</v>
      </c>
      <c r="F78" s="102"/>
      <c r="G78" s="102">
        <f ca="1"/>
        <v>-1380000</v>
      </c>
      <c r="H78" s="25">
        <f ca="1"/>
        <v>-1435.1999999999889</v>
      </c>
      <c r="I78" s="37">
        <f ca="1"/>
        <v>0</v>
      </c>
      <c r="J78" s="37" t="str">
        <f ca="1"/>
        <v>BGN</v>
      </c>
      <c r="K78" s="35" t="str">
        <f ca="1"/>
        <v>EUR</v>
      </c>
      <c r="L78" s="102">
        <f ca="1"/>
        <v>-1435.1999999999889</v>
      </c>
      <c r="M78" s="102">
        <f ca="1"/>
        <v>-1435.1999999999889</v>
      </c>
      <c r="N78" s="19">
        <f ca="1"/>
        <v>107.506</v>
      </c>
      <c r="Q78" s="20" t="s">
        <v>867</v>
      </c>
      <c r="R78" s="24"/>
      <c r="S78" s="25">
        <f ca="1"/>
        <v>37</v>
      </c>
      <c r="T78" s="19" t="str">
        <f ca="1"/>
        <v>XS1493328477</v>
      </c>
      <c r="U78" s="25" t="str">
        <f ca="1"/>
        <v>ENIIM 1 1/8 09/19/28</v>
      </c>
      <c r="V78" s="64">
        <f ca="1"/>
        <v>-1380000</v>
      </c>
      <c r="W78" s="70">
        <f ca="1"/>
        <v>-1.8</v>
      </c>
      <c r="X78" s="71">
        <f ca="1"/>
        <v>107.402</v>
      </c>
      <c r="Y78" s="71">
        <f ca="1"/>
        <v>107.506</v>
      </c>
      <c r="Z78" s="57" t="str">
        <f ca="1"/>
        <v>VOON</v>
      </c>
      <c r="AA78" s="57" t="str">
        <f ca="1"/>
        <v>Bond Corporate</v>
      </c>
      <c r="AB78" s="56">
        <f ca="1"/>
        <v>-1435.1999999999889</v>
      </c>
      <c r="AC78" s="56">
        <f ca="1">IFERROR(IF(ISBLANK(AB78),"-",AB78-_xlfn.XLOOKUP(T78,AI:AI,AJ:AJ)),"-")</f>
        <v>0</v>
      </c>
      <c r="AD78" s="56">
        <f ca="1">IFERROR(IF(ISBLANK(AB78),"-",AB78-_xlfn.XLOOKUP(T78,AO:AO,AP:AP)),"-")</f>
        <v>110.39999999993893</v>
      </c>
      <c r="AE78" s="25"/>
      <c r="AF78" s="25"/>
      <c r="AG78" s="25"/>
      <c r="AH78" s="25"/>
      <c r="AI78" s="51" t="s">
        <v>88</v>
      </c>
      <c r="AJ78" s="80">
        <v>-1435.1999999999889</v>
      </c>
      <c r="AK78" s="25"/>
      <c r="AL78" s="25"/>
      <c r="AM78" s="25"/>
      <c r="AN78" s="25"/>
      <c r="AO78" s="51" t="s">
        <v>88</v>
      </c>
      <c r="AP78" s="80">
        <v>-1435.1999999999889</v>
      </c>
      <c r="AQ78" s="25"/>
      <c r="AR78" s="25"/>
      <c r="AS78" s="26"/>
      <c r="AT78" s="20" t="s">
        <v>867</v>
      </c>
      <c r="AW78" s="25"/>
      <c r="AX78" s="25"/>
      <c r="AY78" s="37"/>
      <c r="AZ78" s="25"/>
      <c r="BA78" s="35"/>
      <c r="BB78" s="25"/>
      <c r="BC78" s="25"/>
      <c r="BD78" s="25"/>
      <c r="BE78" s="25"/>
      <c r="BF78" s="25"/>
      <c r="BG78" s="25"/>
      <c r="BH78" s="25"/>
      <c r="BI78" s="37"/>
      <c r="BJ78" s="25"/>
      <c r="BK78" s="25"/>
    </row>
    <row r="79" spans="3:63" x14ac:dyDescent="0.35">
      <c r="C79" s="25" t="str">
        <f ca="1"/>
        <v>XS1493322355</v>
      </c>
      <c r="D79" s="25" t="str">
        <f ca="1"/>
        <v>VOON</v>
      </c>
      <c r="E79" s="35">
        <f ca="1"/>
        <v>103.047</v>
      </c>
      <c r="F79" s="102"/>
      <c r="G79" s="102">
        <f ca="1"/>
        <v>6000000</v>
      </c>
      <c r="H79" s="25">
        <f ca="1"/>
        <v>2040.0000000003615</v>
      </c>
      <c r="I79" s="37">
        <f ca="1"/>
        <v>0</v>
      </c>
      <c r="J79" s="37" t="str">
        <f ca="1"/>
        <v>BGN</v>
      </c>
      <c r="K79" s="35" t="str">
        <f ca="1"/>
        <v>EUR</v>
      </c>
      <c r="L79" s="102">
        <f ca="1"/>
        <v>2040.0000000003615</v>
      </c>
      <c r="M79" s="102">
        <f ca="1"/>
        <v>2040.0000000003615</v>
      </c>
      <c r="N79" s="19">
        <f ca="1"/>
        <v>103.081</v>
      </c>
      <c r="Q79" s="20" t="s">
        <v>867</v>
      </c>
      <c r="R79" s="24"/>
      <c r="S79" s="25">
        <f ca="1"/>
        <v>38</v>
      </c>
      <c r="T79" s="19" t="str">
        <f ca="1"/>
        <v>XS1493322355</v>
      </c>
      <c r="U79" s="25" t="str">
        <f ca="1"/>
        <v>ENIIM 0 5/8 09/19/24</v>
      </c>
      <c r="V79" s="64">
        <f ca="1"/>
        <v>6000000</v>
      </c>
      <c r="W79" s="70">
        <f ca="1"/>
        <v>2.38</v>
      </c>
      <c r="X79" s="71">
        <f ca="1"/>
        <v>103.047</v>
      </c>
      <c r="Y79" s="71">
        <f ca="1"/>
        <v>103.081</v>
      </c>
      <c r="Z79" s="57" t="str">
        <f ca="1"/>
        <v>VOON</v>
      </c>
      <c r="AA79" s="57" t="str">
        <f ca="1"/>
        <v>Bond Corporate</v>
      </c>
      <c r="AB79" s="56">
        <f ca="1"/>
        <v>2040.0000000003615</v>
      </c>
      <c r="AC79" s="56">
        <f ca="1">IFERROR(IF(ISBLANK(AB79),"-",AB79-_xlfn.XLOOKUP(T79,AI:AI,AJ:AJ)),"-")</f>
        <v>0</v>
      </c>
      <c r="AD79" s="56">
        <f ca="1">IFERROR(IF(ISBLANK(AB79),"-",AB79-_xlfn.XLOOKUP(T79,AO:AO,AP:AP)),"-")</f>
        <v>420.00000000030013</v>
      </c>
      <c r="AE79" s="25"/>
      <c r="AF79" s="25"/>
      <c r="AG79" s="25"/>
      <c r="AH79" s="25"/>
      <c r="AI79" s="51" t="s">
        <v>1420</v>
      </c>
      <c r="AJ79" s="80">
        <v>2040.0000000003615</v>
      </c>
      <c r="AK79" s="25"/>
      <c r="AL79" s="25"/>
      <c r="AM79" s="25"/>
      <c r="AN79" s="25"/>
      <c r="AO79" s="51" t="s">
        <v>1420</v>
      </c>
      <c r="AP79" s="80">
        <v>2040.0000000003615</v>
      </c>
      <c r="AQ79" s="25"/>
      <c r="AR79" s="25"/>
      <c r="AS79" s="26"/>
      <c r="AT79" s="20" t="s">
        <v>867</v>
      </c>
      <c r="AW79" s="25"/>
      <c r="AX79" s="25"/>
      <c r="AY79" s="37"/>
      <c r="AZ79" s="25"/>
      <c r="BA79" s="35"/>
      <c r="BB79" s="25"/>
      <c r="BC79" s="25"/>
      <c r="BD79" s="25"/>
      <c r="BE79" s="25"/>
      <c r="BF79" s="25"/>
      <c r="BG79" s="25"/>
      <c r="BH79" s="25"/>
      <c r="BI79" s="37"/>
      <c r="BJ79" s="25"/>
      <c r="BK79" s="25"/>
    </row>
    <row r="80" spans="3:63" x14ac:dyDescent="0.35">
      <c r="C80" s="25" t="str">
        <f ca="1"/>
        <v>XS2177580508</v>
      </c>
      <c r="D80" s="25" t="str">
        <f ca="1"/>
        <v>VOON</v>
      </c>
      <c r="E80" s="35">
        <f ca="1"/>
        <v>106.87</v>
      </c>
      <c r="F80" s="102"/>
      <c r="G80" s="102">
        <f ca="1"/>
        <v>0</v>
      </c>
      <c r="H80" s="25">
        <f ca="1"/>
        <v>0</v>
      </c>
      <c r="I80" s="37">
        <f ca="1"/>
        <v>0</v>
      </c>
      <c r="J80" s="37" t="str">
        <f ca="1"/>
        <v>BGN</v>
      </c>
      <c r="K80" s="35" t="str">
        <f ca="1"/>
        <v>EUR</v>
      </c>
      <c r="L80" s="102">
        <f ca="1"/>
        <v>0</v>
      </c>
      <c r="M80" s="102">
        <f ca="1"/>
        <v>0</v>
      </c>
      <c r="N80" s="19">
        <f ca="1"/>
        <v>106.944</v>
      </c>
      <c r="Q80" s="20" t="s">
        <v>867</v>
      </c>
      <c r="R80" s="24"/>
      <c r="S80" s="25">
        <f ca="1"/>
        <v>39</v>
      </c>
      <c r="T80" s="19" t="str">
        <f ca="1"/>
        <v>XS2177580508</v>
      </c>
      <c r="U80" s="25" t="str">
        <f ca="1"/>
        <v>EOANGR 0 7/8 08/20/31</v>
      </c>
      <c r="V80" s="64">
        <f ca="1"/>
        <v>0</v>
      </c>
      <c r="W80" s="70">
        <f ca="1"/>
        <v>0</v>
      </c>
      <c r="X80" s="71">
        <f ca="1"/>
        <v>106.87</v>
      </c>
      <c r="Y80" s="71">
        <f ca="1"/>
        <v>106.944</v>
      </c>
      <c r="Z80" s="57" t="str">
        <f ca="1"/>
        <v>VOON</v>
      </c>
      <c r="AA80" s="57" t="str">
        <f ca="1"/>
        <v>Bond Corporate</v>
      </c>
      <c r="AB80" s="56">
        <f ca="1"/>
        <v>0</v>
      </c>
      <c r="AC80" s="56">
        <f ca="1">IFERROR(IF(ISBLANK(AB80),"-",AB80-_xlfn.XLOOKUP(T80,AI:AI,AJ:AJ)),"-")</f>
        <v>0</v>
      </c>
      <c r="AD80" s="56">
        <f ca="1">IFERROR(IF(ISBLANK(AB80),"-",AB80-_xlfn.XLOOKUP(T80,AO:AO,AP:AP)),"-")</f>
        <v>0</v>
      </c>
      <c r="AE80" s="25"/>
      <c r="AF80" s="25"/>
      <c r="AG80" s="25"/>
      <c r="AH80" s="25"/>
      <c r="AI80" s="51" t="s">
        <v>96</v>
      </c>
      <c r="AJ80" s="80">
        <v>0</v>
      </c>
      <c r="AK80" s="25"/>
      <c r="AL80" s="25"/>
      <c r="AM80" s="25"/>
      <c r="AN80" s="25"/>
      <c r="AO80" s="51" t="s">
        <v>96</v>
      </c>
      <c r="AP80" s="80">
        <v>0</v>
      </c>
      <c r="AQ80" s="25"/>
      <c r="AR80" s="25"/>
      <c r="AS80" s="26"/>
      <c r="AT80" s="20" t="s">
        <v>867</v>
      </c>
      <c r="AW80" s="25"/>
      <c r="AX80" s="25"/>
      <c r="AY80" s="37"/>
      <c r="AZ80" s="25"/>
      <c r="BA80" s="35"/>
      <c r="BB80" s="25"/>
      <c r="BC80" s="25"/>
      <c r="BD80" s="25"/>
      <c r="BE80" s="25"/>
      <c r="BF80" s="25"/>
      <c r="BG80" s="25"/>
      <c r="BH80" s="25"/>
      <c r="BI80" s="37"/>
      <c r="BJ80" s="25"/>
      <c r="BK80" s="25"/>
    </row>
    <row r="81" spans="3:63" x14ac:dyDescent="0.35">
      <c r="C81" s="25" t="str">
        <f ca="1"/>
        <v>XS2047500769</v>
      </c>
      <c r="D81" s="25" t="str">
        <f ca="1"/>
        <v>VOON</v>
      </c>
      <c r="E81" s="35">
        <f ca="1"/>
        <v>100.72499999999999</v>
      </c>
      <c r="F81" s="102"/>
      <c r="G81" s="102">
        <f ca="1"/>
        <v>1000000</v>
      </c>
      <c r="H81" s="25">
        <f ca="1"/>
        <v>240.00000000000909</v>
      </c>
      <c r="I81" s="37">
        <f ca="1"/>
        <v>0</v>
      </c>
      <c r="J81" s="37" t="str">
        <f ca="1"/>
        <v>BGN</v>
      </c>
      <c r="K81" s="35" t="str">
        <f ca="1"/>
        <v>EUR</v>
      </c>
      <c r="L81" s="102">
        <f ca="1"/>
        <v>240.00000000000909</v>
      </c>
      <c r="M81" s="102">
        <f ca="1"/>
        <v>240.00000000000909</v>
      </c>
      <c r="N81" s="19">
        <f ca="1"/>
        <v>100.749</v>
      </c>
      <c r="Q81" s="20" t="s">
        <v>867</v>
      </c>
      <c r="R81" s="24"/>
      <c r="S81" s="25">
        <f ca="1"/>
        <v>40</v>
      </c>
      <c r="T81" s="19" t="str">
        <f ca="1"/>
        <v>XS2047500769</v>
      </c>
      <c r="U81" s="25" t="str">
        <f ca="1"/>
        <v>EOANGR 0 08/28/24</v>
      </c>
      <c r="V81" s="64">
        <f ca="1"/>
        <v>1000000</v>
      </c>
      <c r="W81" s="70">
        <f ca="1"/>
        <v>0.36</v>
      </c>
      <c r="X81" s="71">
        <f ca="1"/>
        <v>100.72499999999999</v>
      </c>
      <c r="Y81" s="71">
        <f ca="1"/>
        <v>100.749</v>
      </c>
      <c r="Z81" s="57" t="str">
        <f ca="1"/>
        <v>VOON</v>
      </c>
      <c r="AA81" s="57" t="str">
        <f ca="1"/>
        <v>Bond Corporate</v>
      </c>
      <c r="AB81" s="56">
        <f ca="1"/>
        <v>240.00000000000909</v>
      </c>
      <c r="AC81" s="56">
        <f ca="1">IFERROR(IF(ISBLANK(AB81),"-",AB81-_xlfn.XLOOKUP(T81,AI:AI,AJ:AJ)),"-")</f>
        <v>0</v>
      </c>
      <c r="AD81" s="56">
        <f ca="1">IFERROR(IF(ISBLANK(AB81),"-",AB81-_xlfn.XLOOKUP(T81,AO:AO,AP:AP)),"-")</f>
        <v>-10.00000000004772</v>
      </c>
      <c r="AE81" s="25"/>
      <c r="AF81" s="25"/>
      <c r="AG81" s="25"/>
      <c r="AH81" s="25"/>
      <c r="AI81" s="51" t="s">
        <v>583</v>
      </c>
      <c r="AJ81" s="80">
        <v>240.00000000000909</v>
      </c>
      <c r="AK81" s="25"/>
      <c r="AL81" s="25"/>
      <c r="AM81" s="25"/>
      <c r="AN81" s="25"/>
      <c r="AO81" s="51" t="s">
        <v>583</v>
      </c>
      <c r="AP81" s="80">
        <v>240.00000000000909</v>
      </c>
      <c r="AQ81" s="25"/>
      <c r="AR81" s="25"/>
      <c r="AS81" s="26"/>
      <c r="AT81" s="20" t="s">
        <v>867</v>
      </c>
      <c r="AW81" s="25"/>
      <c r="AX81" s="25"/>
      <c r="AY81" s="37"/>
      <c r="AZ81" s="25"/>
      <c r="BA81" s="35"/>
      <c r="BB81" s="25"/>
      <c r="BC81" s="25"/>
      <c r="BD81" s="25"/>
      <c r="BE81" s="25"/>
      <c r="BF81" s="25"/>
      <c r="BG81" s="25"/>
      <c r="BH81" s="25"/>
      <c r="BI81" s="37"/>
      <c r="BJ81" s="25"/>
      <c r="BK81" s="25"/>
    </row>
    <row r="82" spans="3:63" x14ac:dyDescent="0.35">
      <c r="C82" s="25" t="str">
        <f ca="1"/>
        <v>XS1829217428</v>
      </c>
      <c r="D82" s="25" t="str">
        <f ca="1"/>
        <v>VOON</v>
      </c>
      <c r="E82" s="35">
        <f ca="1"/>
        <v>101.842</v>
      </c>
      <c r="F82" s="102"/>
      <c r="G82" s="102">
        <f ca="1"/>
        <v>1000000</v>
      </c>
      <c r="H82" s="25">
        <f ca="1"/>
        <v>19.999999999953388</v>
      </c>
      <c r="I82" s="37">
        <f ca="1"/>
        <v>0</v>
      </c>
      <c r="J82" s="37" t="str">
        <f ca="1"/>
        <v>BGN</v>
      </c>
      <c r="K82" s="35" t="str">
        <f ca="1"/>
        <v>EUR</v>
      </c>
      <c r="L82" s="102">
        <f ca="1"/>
        <v>19.999999999953388</v>
      </c>
      <c r="M82" s="102">
        <f ca="1"/>
        <v>19.999999999953388</v>
      </c>
      <c r="N82" s="19">
        <f ca="1"/>
        <v>101.84399999999999</v>
      </c>
      <c r="Q82" s="20" t="s">
        <v>867</v>
      </c>
      <c r="R82" s="24"/>
      <c r="S82" s="25">
        <f ca="1"/>
        <v>41</v>
      </c>
      <c r="T82" s="19" t="str">
        <f ca="1"/>
        <v>XS1829217428</v>
      </c>
      <c r="U82" s="25" t="str">
        <f ca="1"/>
        <v>EOANGR 0 3/4 11/30/22</v>
      </c>
      <c r="V82" s="64">
        <f ca="1"/>
        <v>1000000</v>
      </c>
      <c r="W82" s="70">
        <f ca="1"/>
        <v>0.24</v>
      </c>
      <c r="X82" s="71">
        <f ca="1"/>
        <v>101.842</v>
      </c>
      <c r="Y82" s="71">
        <f ca="1"/>
        <v>101.84399999999999</v>
      </c>
      <c r="Z82" s="57" t="str">
        <f ca="1"/>
        <v>VOON</v>
      </c>
      <c r="AA82" s="57" t="str">
        <f ca="1"/>
        <v>Bond Corporate</v>
      </c>
      <c r="AB82" s="56">
        <f ca="1"/>
        <v>19.999999999953388</v>
      </c>
      <c r="AC82" s="56">
        <f ca="1">IFERROR(IF(ISBLANK(AB82),"-",AB82-_xlfn.XLOOKUP(T82,AI:AI,AJ:AJ)),"-")</f>
        <v>0</v>
      </c>
      <c r="AD82" s="56">
        <f ca="1">IFERROR(IF(ISBLANK(AB82),"-",AB82-_xlfn.XLOOKUP(T82,AO:AO,AP:AP)),"-")</f>
        <v>9.9999999999056399</v>
      </c>
      <c r="AE82" s="25"/>
      <c r="AF82" s="25"/>
      <c r="AG82" s="25"/>
      <c r="AH82" s="25"/>
      <c r="AI82" s="51" t="s">
        <v>1409</v>
      </c>
      <c r="AJ82" s="80">
        <v>19.999999999953388</v>
      </c>
      <c r="AK82" s="25"/>
      <c r="AL82" s="25"/>
      <c r="AM82" s="25"/>
      <c r="AN82" s="25"/>
      <c r="AO82" s="51" t="s">
        <v>1409</v>
      </c>
      <c r="AP82" s="80">
        <v>19.999999999953388</v>
      </c>
      <c r="AQ82" s="25"/>
      <c r="AR82" s="25"/>
      <c r="AS82" s="26"/>
      <c r="AT82" s="20" t="s">
        <v>867</v>
      </c>
      <c r="AW82" s="25"/>
      <c r="AX82" s="25"/>
      <c r="AY82" s="37"/>
      <c r="AZ82" s="25"/>
      <c r="BA82" s="35"/>
      <c r="BB82" s="25"/>
      <c r="BC82" s="25"/>
      <c r="BD82" s="25"/>
      <c r="BE82" s="25"/>
      <c r="BF82" s="25"/>
      <c r="BG82" s="25"/>
      <c r="BH82" s="25"/>
      <c r="BI82" s="37"/>
      <c r="BJ82" s="25"/>
      <c r="BK82" s="25"/>
    </row>
    <row r="83" spans="3:63" x14ac:dyDescent="0.35">
      <c r="C83" s="25" t="str">
        <f ca="1"/>
        <v>XS1190624038</v>
      </c>
      <c r="D83" s="25" t="str">
        <f ca="1"/>
        <v>VOON</v>
      </c>
      <c r="E83" s="35">
        <f ca="1"/>
        <v>108.181</v>
      </c>
      <c r="F83" s="102"/>
      <c r="G83" s="102">
        <f ca="1"/>
        <v>-1400000</v>
      </c>
      <c r="H83" s="25">
        <f ca="1"/>
        <v>-1245.9999999999809</v>
      </c>
      <c r="I83" s="37">
        <f ca="1"/>
        <v>0</v>
      </c>
      <c r="J83" s="37" t="str">
        <f ca="1"/>
        <v>BGN</v>
      </c>
      <c r="K83" s="35" t="str">
        <f ca="1"/>
        <v>EUR</v>
      </c>
      <c r="L83" s="102">
        <f ca="1"/>
        <v>-1245.9999999999809</v>
      </c>
      <c r="M83" s="102">
        <f ca="1"/>
        <v>-1245.9999999999809</v>
      </c>
      <c r="N83" s="19">
        <f ca="1"/>
        <v>108.27</v>
      </c>
      <c r="Q83" s="20" t="s">
        <v>867</v>
      </c>
      <c r="R83" s="24"/>
      <c r="S83" s="25">
        <f ca="1"/>
        <v>42</v>
      </c>
      <c r="T83" s="19" t="str">
        <f ca="1"/>
        <v>XS1190624038</v>
      </c>
      <c r="U83" s="25" t="str">
        <f ca="1"/>
        <v>EQNR 1 1/4 02/17/27</v>
      </c>
      <c r="V83" s="64">
        <f ca="1"/>
        <v>-1400000</v>
      </c>
      <c r="W83" s="70">
        <f ca="1"/>
        <v>-0.99</v>
      </c>
      <c r="X83" s="71">
        <f ca="1"/>
        <v>108.181</v>
      </c>
      <c r="Y83" s="71">
        <f ca="1"/>
        <v>108.27</v>
      </c>
      <c r="Z83" s="57" t="str">
        <f ca="1"/>
        <v>VOON</v>
      </c>
      <c r="AA83" s="57" t="str">
        <f ca="1"/>
        <v>Bond Corporate</v>
      </c>
      <c r="AB83" s="56">
        <f ca="1"/>
        <v>-1245.9999999999809</v>
      </c>
      <c r="AC83" s="56">
        <f ca="1">IFERROR(IF(ISBLANK(AB83),"-",AB83-_xlfn.XLOOKUP(T83,AI:AI,AJ:AJ)),"-")</f>
        <v>-27.999999999934744</v>
      </c>
      <c r="AD83" s="56">
        <f ca="1">IFERROR(IF(ISBLANK(AB83),"-",AB83-_xlfn.XLOOKUP(T83,AO:AO,AP:AP)),"-")</f>
        <v>-153.99999999993952</v>
      </c>
      <c r="AE83" s="25"/>
      <c r="AF83" s="25"/>
      <c r="AG83" s="25"/>
      <c r="AH83" s="25"/>
      <c r="AI83" s="51" t="s">
        <v>98</v>
      </c>
      <c r="AJ83" s="80">
        <v>-1245.9999999999809</v>
      </c>
      <c r="AK83" s="25"/>
      <c r="AL83" s="25"/>
      <c r="AM83" s="25"/>
      <c r="AN83" s="25"/>
      <c r="AO83" s="51" t="s">
        <v>98</v>
      </c>
      <c r="AP83" s="80">
        <v>-1218.0000000000462</v>
      </c>
      <c r="AQ83" s="25"/>
      <c r="AR83" s="25"/>
      <c r="AS83" s="26"/>
      <c r="AT83" s="20" t="s">
        <v>867</v>
      </c>
      <c r="AW83" s="25"/>
      <c r="AX83" s="25"/>
      <c r="AY83" s="37"/>
      <c r="AZ83" s="25"/>
      <c r="BA83" s="35"/>
      <c r="BB83" s="25"/>
      <c r="BC83" s="25"/>
      <c r="BD83" s="25"/>
      <c r="BE83" s="25"/>
      <c r="BF83" s="25"/>
      <c r="BG83" s="25"/>
      <c r="BH83" s="25"/>
      <c r="BI83" s="37"/>
      <c r="BJ83" s="25"/>
      <c r="BK83" s="25"/>
    </row>
    <row r="84" spans="3:63" x14ac:dyDescent="0.35">
      <c r="C84" s="25" t="str">
        <f ca="1"/>
        <v>XS0969572204</v>
      </c>
      <c r="D84" s="25" t="str">
        <f ca="1"/>
        <v>VOON</v>
      </c>
      <c r="E84" s="35">
        <f ca="1"/>
        <v>115.35599999999999</v>
      </c>
      <c r="F84" s="102"/>
      <c r="G84" s="102">
        <f ca="1"/>
        <v>-1515000</v>
      </c>
      <c r="H84" s="25">
        <f ca="1"/>
        <v>-727.20000000002756</v>
      </c>
      <c r="I84" s="37">
        <f ca="1"/>
        <v>0</v>
      </c>
      <c r="J84" s="37" t="str">
        <f ca="1"/>
        <v>BGN</v>
      </c>
      <c r="K84" s="35" t="str">
        <f ca="1"/>
        <v>EUR</v>
      </c>
      <c r="L84" s="102">
        <f ca="1"/>
        <v>-727.20000000002756</v>
      </c>
      <c r="M84" s="102">
        <f ca="1"/>
        <v>-727.20000000002756</v>
      </c>
      <c r="N84" s="19">
        <f ca="1"/>
        <v>115.404</v>
      </c>
      <c r="Q84" s="20" t="s">
        <v>867</v>
      </c>
      <c r="R84" s="24"/>
      <c r="S84" s="25">
        <f ca="1"/>
        <v>43</v>
      </c>
      <c r="T84" s="19" t="str">
        <f ca="1"/>
        <v>XS0969572204</v>
      </c>
      <c r="U84" s="25" t="str">
        <f ca="1"/>
        <v>EQNR 2 7/8 09/10/25</v>
      </c>
      <c r="V84" s="64">
        <f ca="1"/>
        <v>-1515000</v>
      </c>
      <c r="W84" s="70">
        <f ca="1"/>
        <v>-0.41</v>
      </c>
      <c r="X84" s="71">
        <f ca="1"/>
        <v>115.35599999999999</v>
      </c>
      <c r="Y84" s="71">
        <f ca="1"/>
        <v>115.404</v>
      </c>
      <c r="Z84" s="57" t="str">
        <f ca="1"/>
        <v>VOON</v>
      </c>
      <c r="AA84" s="57" t="str">
        <f ca="1"/>
        <v>Bond Corporate</v>
      </c>
      <c r="AB84" s="56">
        <f ca="1"/>
        <v>-727.20000000002756</v>
      </c>
      <c r="AC84" s="56">
        <f ca="1">IFERROR(IF(ISBLANK(AB84),"-",AB84-_xlfn.XLOOKUP(T84,AI:AI,AJ:AJ)),"-")</f>
        <v>-45.450000000001637</v>
      </c>
      <c r="AD84" s="56">
        <f ca="1">IFERROR(IF(ISBLANK(AB84),"-",AB84-_xlfn.XLOOKUP(T84,AO:AO,AP:AP)),"-")</f>
        <v>-348.44999999994138</v>
      </c>
      <c r="AE84" s="25"/>
      <c r="AF84" s="25"/>
      <c r="AG84" s="25"/>
      <c r="AH84" s="25"/>
      <c r="AI84" s="51" t="s">
        <v>101</v>
      </c>
      <c r="AJ84" s="80">
        <v>-727.20000000002756</v>
      </c>
      <c r="AK84" s="25"/>
      <c r="AL84" s="25"/>
      <c r="AM84" s="25"/>
      <c r="AN84" s="25"/>
      <c r="AO84" s="51" t="s">
        <v>101</v>
      </c>
      <c r="AP84" s="80">
        <v>-681.75000000002592</v>
      </c>
      <c r="AQ84" s="25"/>
      <c r="AR84" s="25"/>
      <c r="AS84" s="26"/>
      <c r="AT84" s="20" t="s">
        <v>867</v>
      </c>
      <c r="AW84" s="25"/>
      <c r="AX84" s="25"/>
      <c r="AY84" s="37"/>
      <c r="AZ84" s="25"/>
      <c r="BA84" s="35"/>
      <c r="BB84" s="25"/>
      <c r="BC84" s="25"/>
      <c r="BD84" s="25"/>
      <c r="BE84" s="25"/>
      <c r="BF84" s="25"/>
      <c r="BG84" s="25"/>
      <c r="BH84" s="25"/>
      <c r="BI84" s="37"/>
      <c r="BJ84" s="25"/>
      <c r="BK84" s="25"/>
    </row>
    <row r="85" spans="3:63" x14ac:dyDescent="0.35">
      <c r="C85" s="25" t="str">
        <f ca="1"/>
        <v>XS2229434852</v>
      </c>
      <c r="D85" s="25" t="str">
        <f ca="1"/>
        <v>VOON</v>
      </c>
      <c r="E85" s="35">
        <f ca="1"/>
        <v>100.943</v>
      </c>
      <c r="F85" s="102"/>
      <c r="G85" s="102">
        <f ca="1"/>
        <v>0</v>
      </c>
      <c r="H85" s="25">
        <f ca="1"/>
        <v>0</v>
      </c>
      <c r="I85" s="37">
        <f ca="1"/>
        <v>0</v>
      </c>
      <c r="J85" s="37" t="str">
        <f ca="1"/>
        <v>BGN</v>
      </c>
      <c r="K85" s="35" t="str">
        <f ca="1"/>
        <v>EUR</v>
      </c>
      <c r="L85" s="102">
        <f ca="1"/>
        <v>0</v>
      </c>
      <c r="M85" s="102">
        <f ca="1"/>
        <v>0</v>
      </c>
      <c r="N85" s="19">
        <f ca="1"/>
        <v>101.084</v>
      </c>
      <c r="Q85" s="20" t="s">
        <v>867</v>
      </c>
      <c r="R85" s="24"/>
      <c r="S85" s="25">
        <f ca="1"/>
        <v>44</v>
      </c>
      <c r="T85" s="19" t="str">
        <f ca="1"/>
        <v>XS2229434852</v>
      </c>
      <c r="U85" s="25" t="str">
        <f ca="1"/>
        <v>ERGIM 0 1/2 09/11/27</v>
      </c>
      <c r="V85" s="64">
        <f ca="1"/>
        <v>0</v>
      </c>
      <c r="W85" s="70">
        <f ca="1"/>
        <v>0</v>
      </c>
      <c r="X85" s="71">
        <f ca="1"/>
        <v>100.943</v>
      </c>
      <c r="Y85" s="71">
        <f ca="1"/>
        <v>101.084</v>
      </c>
      <c r="Z85" s="57" t="str">
        <f ca="1"/>
        <v>VOON</v>
      </c>
      <c r="AA85" s="57" t="str">
        <f ca="1"/>
        <v>Bond Corporate</v>
      </c>
      <c r="AB85" s="56">
        <f ca="1"/>
        <v>0</v>
      </c>
      <c r="AC85" s="56">
        <f ca="1">IFERROR(IF(ISBLANK(AB85),"-",AB85-_xlfn.XLOOKUP(T85,AI:AI,AJ:AJ)),"-")</f>
        <v>0</v>
      </c>
      <c r="AD85" s="56">
        <f ca="1">IFERROR(IF(ISBLANK(AB85),"-",AB85-_xlfn.XLOOKUP(T85,AO:AO,AP:AP)),"-")</f>
        <v>0</v>
      </c>
      <c r="AE85" s="25"/>
      <c r="AF85" s="25"/>
      <c r="AG85" s="25"/>
      <c r="AH85" s="25"/>
      <c r="AI85" s="51" t="s">
        <v>103</v>
      </c>
      <c r="AJ85" s="80">
        <v>0</v>
      </c>
      <c r="AK85" s="25"/>
      <c r="AL85" s="25"/>
      <c r="AM85" s="25"/>
      <c r="AN85" s="25"/>
      <c r="AO85" s="51" t="s">
        <v>103</v>
      </c>
      <c r="AP85" s="80">
        <v>0</v>
      </c>
      <c r="AQ85" s="25"/>
      <c r="AR85" s="25"/>
      <c r="AS85" s="26"/>
      <c r="AT85" s="20" t="s">
        <v>867</v>
      </c>
      <c r="AW85" s="25"/>
      <c r="AX85" s="25"/>
      <c r="AY85" s="37"/>
      <c r="AZ85" s="25"/>
      <c r="BA85" s="35"/>
      <c r="BB85" s="25"/>
      <c r="BC85" s="25"/>
      <c r="BD85" s="25"/>
      <c r="BE85" s="25"/>
      <c r="BF85" s="25"/>
      <c r="BG85" s="25"/>
      <c r="BH85" s="25"/>
      <c r="BI85" s="37"/>
      <c r="BJ85" s="25"/>
      <c r="BK85" s="25"/>
    </row>
    <row r="86" spans="3:63" x14ac:dyDescent="0.35">
      <c r="C86" s="25" t="str">
        <f ca="1"/>
        <v>XS1981060624</v>
      </c>
      <c r="D86" s="25" t="str">
        <f ca="1"/>
        <v>VOON</v>
      </c>
      <c r="E86" s="35">
        <f ca="1"/>
        <v>107.807</v>
      </c>
      <c r="F86" s="102"/>
      <c r="G86" s="102">
        <f ca="1"/>
        <v>-5381000</v>
      </c>
      <c r="H86" s="25">
        <f ca="1"/>
        <v>-2959.5499999996023</v>
      </c>
      <c r="I86" s="37">
        <f ca="1"/>
        <v>0</v>
      </c>
      <c r="J86" s="37" t="str">
        <f ca="1"/>
        <v>BGN</v>
      </c>
      <c r="K86" s="35" t="str">
        <f ca="1"/>
        <v>EUR</v>
      </c>
      <c r="L86" s="102">
        <f ca="1"/>
        <v>-2959.5499999996023</v>
      </c>
      <c r="M86" s="102">
        <f ca="1"/>
        <v>-2959.5499999996023</v>
      </c>
      <c r="N86" s="19">
        <f ca="1"/>
        <v>107.86199999999999</v>
      </c>
      <c r="Q86" s="20" t="s">
        <v>867</v>
      </c>
      <c r="R86" s="24"/>
      <c r="S86" s="25">
        <f ca="1"/>
        <v>45</v>
      </c>
      <c r="T86" s="19" t="str">
        <f ca="1"/>
        <v>XS1981060624</v>
      </c>
      <c r="U86" s="25" t="str">
        <f ca="1"/>
        <v>ERGIM 1 7/8 04/11/25</v>
      </c>
      <c r="V86" s="64">
        <f ca="1"/>
        <v>-5381000</v>
      </c>
      <c r="W86" s="70">
        <f ca="1"/>
        <v>-4.43</v>
      </c>
      <c r="X86" s="71">
        <f ca="1"/>
        <v>107.807</v>
      </c>
      <c r="Y86" s="71">
        <f ca="1"/>
        <v>107.86199999999999</v>
      </c>
      <c r="Z86" s="57" t="str">
        <f ca="1"/>
        <v>VOON</v>
      </c>
      <c r="AA86" s="57" t="str">
        <f ca="1"/>
        <v>Bond Corporate</v>
      </c>
      <c r="AB86" s="56">
        <f ca="1"/>
        <v>-2959.5499999996023</v>
      </c>
      <c r="AC86" s="56">
        <f ca="1">IFERROR(IF(ISBLANK(AB86),"-",AB86-_xlfn.XLOOKUP(T86,AI:AI,AJ:AJ)),"-")</f>
        <v>0</v>
      </c>
      <c r="AD86" s="56">
        <f ca="1">IFERROR(IF(ISBLANK(AB86),"-",AB86-_xlfn.XLOOKUP(T86,AO:AO,AP:AP)),"-")</f>
        <v>0</v>
      </c>
      <c r="AE86" s="25"/>
      <c r="AF86" s="25"/>
      <c r="AG86" s="25"/>
      <c r="AH86" s="25"/>
      <c r="AI86" s="51" t="s">
        <v>106</v>
      </c>
      <c r="AJ86" s="80">
        <v>-2959.5499999996023</v>
      </c>
      <c r="AK86" s="25"/>
      <c r="AL86" s="25"/>
      <c r="AM86" s="25"/>
      <c r="AN86" s="25"/>
      <c r="AO86" s="51" t="s">
        <v>106</v>
      </c>
      <c r="AP86" s="80">
        <v>-2959.5499999996023</v>
      </c>
      <c r="AQ86" s="25"/>
      <c r="AR86" s="25"/>
      <c r="AS86" s="26"/>
      <c r="AT86" s="20" t="s">
        <v>867</v>
      </c>
      <c r="AW86" s="25"/>
      <c r="AX86" s="25"/>
      <c r="AY86" s="37"/>
      <c r="AZ86" s="25"/>
      <c r="BA86" s="35"/>
      <c r="BB86" s="25"/>
      <c r="BC86" s="25"/>
      <c r="BD86" s="25"/>
      <c r="BE86" s="25"/>
      <c r="BF86" s="25"/>
      <c r="BG86" s="25"/>
      <c r="BH86" s="25"/>
      <c r="BI86" s="37"/>
      <c r="BJ86" s="25"/>
      <c r="BK86" s="25"/>
    </row>
    <row r="87" spans="3:63" x14ac:dyDescent="0.35">
      <c r="C87" s="25" t="str">
        <f ca="1"/>
        <v>XS1243251375</v>
      </c>
      <c r="D87" s="25" t="str">
        <f ca="1"/>
        <v>VOON</v>
      </c>
      <c r="E87" s="35">
        <f ca="1"/>
        <v>108.937</v>
      </c>
      <c r="F87" s="102"/>
      <c r="G87" s="102">
        <f ca="1"/>
        <v>2000000</v>
      </c>
      <c r="H87" s="25">
        <f ca="1"/>
        <v>540.00000000002046</v>
      </c>
      <c r="I87" s="37">
        <f ca="1"/>
        <v>0</v>
      </c>
      <c r="J87" s="37" t="str">
        <f ca="1"/>
        <v>BGN</v>
      </c>
      <c r="K87" s="35" t="str">
        <f ca="1"/>
        <v>EUR</v>
      </c>
      <c r="L87" s="102">
        <f ca="1"/>
        <v>540.00000000002046</v>
      </c>
      <c r="M87" s="102">
        <f ca="1"/>
        <v>540.00000000002046</v>
      </c>
      <c r="N87" s="19">
        <f ca="1"/>
        <v>108.964</v>
      </c>
      <c r="Q87" s="20" t="s">
        <v>867</v>
      </c>
      <c r="R87" s="24"/>
      <c r="S87" s="25">
        <f ca="1"/>
        <v>46</v>
      </c>
      <c r="T87" s="19" t="str">
        <f ca="1"/>
        <v>XS1243251375</v>
      </c>
      <c r="U87" s="25" t="str">
        <f ca="1"/>
        <v>EUROGR 1 7/8 06/10/25</v>
      </c>
      <c r="V87" s="64">
        <f ca="1"/>
        <v>2000000</v>
      </c>
      <c r="W87" s="70">
        <f ca="1"/>
        <v>1.18</v>
      </c>
      <c r="X87" s="71">
        <f ca="1"/>
        <v>108.937</v>
      </c>
      <c r="Y87" s="71">
        <f ca="1"/>
        <v>108.964</v>
      </c>
      <c r="Z87" s="57" t="str">
        <f ca="1"/>
        <v>VOON</v>
      </c>
      <c r="AA87" s="57" t="str">
        <f ca="1"/>
        <v>Bond Corporate</v>
      </c>
      <c r="AB87" s="56">
        <f ca="1"/>
        <v>540.00000000002046</v>
      </c>
      <c r="AC87" s="56">
        <f ca="1">IFERROR(IF(ISBLANK(AB87),"-",AB87-_xlfn.XLOOKUP(T87,AI:AI,AJ:AJ)),"-")</f>
        <v>0</v>
      </c>
      <c r="AD87" s="56">
        <f ca="1">IFERROR(IF(ISBLANK(AB87),"-",AB87-_xlfn.XLOOKUP(T87,AO:AO,AP:AP)),"-")</f>
        <v>20.000000000095497</v>
      </c>
      <c r="AE87" s="25"/>
      <c r="AF87" s="25"/>
      <c r="AG87" s="25"/>
      <c r="AH87" s="25"/>
      <c r="AI87" s="51" t="s">
        <v>108</v>
      </c>
      <c r="AJ87" s="80">
        <v>540.00000000002046</v>
      </c>
      <c r="AK87" s="25"/>
      <c r="AL87" s="25"/>
      <c r="AM87" s="25"/>
      <c r="AN87" s="25"/>
      <c r="AO87" s="51" t="s">
        <v>108</v>
      </c>
      <c r="AP87" s="80">
        <v>540.00000000002046</v>
      </c>
      <c r="AQ87" s="25"/>
      <c r="AR87" s="25"/>
      <c r="AS87" s="26"/>
      <c r="AT87" s="20" t="s">
        <v>867</v>
      </c>
      <c r="AW87" s="25"/>
      <c r="AX87" s="25"/>
      <c r="AY87" s="37"/>
      <c r="AZ87" s="25"/>
      <c r="BA87" s="35"/>
      <c r="BB87" s="25"/>
      <c r="BC87" s="25"/>
      <c r="BD87" s="25"/>
      <c r="BE87" s="25"/>
      <c r="BF87" s="25"/>
      <c r="BG87" s="25"/>
      <c r="BH87" s="25"/>
      <c r="BI87" s="37"/>
      <c r="BJ87" s="25"/>
      <c r="BK87" s="25"/>
    </row>
    <row r="88" spans="3:63" x14ac:dyDescent="0.35">
      <c r="C88" s="25" t="str">
        <f ca="1"/>
        <v>XS2199351375</v>
      </c>
      <c r="D88" s="25" t="str">
        <f ca="1"/>
        <v>VOON</v>
      </c>
      <c r="E88" s="35">
        <f ca="1"/>
        <v>119.812</v>
      </c>
      <c r="F88" s="102"/>
      <c r="G88" s="102">
        <f ca="1"/>
        <v>1000000</v>
      </c>
      <c r="H88" s="25">
        <f ca="1"/>
        <v>120.00000000000455</v>
      </c>
      <c r="I88" s="37">
        <f ca="1"/>
        <v>0</v>
      </c>
      <c r="J88" s="37" t="str">
        <f ca="1"/>
        <v>BGN</v>
      </c>
      <c r="K88" s="35" t="str">
        <f ca="1"/>
        <v>EUR</v>
      </c>
      <c r="L88" s="102">
        <f ca="1"/>
        <v>120.00000000000455</v>
      </c>
      <c r="M88" s="102">
        <f ca="1"/>
        <v>120.00000000000455</v>
      </c>
      <c r="N88" s="19">
        <f ca="1"/>
        <v>119.824</v>
      </c>
      <c r="Q88" s="20" t="s">
        <v>867</v>
      </c>
      <c r="R88" s="24"/>
      <c r="S88" s="25">
        <f ca="1"/>
        <v>47</v>
      </c>
      <c r="T88" s="19" t="str">
        <f ca="1"/>
        <v>XS2199351375</v>
      </c>
      <c r="U88" s="25" t="str">
        <f ca="1"/>
        <v>FCAIM 4 1/2 07/07/28</v>
      </c>
      <c r="V88" s="64">
        <f ca="1"/>
        <v>1000000</v>
      </c>
      <c r="W88" s="70">
        <f ca="1"/>
        <v>5.32</v>
      </c>
      <c r="X88" s="71">
        <f ca="1"/>
        <v>119.812</v>
      </c>
      <c r="Y88" s="71">
        <f ca="1"/>
        <v>119.824</v>
      </c>
      <c r="Z88" s="57" t="str">
        <f ca="1"/>
        <v>VOON</v>
      </c>
      <c r="AA88" s="57" t="str">
        <f ca="1"/>
        <v>Bond Corporate</v>
      </c>
      <c r="AB88" s="56">
        <f ca="1"/>
        <v>120.00000000000455</v>
      </c>
      <c r="AC88" s="56">
        <f ca="1">IFERROR(IF(ISBLANK(AB88),"-",AB88-_xlfn.XLOOKUP(T88,AI:AI,AJ:AJ)),"-")</f>
        <v>0</v>
      </c>
      <c r="AD88" s="56">
        <f ca="1">IFERROR(IF(ISBLANK(AB88),"-",AB88-_xlfn.XLOOKUP(T88,AO:AO,AP:AP)),"-")</f>
        <v>40.000000000048885</v>
      </c>
      <c r="AE88" s="25"/>
      <c r="AF88" s="25"/>
      <c r="AG88" s="25"/>
      <c r="AH88" s="25"/>
      <c r="AI88" s="51" t="s">
        <v>1303</v>
      </c>
      <c r="AJ88" s="80">
        <v>120.00000000000455</v>
      </c>
      <c r="AK88" s="25"/>
      <c r="AL88" s="25"/>
      <c r="AM88" s="25"/>
      <c r="AN88" s="25"/>
      <c r="AO88" s="51" t="s">
        <v>1303</v>
      </c>
      <c r="AP88" s="80">
        <v>120.00000000000455</v>
      </c>
      <c r="AQ88" s="25"/>
      <c r="AR88" s="25"/>
      <c r="AS88" s="26"/>
      <c r="AT88" s="20" t="s">
        <v>867</v>
      </c>
      <c r="AW88" s="25"/>
      <c r="AX88" s="25"/>
      <c r="AY88" s="37"/>
      <c r="AZ88" s="25"/>
      <c r="BA88" s="35"/>
      <c r="BB88" s="25"/>
      <c r="BC88" s="25"/>
      <c r="BD88" s="25"/>
      <c r="BE88" s="25"/>
      <c r="BF88" s="25"/>
      <c r="BG88" s="25"/>
      <c r="BH88" s="25"/>
      <c r="BI88" s="37"/>
      <c r="BJ88" s="25"/>
      <c r="BK88" s="25"/>
    </row>
    <row r="89" spans="3:63" x14ac:dyDescent="0.35">
      <c r="C89" s="25" t="str">
        <f ca="1"/>
        <v>XS2178832379</v>
      </c>
      <c r="D89" s="25" t="str">
        <f ca="1"/>
        <v>VOON</v>
      </c>
      <c r="E89" s="35">
        <f ca="1"/>
        <v>106.48</v>
      </c>
      <c r="F89" s="102"/>
      <c r="G89" s="102">
        <f ca="1"/>
        <v>0</v>
      </c>
      <c r="H89" s="25">
        <f ca="1"/>
        <v>0</v>
      </c>
      <c r="I89" s="37">
        <f ca="1"/>
        <v>0</v>
      </c>
      <c r="J89" s="37" t="str">
        <f ca="1"/>
        <v>BGN</v>
      </c>
      <c r="K89" s="35" t="str">
        <f ca="1"/>
        <v>EUR</v>
      </c>
      <c r="L89" s="102">
        <f ca="1"/>
        <v>0</v>
      </c>
      <c r="M89" s="102">
        <f ca="1"/>
        <v>0</v>
      </c>
      <c r="N89" s="19">
        <f ca="1"/>
        <v>106.461</v>
      </c>
      <c r="Q89" s="20" t="s">
        <v>867</v>
      </c>
      <c r="R89" s="24"/>
      <c r="S89" s="25">
        <f ca="1"/>
        <v>48</v>
      </c>
      <c r="T89" s="19" t="str">
        <f ca="1"/>
        <v>XS2178832379</v>
      </c>
      <c r="U89" s="25" t="str">
        <f ca="1"/>
        <v>FCAIM 3 3/8 07/07/23</v>
      </c>
      <c r="V89" s="64">
        <f ca="1"/>
        <v>0</v>
      </c>
      <c r="W89" s="70">
        <f ca="1"/>
        <v>0</v>
      </c>
      <c r="X89" s="71">
        <f ca="1"/>
        <v>106.48</v>
      </c>
      <c r="Y89" s="71">
        <f ca="1"/>
        <v>106.461</v>
      </c>
      <c r="Z89" s="57" t="str">
        <f ca="1"/>
        <v>VOON</v>
      </c>
      <c r="AA89" s="57" t="str">
        <f ca="1"/>
        <v>Bond Corporate</v>
      </c>
      <c r="AB89" s="56">
        <f ca="1"/>
        <v>0</v>
      </c>
      <c r="AC89" s="56">
        <f ca="1">IFERROR(IF(ISBLANK(AB89),"-",AB89-_xlfn.XLOOKUP(T89,AI:AI,AJ:AJ)),"-")</f>
        <v>0</v>
      </c>
      <c r="AD89" s="56">
        <f ca="1">IFERROR(IF(ISBLANK(AB89),"-",AB89-_xlfn.XLOOKUP(T89,AO:AO,AP:AP)),"-")</f>
        <v>0</v>
      </c>
      <c r="AE89" s="25"/>
      <c r="AF89" s="25"/>
      <c r="AG89" s="25"/>
      <c r="AH89" s="25"/>
      <c r="AI89" s="51" t="s">
        <v>1310</v>
      </c>
      <c r="AJ89" s="80">
        <v>0</v>
      </c>
      <c r="AK89" s="25"/>
      <c r="AL89" s="25"/>
      <c r="AM89" s="25"/>
      <c r="AN89" s="25"/>
      <c r="AO89" s="51" t="s">
        <v>1310</v>
      </c>
      <c r="AP89" s="80">
        <v>0</v>
      </c>
      <c r="AQ89" s="25"/>
      <c r="AR89" s="25"/>
      <c r="AS89" s="26"/>
      <c r="AT89" s="20" t="s">
        <v>867</v>
      </c>
      <c r="AW89" s="25"/>
      <c r="AX89" s="25"/>
      <c r="AY89" s="37"/>
      <c r="AZ89" s="25"/>
      <c r="BA89" s="35"/>
      <c r="BB89" s="25"/>
      <c r="BC89" s="25"/>
      <c r="BD89" s="25"/>
      <c r="BE89" s="25"/>
      <c r="BF89" s="25"/>
      <c r="BG89" s="25"/>
      <c r="BH89" s="25"/>
      <c r="BI89" s="37"/>
      <c r="BJ89" s="25"/>
      <c r="BK89" s="25"/>
    </row>
    <row r="90" spans="3:63" x14ac:dyDescent="0.35">
      <c r="C90" s="25" t="str">
        <f ca="1"/>
        <v>XS2020608548</v>
      </c>
      <c r="D90" s="25" t="str">
        <f ca="1"/>
        <v>VOON</v>
      </c>
      <c r="E90" s="35">
        <f ca="1"/>
        <v>104.995</v>
      </c>
      <c r="F90" s="102"/>
      <c r="G90" s="102">
        <f ca="1"/>
        <v>-8167000</v>
      </c>
      <c r="H90" s="25">
        <f ca="1"/>
        <v>-6206.9199999994607</v>
      </c>
      <c r="I90" s="37">
        <f ca="1"/>
        <v>0</v>
      </c>
      <c r="J90" s="37" t="str">
        <f ca="1"/>
        <v>BGN</v>
      </c>
      <c r="K90" s="35" t="str">
        <f ca="1"/>
        <v>EUR</v>
      </c>
      <c r="L90" s="102">
        <f ca="1"/>
        <v>-6206.9199999994607</v>
      </c>
      <c r="M90" s="102">
        <f ca="1"/>
        <v>-6206.9199999994607</v>
      </c>
      <c r="N90" s="19">
        <f ca="1"/>
        <v>105.071</v>
      </c>
      <c r="Q90" s="20" t="s">
        <v>867</v>
      </c>
      <c r="R90" s="24"/>
      <c r="S90" s="25">
        <f ca="1"/>
        <v>49</v>
      </c>
      <c r="T90" s="19" t="str">
        <f ca="1"/>
        <v>XS2020608548</v>
      </c>
      <c r="U90" s="25" t="str">
        <f ca="1"/>
        <v>HERIM 0 7/8 07/05/27</v>
      </c>
      <c r="V90" s="64">
        <f ca="1"/>
        <v>-8167000</v>
      </c>
      <c r="W90" s="70">
        <f ca="1"/>
        <v>-8.8800000000000008</v>
      </c>
      <c r="X90" s="71">
        <f ca="1"/>
        <v>104.995</v>
      </c>
      <c r="Y90" s="71">
        <f ca="1"/>
        <v>105.071</v>
      </c>
      <c r="Z90" s="57" t="str">
        <f ca="1"/>
        <v>VOON</v>
      </c>
      <c r="AA90" s="57" t="str">
        <f ca="1"/>
        <v>Bond Corporate</v>
      </c>
      <c r="AB90" s="56">
        <f ca="1"/>
        <v>-6206.9199999994607</v>
      </c>
      <c r="AC90" s="56">
        <f ca="1">IFERROR(IF(ISBLANK(AB90),"-",AB90-_xlfn.XLOOKUP(T90,AI:AI,AJ:AJ)),"-")</f>
        <v>0</v>
      </c>
      <c r="AD90" s="56">
        <f ca="1">IFERROR(IF(ISBLANK(AB90),"-",AB90-_xlfn.XLOOKUP(T90,AO:AO,AP:AP)),"-")</f>
        <v>-571.69000000040796</v>
      </c>
      <c r="AE90" s="25"/>
      <c r="AF90" s="25"/>
      <c r="AG90" s="25"/>
      <c r="AH90" s="25"/>
      <c r="AI90" s="51" t="s">
        <v>111</v>
      </c>
      <c r="AJ90" s="80">
        <v>-6206.9199999994607</v>
      </c>
      <c r="AK90" s="25"/>
      <c r="AL90" s="25"/>
      <c r="AM90" s="25"/>
      <c r="AN90" s="25"/>
      <c r="AO90" s="51" t="s">
        <v>111</v>
      </c>
      <c r="AP90" s="80">
        <v>-6206.9199999994607</v>
      </c>
      <c r="AQ90" s="25"/>
      <c r="AR90" s="25"/>
      <c r="AS90" s="26"/>
      <c r="AT90" s="20" t="s">
        <v>867</v>
      </c>
      <c r="AW90" s="25"/>
      <c r="AX90" s="25"/>
      <c r="AY90" s="37"/>
      <c r="AZ90" s="25"/>
      <c r="BA90" s="35"/>
      <c r="BB90" s="25"/>
      <c r="BC90" s="25"/>
      <c r="BD90" s="25"/>
      <c r="BE90" s="25"/>
      <c r="BF90" s="25"/>
      <c r="BG90" s="25"/>
      <c r="BH90" s="25"/>
      <c r="BI90" s="37"/>
      <c r="BJ90" s="25"/>
      <c r="BK90" s="25"/>
    </row>
    <row r="91" spans="3:63" x14ac:dyDescent="0.35">
      <c r="C91" s="25" t="str">
        <f ca="1"/>
        <v>XS1504194173</v>
      </c>
      <c r="D91" s="25" t="str">
        <f ca="1"/>
        <v>VOON</v>
      </c>
      <c r="E91" s="35">
        <f ca="1"/>
        <v>104.229</v>
      </c>
      <c r="F91" s="102"/>
      <c r="G91" s="102">
        <f ca="1"/>
        <v>2700000</v>
      </c>
      <c r="H91" s="25">
        <f ca="1"/>
        <v>1863.0000000000707</v>
      </c>
      <c r="I91" s="37">
        <f ca="1"/>
        <v>-3321.000000000126</v>
      </c>
      <c r="J91" s="37" t="str">
        <f ca="1"/>
        <v>BGN</v>
      </c>
      <c r="K91" s="35" t="str">
        <f ca="1"/>
        <v>EUR</v>
      </c>
      <c r="L91" s="102">
        <f ca="1"/>
        <v>-1458.0000000000553</v>
      </c>
      <c r="M91" s="102">
        <f ca="1"/>
        <v>-1458.0000000000553</v>
      </c>
      <c r="N91" s="19">
        <f ca="1"/>
        <v>104.298</v>
      </c>
      <c r="Q91" s="20" t="s">
        <v>867</v>
      </c>
      <c r="R91" s="24"/>
      <c r="S91" s="25">
        <f ca="1"/>
        <v>50</v>
      </c>
      <c r="T91" s="19" t="str">
        <f ca="1"/>
        <v>XS1504194173</v>
      </c>
      <c r="U91" s="25" t="str">
        <f ca="1"/>
        <v>HERIM 0 7/8 10/14/26</v>
      </c>
      <c r="V91" s="64">
        <f ca="1"/>
        <v>0</v>
      </c>
      <c r="W91" s="70">
        <f ca="1"/>
        <v>0</v>
      </c>
      <c r="X91" s="71">
        <f ca="1"/>
        <v>104.229</v>
      </c>
      <c r="Y91" s="71">
        <f ca="1"/>
        <v>104.298</v>
      </c>
      <c r="Z91" s="57" t="str">
        <f ca="1"/>
        <v>VOON</v>
      </c>
      <c r="AA91" s="57" t="str">
        <f ca="1"/>
        <v>Bond Corporate</v>
      </c>
      <c r="AB91" s="56">
        <f ca="1"/>
        <v>-1458.0000000000553</v>
      </c>
      <c r="AC91" s="56">
        <f ca="1">IFERROR(IF(ISBLANK(AB91),"-",AB91-_xlfn.XLOOKUP(T91,AI:AI,AJ:AJ)),"-")</f>
        <v>0</v>
      </c>
      <c r="AD91" s="56">
        <f ca="1">IFERROR(IF(ISBLANK(AB91),"-",AB91-_xlfn.XLOOKUP(T91,AO:AO,AP:AP)),"-")</f>
        <v>1809.0000000001962</v>
      </c>
      <c r="AE91" s="25"/>
      <c r="AF91" s="25"/>
      <c r="AG91" s="25"/>
      <c r="AH91" s="25"/>
      <c r="AI91" s="51" t="s">
        <v>114</v>
      </c>
      <c r="AJ91" s="80">
        <v>-1458.0000000000553</v>
      </c>
      <c r="AK91" s="25"/>
      <c r="AL91" s="25"/>
      <c r="AM91" s="25"/>
      <c r="AN91" s="25"/>
      <c r="AO91" s="51" t="s">
        <v>114</v>
      </c>
      <c r="AP91" s="80">
        <v>-1458.0000000000553</v>
      </c>
      <c r="AQ91" s="25"/>
      <c r="AR91" s="25"/>
      <c r="AS91" s="26"/>
      <c r="AT91" s="20" t="s">
        <v>867</v>
      </c>
      <c r="AW91" s="25"/>
      <c r="AX91" s="25"/>
      <c r="AY91" s="37"/>
      <c r="AZ91" s="25"/>
      <c r="BA91" s="35"/>
      <c r="BB91" s="25"/>
      <c r="BC91" s="25"/>
      <c r="BD91" s="25"/>
      <c r="BE91" s="25"/>
      <c r="BF91" s="25"/>
      <c r="BG91" s="25"/>
      <c r="BH91" s="25"/>
      <c r="BI91" s="37"/>
      <c r="BJ91" s="25"/>
      <c r="BK91" s="25"/>
    </row>
    <row r="92" spans="3:63" x14ac:dyDescent="0.35">
      <c r="C92" s="25" t="str">
        <f ca="1"/>
        <v>XS1550134602</v>
      </c>
      <c r="D92" s="25" t="str">
        <f ca="1"/>
        <v>VOON</v>
      </c>
      <c r="E92" s="35">
        <f ca="1"/>
        <v>102.79300000000001</v>
      </c>
      <c r="F92" s="102"/>
      <c r="G92" s="102">
        <f ca="1"/>
        <v>3000000</v>
      </c>
      <c r="H92" s="25">
        <f ca="1"/>
        <v>419.99999999987381</v>
      </c>
      <c r="I92" s="37">
        <f ca="1"/>
        <v>0</v>
      </c>
      <c r="J92" s="37" t="str">
        <f ca="1"/>
        <v>BGN</v>
      </c>
      <c r="K92" s="35" t="str">
        <f ca="1"/>
        <v>EUR</v>
      </c>
      <c r="L92" s="102">
        <f ca="1"/>
        <v>419.99999999987381</v>
      </c>
      <c r="M92" s="102">
        <f ca="1"/>
        <v>419.99999999987381</v>
      </c>
      <c r="N92" s="19">
        <f ca="1"/>
        <v>102.807</v>
      </c>
      <c r="Q92" s="20" t="s">
        <v>867</v>
      </c>
      <c r="R92" s="24"/>
      <c r="S92" s="25">
        <f ca="1"/>
        <v>51</v>
      </c>
      <c r="T92" s="19" t="str">
        <f ca="1"/>
        <v>XS1550134602</v>
      </c>
      <c r="U92" s="25" t="str">
        <f ca="1"/>
        <v>HNDA 0 3/4 01/17/24</v>
      </c>
      <c r="V92" s="64">
        <f ca="1"/>
        <v>3000000</v>
      </c>
      <c r="W92" s="70">
        <f ca="1"/>
        <v>1.1499999999999999</v>
      </c>
      <c r="X92" s="71">
        <f ca="1"/>
        <v>102.79300000000001</v>
      </c>
      <c r="Y92" s="71">
        <f ca="1"/>
        <v>102.807</v>
      </c>
      <c r="Z92" s="57" t="str">
        <f ca="1"/>
        <v>VOON</v>
      </c>
      <c r="AA92" s="57" t="str">
        <f ca="1"/>
        <v>Bond Corporate</v>
      </c>
      <c r="AB92" s="56">
        <f ca="1"/>
        <v>419.99999999987381</v>
      </c>
      <c r="AC92" s="56">
        <f ca="1">IFERROR(IF(ISBLANK(AB92),"-",AB92-_xlfn.XLOOKUP(T92,AI:AI,AJ:AJ)),"-")</f>
        <v>0</v>
      </c>
      <c r="AD92" s="56">
        <f ca="1">IFERROR(IF(ISBLANK(AB92),"-",AB92-_xlfn.XLOOKUP(T92,AO:AO,AP:AP)),"-")</f>
        <v>149.99999999986358</v>
      </c>
      <c r="AE92" s="25"/>
      <c r="AF92" s="25"/>
      <c r="AG92" s="25"/>
      <c r="AH92" s="25"/>
      <c r="AI92" s="51" t="s">
        <v>965</v>
      </c>
      <c r="AJ92" s="80">
        <v>419.99999999987381</v>
      </c>
      <c r="AK92" s="25"/>
      <c r="AL92" s="25"/>
      <c r="AM92" s="25"/>
      <c r="AN92" s="25"/>
      <c r="AO92" s="51" t="s">
        <v>965</v>
      </c>
      <c r="AP92" s="80">
        <v>419.99999999987381</v>
      </c>
      <c r="AQ92" s="25"/>
      <c r="AR92" s="25"/>
      <c r="AS92" s="26"/>
      <c r="AT92" s="20" t="s">
        <v>867</v>
      </c>
      <c r="AW92" s="25"/>
      <c r="AX92" s="25"/>
      <c r="AY92" s="37"/>
      <c r="AZ92" s="25"/>
      <c r="BA92" s="35"/>
      <c r="BB92" s="25"/>
      <c r="BC92" s="25"/>
      <c r="BD92" s="25"/>
      <c r="BE92" s="25"/>
      <c r="BF92" s="25"/>
      <c r="BG92" s="25"/>
      <c r="BH92" s="25"/>
      <c r="BI92" s="37"/>
      <c r="BJ92" s="25"/>
      <c r="BK92" s="25"/>
    </row>
    <row r="93" spans="3:63" x14ac:dyDescent="0.35">
      <c r="C93" s="25" t="str">
        <f ca="1"/>
        <v>XS1527758145</v>
      </c>
      <c r="D93" s="25" t="str">
        <f ca="1"/>
        <v>VOON</v>
      </c>
      <c r="E93" s="35">
        <f ca="1"/>
        <v>103.754</v>
      </c>
      <c r="F93" s="102"/>
      <c r="G93" s="102">
        <f ca="1"/>
        <v>3700000</v>
      </c>
      <c r="H93" s="25">
        <f ca="1"/>
        <v>369.99999999966349</v>
      </c>
      <c r="I93" s="37">
        <f ca="1"/>
        <v>0</v>
      </c>
      <c r="J93" s="37" t="str">
        <f ca="1"/>
        <v>BGN</v>
      </c>
      <c r="K93" s="35" t="str">
        <f ca="1"/>
        <v>EUR</v>
      </c>
      <c r="L93" s="102">
        <f ca="1"/>
        <v>369.99999999966349</v>
      </c>
      <c r="M93" s="102">
        <f ca="1"/>
        <v>369.99999999966349</v>
      </c>
      <c r="N93" s="19">
        <f ca="1"/>
        <v>103.764</v>
      </c>
      <c r="Q93" s="20" t="s">
        <v>867</v>
      </c>
      <c r="R93" s="24"/>
      <c r="S93" s="25">
        <f ca="1"/>
        <v>52</v>
      </c>
      <c r="T93" s="19" t="str">
        <f ca="1"/>
        <v>XS1527758145</v>
      </c>
      <c r="U93" s="25" t="str">
        <f ca="1"/>
        <v>IBESM 1 03/07/24</v>
      </c>
      <c r="V93" s="64">
        <f ca="1"/>
        <v>3700000</v>
      </c>
      <c r="W93" s="70">
        <f ca="1"/>
        <v>1.47</v>
      </c>
      <c r="X93" s="71">
        <f ca="1"/>
        <v>103.754</v>
      </c>
      <c r="Y93" s="71">
        <f ca="1"/>
        <v>103.764</v>
      </c>
      <c r="Z93" s="57" t="str">
        <f ca="1"/>
        <v>VOON</v>
      </c>
      <c r="AA93" s="57" t="str">
        <f ca="1"/>
        <v>Bond Corporate</v>
      </c>
      <c r="AB93" s="56">
        <f ca="1"/>
        <v>369.99999999966349</v>
      </c>
      <c r="AC93" s="56">
        <f ca="1">IFERROR(IF(ISBLANK(AB93),"-",AB93-_xlfn.XLOOKUP(T93,AI:AI,AJ:AJ)),"-")</f>
        <v>0</v>
      </c>
      <c r="AD93" s="56">
        <f ca="1">IFERROR(IF(ISBLANK(AB93),"-",AB93-_xlfn.XLOOKUP(T93,AO:AO,AP:AP)),"-")</f>
        <v>-37.000000000176669</v>
      </c>
      <c r="AE93" s="25"/>
      <c r="AF93" s="25"/>
      <c r="AG93" s="25"/>
      <c r="AH93" s="25"/>
      <c r="AI93" s="51" t="s">
        <v>116</v>
      </c>
      <c r="AJ93" s="80">
        <v>369.99999999966349</v>
      </c>
      <c r="AK93" s="25"/>
      <c r="AL93" s="25"/>
      <c r="AM93" s="25"/>
      <c r="AN93" s="25"/>
      <c r="AO93" s="51" t="s">
        <v>116</v>
      </c>
      <c r="AP93" s="80">
        <v>369.99999999966349</v>
      </c>
      <c r="AQ93" s="25"/>
      <c r="AR93" s="25"/>
      <c r="AS93" s="26"/>
      <c r="AT93" s="20" t="s">
        <v>867</v>
      </c>
      <c r="AW93" s="25"/>
      <c r="AX93" s="25"/>
      <c r="AY93" s="37"/>
      <c r="AZ93" s="25"/>
      <c r="BA93" s="35"/>
      <c r="BB93" s="25"/>
      <c r="BC93" s="25"/>
      <c r="BD93" s="25"/>
      <c r="BE93" s="25"/>
      <c r="BF93" s="25"/>
      <c r="BG93" s="25"/>
      <c r="BH93" s="25"/>
      <c r="BI93" s="37"/>
      <c r="BJ93" s="25"/>
      <c r="BK93" s="25"/>
    </row>
    <row r="94" spans="3:63" x14ac:dyDescent="0.35">
      <c r="C94" s="25" t="str">
        <f ca="1"/>
        <v>XS2115092012</v>
      </c>
      <c r="D94" s="25" t="str">
        <f ca="1"/>
        <v>VOON</v>
      </c>
      <c r="E94" s="35">
        <f ca="1"/>
        <v>105.029</v>
      </c>
      <c r="F94" s="102"/>
      <c r="G94" s="102">
        <f ca="1"/>
        <v>-3000000</v>
      </c>
      <c r="H94" s="25">
        <f ca="1"/>
        <v>-14880.00000000028</v>
      </c>
      <c r="I94" s="37">
        <f ca="1"/>
        <v>0</v>
      </c>
      <c r="J94" s="37" t="str">
        <f ca="1"/>
        <v>BGN</v>
      </c>
      <c r="K94" s="35" t="str">
        <f ca="1"/>
        <v>EUR</v>
      </c>
      <c r="L94" s="102">
        <f ca="1"/>
        <v>-14880.00000000028</v>
      </c>
      <c r="M94" s="102">
        <f ca="1"/>
        <v>-14880.00000000028</v>
      </c>
      <c r="N94" s="19">
        <f ca="1"/>
        <v>105.52500000000001</v>
      </c>
      <c r="Q94" s="20" t="s">
        <v>867</v>
      </c>
      <c r="R94" s="24"/>
      <c r="S94" s="25">
        <f ca="1"/>
        <v>53</v>
      </c>
      <c r="T94" s="19" t="str">
        <f ca="1"/>
        <v>XS2115092012</v>
      </c>
      <c r="U94" s="25" t="str">
        <f ca="1"/>
        <v>IBM 1.2 02/11/40</v>
      </c>
      <c r="V94" s="64">
        <f ca="1"/>
        <v>-3000000</v>
      </c>
      <c r="W94" s="70">
        <f ca="1"/>
        <v>-15.19</v>
      </c>
      <c r="X94" s="71">
        <f ca="1"/>
        <v>105.029</v>
      </c>
      <c r="Y94" s="71">
        <f ca="1"/>
        <v>105.52500000000001</v>
      </c>
      <c r="Z94" s="57" t="str">
        <f ca="1"/>
        <v>VOON</v>
      </c>
      <c r="AA94" s="57" t="str">
        <f ca="1"/>
        <v>Bond Corporate</v>
      </c>
      <c r="AB94" s="56">
        <f ca="1"/>
        <v>-14880.00000000028</v>
      </c>
      <c r="AC94" s="56">
        <f ca="1">IFERROR(IF(ISBLANK(AB94),"-",AB94-_xlfn.XLOOKUP(T94,AI:AI,AJ:AJ)),"-")</f>
        <v>0</v>
      </c>
      <c r="AD94" s="56">
        <f ca="1">IFERROR(IF(ISBLANK(AB94),"-",AB94-_xlfn.XLOOKUP(T94,AO:AO,AP:AP)),"-")</f>
        <v>270.00000000001091</v>
      </c>
      <c r="AE94" s="25"/>
      <c r="AF94" s="25"/>
      <c r="AG94" s="25"/>
      <c r="AH94" s="25"/>
      <c r="AI94" s="51" t="s">
        <v>1426</v>
      </c>
      <c r="AJ94" s="80">
        <v>-14880.00000000028</v>
      </c>
      <c r="AK94" s="25"/>
      <c r="AL94" s="25"/>
      <c r="AM94" s="25"/>
      <c r="AN94" s="25"/>
      <c r="AO94" s="51" t="s">
        <v>1426</v>
      </c>
      <c r="AP94" s="80">
        <v>-14880.00000000028</v>
      </c>
      <c r="AQ94" s="25"/>
      <c r="AR94" s="25"/>
      <c r="AS94" s="26"/>
      <c r="AT94" s="20" t="s">
        <v>867</v>
      </c>
      <c r="AW94" s="25"/>
      <c r="AX94" s="25"/>
      <c r="AY94" s="37"/>
      <c r="AZ94" s="25"/>
      <c r="BA94" s="35"/>
      <c r="BB94" s="25"/>
      <c r="BC94" s="25"/>
      <c r="BD94" s="25"/>
      <c r="BE94" s="25"/>
      <c r="BF94" s="25"/>
      <c r="BG94" s="25"/>
      <c r="BH94" s="25"/>
      <c r="BI94" s="37"/>
      <c r="BJ94" s="25"/>
      <c r="BK94" s="25"/>
    </row>
    <row r="95" spans="3:63" x14ac:dyDescent="0.35">
      <c r="C95" s="25" t="str">
        <f ca="1"/>
        <v>XS2197356186</v>
      </c>
      <c r="D95" s="25" t="str">
        <f ca="1"/>
        <v>VOON</v>
      </c>
      <c r="E95" s="35">
        <f ca="1"/>
        <v>105.738</v>
      </c>
      <c r="F95" s="102"/>
      <c r="G95" s="102">
        <f ca="1"/>
        <v>7260000</v>
      </c>
      <c r="H95" s="25">
        <f ca="1"/>
        <v>12414.60000000047</v>
      </c>
      <c r="I95" s="37">
        <f ca="1"/>
        <v>0</v>
      </c>
      <c r="J95" s="37" t="str">
        <f ca="1"/>
        <v>BGN</v>
      </c>
      <c r="K95" s="35" t="str">
        <f ca="1"/>
        <v>EUR</v>
      </c>
      <c r="L95" s="102">
        <f ca="1"/>
        <v>12414.60000000047</v>
      </c>
      <c r="M95" s="102">
        <f ca="1"/>
        <v>12414.60000000047</v>
      </c>
      <c r="N95" s="19">
        <f ca="1"/>
        <v>105.90900000000001</v>
      </c>
      <c r="Q95" s="20" t="s">
        <v>867</v>
      </c>
      <c r="R95" s="24"/>
      <c r="S95" s="25">
        <f ca="1"/>
        <v>54</v>
      </c>
      <c r="T95" s="19" t="str">
        <f ca="1"/>
        <v>XS2197356186</v>
      </c>
      <c r="U95" s="25" t="str">
        <f ca="1"/>
        <v>IREIM 1 07/01/30</v>
      </c>
      <c r="V95" s="64">
        <f ca="1"/>
        <v>7260000</v>
      </c>
      <c r="W95" s="70">
        <f ca="1"/>
        <v>14.36</v>
      </c>
      <c r="X95" s="71">
        <f ca="1"/>
        <v>105.738</v>
      </c>
      <c r="Y95" s="71">
        <f ca="1"/>
        <v>105.90900000000001</v>
      </c>
      <c r="Z95" s="57" t="str">
        <f ca="1"/>
        <v>VOON</v>
      </c>
      <c r="AA95" s="57" t="str">
        <f ca="1"/>
        <v>Bond Corporate</v>
      </c>
      <c r="AB95" s="56">
        <f ca="1"/>
        <v>12414.60000000047</v>
      </c>
      <c r="AC95" s="56">
        <f ca="1">IFERROR(IF(ISBLANK(AB95),"-",AB95-_xlfn.XLOOKUP(T95,AI:AI,AJ:AJ)),"-")</f>
        <v>0</v>
      </c>
      <c r="AD95" s="56">
        <f ca="1">IFERROR(IF(ISBLANK(AB95),"-",AB95-_xlfn.XLOOKUP(T95,AO:AO,AP:AP)),"-")</f>
        <v>653.4000000000251</v>
      </c>
      <c r="AE95" s="25"/>
      <c r="AF95" s="25"/>
      <c r="AG95" s="25"/>
      <c r="AH95" s="25"/>
      <c r="AI95" s="51" t="s">
        <v>1430</v>
      </c>
      <c r="AJ95" s="80">
        <v>12414.60000000047</v>
      </c>
      <c r="AK95" s="25"/>
      <c r="AL95" s="25"/>
      <c r="AM95" s="25"/>
      <c r="AN95" s="25"/>
      <c r="AO95" s="51" t="s">
        <v>1430</v>
      </c>
      <c r="AP95" s="80">
        <v>12414.60000000047</v>
      </c>
      <c r="AQ95" s="25"/>
      <c r="AR95" s="25"/>
      <c r="AS95" s="26"/>
      <c r="AT95" s="20" t="s">
        <v>867</v>
      </c>
      <c r="AW95" s="25"/>
      <c r="AX95" s="25"/>
      <c r="AY95" s="37"/>
      <c r="AZ95" s="25"/>
      <c r="BA95" s="35"/>
      <c r="BB95" s="25"/>
      <c r="BC95" s="25"/>
      <c r="BD95" s="25"/>
      <c r="BE95" s="25"/>
      <c r="BF95" s="25"/>
      <c r="BG95" s="25"/>
      <c r="BH95" s="25"/>
      <c r="BI95" s="37"/>
      <c r="BJ95" s="25"/>
      <c r="BK95" s="25"/>
    </row>
    <row r="96" spans="3:63" x14ac:dyDescent="0.35">
      <c r="C96" s="25" t="str">
        <f ca="1"/>
        <v>FR0014000D49</v>
      </c>
      <c r="D96" s="25" t="str">
        <f ca="1"/>
        <v>VOON</v>
      </c>
      <c r="E96" s="35">
        <f ca="1"/>
        <v>100.715</v>
      </c>
      <c r="F96" s="102"/>
      <c r="G96" s="102">
        <f ca="1"/>
        <v>2000000</v>
      </c>
      <c r="H96" s="25">
        <f ca="1"/>
        <v>4559.999999999889</v>
      </c>
      <c r="I96" s="37">
        <f ca="1"/>
        <v>39.999999999906777</v>
      </c>
      <c r="J96" s="37" t="str">
        <f ca="1"/>
        <v>BGN</v>
      </c>
      <c r="K96" s="35" t="str">
        <f ca="1"/>
        <v>EUR</v>
      </c>
      <c r="L96" s="102">
        <f ca="1"/>
        <v>4599.9999999997963</v>
      </c>
      <c r="M96" s="102">
        <f ca="1"/>
        <v>4599.9999999997963</v>
      </c>
      <c r="N96" s="19">
        <f ca="1"/>
        <v>100.943</v>
      </c>
      <c r="Q96" s="20" t="s">
        <v>867</v>
      </c>
      <c r="R96" s="24"/>
      <c r="S96" s="25">
        <f ca="1"/>
        <v>55</v>
      </c>
      <c r="T96" s="19" t="str">
        <f ca="1"/>
        <v>FR0014000D49</v>
      </c>
      <c r="U96" s="25" t="str">
        <f ca="1"/>
        <v>MLFP 0 1/4 11/02/32</v>
      </c>
      <c r="V96" s="64">
        <f ca="1"/>
        <v>0</v>
      </c>
      <c r="W96" s="70">
        <f ca="1"/>
        <v>0</v>
      </c>
      <c r="X96" s="71">
        <f ca="1"/>
        <v>100.715</v>
      </c>
      <c r="Y96" s="71">
        <f ca="1"/>
        <v>100.943</v>
      </c>
      <c r="Z96" s="57" t="str">
        <f ca="1"/>
        <v>VOON</v>
      </c>
      <c r="AA96" s="57" t="str">
        <f ca="1"/>
        <v>Bond Corporate</v>
      </c>
      <c r="AB96" s="56">
        <f ca="1"/>
        <v>4599.9999999997963</v>
      </c>
      <c r="AC96" s="56">
        <f ca="1">IFERROR(IF(ISBLANK(AB96),"-",AB96-_xlfn.XLOOKUP(T96,AI:AI,AJ:AJ)),"-")</f>
        <v>0</v>
      </c>
      <c r="AD96" s="56">
        <f ca="1">IFERROR(IF(ISBLANK(AB96),"-",AB96-_xlfn.XLOOKUP(T96,AO:AO,AP:AP)),"-")</f>
        <v>3959.9999999998668</v>
      </c>
      <c r="AE96" s="25"/>
      <c r="AF96" s="25"/>
      <c r="AG96" s="25"/>
      <c r="AH96" s="25"/>
      <c r="AI96" s="51" t="s">
        <v>1338</v>
      </c>
      <c r="AJ96" s="80">
        <v>4599.9999999997963</v>
      </c>
      <c r="AK96" s="25"/>
      <c r="AL96" s="25"/>
      <c r="AM96" s="25"/>
      <c r="AN96" s="25"/>
      <c r="AO96" s="51" t="s">
        <v>1338</v>
      </c>
      <c r="AP96" s="80">
        <v>4599.9999999997963</v>
      </c>
      <c r="AQ96" s="25"/>
      <c r="AR96" s="25"/>
      <c r="AS96" s="26"/>
      <c r="AT96" s="20" t="s">
        <v>867</v>
      </c>
      <c r="AW96" s="25"/>
      <c r="AX96" s="25"/>
      <c r="AY96" s="37"/>
      <c r="AZ96" s="25"/>
      <c r="BA96" s="35"/>
      <c r="BB96" s="25"/>
      <c r="BC96" s="25"/>
      <c r="BD96" s="25"/>
      <c r="BE96" s="25"/>
      <c r="BF96" s="25"/>
      <c r="BG96" s="25"/>
      <c r="BH96" s="25"/>
      <c r="BI96" s="37"/>
      <c r="BJ96" s="25"/>
      <c r="BK96" s="25"/>
    </row>
    <row r="97" spans="3:63" x14ac:dyDescent="0.35">
      <c r="C97" s="25" t="str">
        <f ca="1"/>
        <v>XS1596739364</v>
      </c>
      <c r="D97" s="25" t="str">
        <f ca="1"/>
        <v>VOON</v>
      </c>
      <c r="E97" s="35">
        <f ca="1"/>
        <v>103.505</v>
      </c>
      <c r="F97" s="102"/>
      <c r="G97" s="102">
        <f ca="1"/>
        <v>1859000</v>
      </c>
      <c r="H97" s="25">
        <f ca="1"/>
        <v>799.37000000011835</v>
      </c>
      <c r="I97" s="37">
        <f ca="1"/>
        <v>0</v>
      </c>
      <c r="J97" s="37" t="str">
        <f ca="1"/>
        <v>BGN</v>
      </c>
      <c r="K97" s="35" t="str">
        <f ca="1"/>
        <v>EUR</v>
      </c>
      <c r="L97" s="102">
        <f ca="1"/>
        <v>799.37000000011835</v>
      </c>
      <c r="M97" s="102">
        <f ca="1"/>
        <v>799.37000000011835</v>
      </c>
      <c r="N97" s="19">
        <f ca="1"/>
        <v>103.548</v>
      </c>
      <c r="Q97" s="20" t="s">
        <v>867</v>
      </c>
      <c r="R97" s="24"/>
      <c r="S97" s="25">
        <f ca="1"/>
        <v>56</v>
      </c>
      <c r="T97" s="19" t="str">
        <f ca="1"/>
        <v>XS1596739364</v>
      </c>
      <c r="U97" s="25" t="str">
        <f ca="1"/>
        <v>MRDGF 1 3/8 04/11/25</v>
      </c>
      <c r="V97" s="64">
        <f ca="1"/>
        <v>1859000</v>
      </c>
      <c r="W97" s="70">
        <f ca="1"/>
        <v>2.74</v>
      </c>
      <c r="X97" s="71">
        <f ca="1"/>
        <v>103.505</v>
      </c>
      <c r="Y97" s="71">
        <f ca="1"/>
        <v>103.548</v>
      </c>
      <c r="Z97" s="57" t="str">
        <f ca="1"/>
        <v>VOON</v>
      </c>
      <c r="AA97" s="57" t="str">
        <f ca="1"/>
        <v>Bond Corporate</v>
      </c>
      <c r="AB97" s="56">
        <f ca="1"/>
        <v>799.37000000011835</v>
      </c>
      <c r="AC97" s="56">
        <f ca="1">IFERROR(IF(ISBLANK(AB97),"-",AB97-_xlfn.XLOOKUP(T97,AI:AI,AJ:AJ)),"-")</f>
        <v>0</v>
      </c>
      <c r="AD97" s="56">
        <f ca="1">IFERROR(IF(ISBLANK(AB97),"-",AB97-_xlfn.XLOOKUP(T97,AO:AO,AP:AP)),"-")</f>
        <v>55.770000000002028</v>
      </c>
      <c r="AE97" s="25"/>
      <c r="AF97" s="25"/>
      <c r="AG97" s="25"/>
      <c r="AH97" s="25"/>
      <c r="AI97" s="51" t="s">
        <v>131</v>
      </c>
      <c r="AJ97" s="80">
        <v>799.37000000011835</v>
      </c>
      <c r="AK97" s="25"/>
      <c r="AL97" s="25"/>
      <c r="AM97" s="25"/>
      <c r="AN97" s="25"/>
      <c r="AO97" s="51" t="s">
        <v>131</v>
      </c>
      <c r="AP97" s="80">
        <v>799.37000000011835</v>
      </c>
      <c r="AQ97" s="25"/>
      <c r="AR97" s="25"/>
      <c r="AS97" s="26"/>
      <c r="AT97" s="20" t="s">
        <v>867</v>
      </c>
      <c r="AW97" s="25"/>
      <c r="AX97" s="25"/>
      <c r="AY97" s="37"/>
      <c r="AZ97" s="25"/>
      <c r="BA97" s="35"/>
      <c r="BB97" s="25"/>
      <c r="BC97" s="25"/>
      <c r="BD97" s="25"/>
      <c r="BE97" s="25"/>
      <c r="BF97" s="25"/>
      <c r="BG97" s="25"/>
      <c r="BH97" s="25"/>
      <c r="BI97" s="37"/>
      <c r="BJ97" s="25"/>
      <c r="BK97" s="25"/>
    </row>
    <row r="98" spans="3:63" x14ac:dyDescent="0.35">
      <c r="C98" s="25" t="str">
        <f ca="1"/>
        <v>XS1396767854</v>
      </c>
      <c r="D98" s="25" t="str">
        <f ca="1"/>
        <v>VOON</v>
      </c>
      <c r="E98" s="35">
        <f ca="1"/>
        <v>106.261</v>
      </c>
      <c r="F98" s="102"/>
      <c r="G98" s="102">
        <f ca="1"/>
        <v>2300000</v>
      </c>
      <c r="H98" s="25">
        <f ca="1"/>
        <v>1748.0000000001753</v>
      </c>
      <c r="I98" s="37">
        <f ca="1"/>
        <v>0</v>
      </c>
      <c r="J98" s="37" t="str">
        <f ca="1"/>
        <v>BGN</v>
      </c>
      <c r="K98" s="35" t="str">
        <f ca="1"/>
        <v>EUR</v>
      </c>
      <c r="L98" s="102">
        <f ca="1"/>
        <v>1748.0000000001753</v>
      </c>
      <c r="M98" s="102">
        <f ca="1"/>
        <v>1748.0000000001753</v>
      </c>
      <c r="N98" s="19">
        <f ca="1"/>
        <v>106.337</v>
      </c>
      <c r="Q98" s="20" t="s">
        <v>867</v>
      </c>
      <c r="R98" s="24"/>
      <c r="S98" s="25">
        <f ca="1"/>
        <v>57</v>
      </c>
      <c r="T98" s="19" t="str">
        <f ca="1"/>
        <v>XS1396767854</v>
      </c>
      <c r="U98" s="25" t="str">
        <f ca="1"/>
        <v>NTGYSM 1 1/4 04/19/26</v>
      </c>
      <c r="V98" s="64">
        <f ca="1"/>
        <v>2300000</v>
      </c>
      <c r="W98" s="70">
        <f ca="1"/>
        <v>2.14</v>
      </c>
      <c r="X98" s="71">
        <f ca="1"/>
        <v>106.261</v>
      </c>
      <c r="Y98" s="71">
        <f ca="1"/>
        <v>106.337</v>
      </c>
      <c r="Z98" s="57" t="str">
        <f ca="1"/>
        <v>VOON</v>
      </c>
      <c r="AA98" s="57" t="str">
        <f ca="1"/>
        <v>Bond Corporate</v>
      </c>
      <c r="AB98" s="56">
        <f ca="1"/>
        <v>1748.0000000001753</v>
      </c>
      <c r="AC98" s="56">
        <f ca="1">IFERROR(IF(ISBLANK(AB98),"-",AB98-_xlfn.XLOOKUP(T98,AI:AI,AJ:AJ)),"-")</f>
        <v>0</v>
      </c>
      <c r="AD98" s="56">
        <f ca="1">IFERROR(IF(ISBLANK(AB98),"-",AB98-_xlfn.XLOOKUP(T98,AO:AO,AP:AP)),"-")</f>
        <v>46.00000000021987</v>
      </c>
      <c r="AE98" s="25"/>
      <c r="AF98" s="25"/>
      <c r="AG98" s="25"/>
      <c r="AH98" s="25"/>
      <c r="AI98" s="51" t="s">
        <v>133</v>
      </c>
      <c r="AJ98" s="80">
        <v>1748.0000000001753</v>
      </c>
      <c r="AK98" s="25"/>
      <c r="AL98" s="25"/>
      <c r="AM98" s="25"/>
      <c r="AN98" s="25"/>
      <c r="AO98" s="51" t="s">
        <v>133</v>
      </c>
      <c r="AP98" s="80">
        <v>1748.0000000001753</v>
      </c>
      <c r="AQ98" s="25"/>
      <c r="AR98" s="25"/>
      <c r="AS98" s="26"/>
      <c r="AT98" s="20" t="s">
        <v>867</v>
      </c>
      <c r="AW98" s="25"/>
      <c r="AX98" s="25"/>
      <c r="AY98" s="37"/>
      <c r="AZ98" s="25"/>
      <c r="BA98" s="35"/>
      <c r="BB98" s="25"/>
      <c r="BC98" s="25"/>
      <c r="BD98" s="25"/>
      <c r="BE98" s="25"/>
      <c r="BF98" s="25"/>
      <c r="BG98" s="25"/>
      <c r="BH98" s="25"/>
      <c r="BI98" s="37"/>
      <c r="BJ98" s="25"/>
      <c r="BK98" s="25"/>
    </row>
    <row r="99" spans="3:63" x14ac:dyDescent="0.35">
      <c r="C99" s="25" t="str">
        <f ca="1"/>
        <v>XS2156506854</v>
      </c>
      <c r="D99" s="25" t="str">
        <f ca="1"/>
        <v>VOON</v>
      </c>
      <c r="E99" s="35">
        <f ca="1"/>
        <v>106.249</v>
      </c>
      <c r="F99" s="102"/>
      <c r="G99" s="102">
        <f ca="1"/>
        <v>-3000000</v>
      </c>
      <c r="H99" s="25">
        <f ca="1"/>
        <v>-1380.0000000001944</v>
      </c>
      <c r="I99" s="37">
        <f ca="1"/>
        <v>0</v>
      </c>
      <c r="J99" s="37" t="str">
        <f ca="1"/>
        <v>BGN</v>
      </c>
      <c r="K99" s="35" t="str">
        <f ca="1"/>
        <v>EUR</v>
      </c>
      <c r="L99" s="102">
        <f ca="1"/>
        <v>-1380.0000000001944</v>
      </c>
      <c r="M99" s="102">
        <f ca="1"/>
        <v>-1380.0000000001944</v>
      </c>
      <c r="N99" s="19">
        <f ca="1"/>
        <v>106.295</v>
      </c>
      <c r="Q99" s="20" t="s">
        <v>867</v>
      </c>
      <c r="R99" s="24"/>
      <c r="S99" s="25">
        <f ca="1"/>
        <v>58</v>
      </c>
      <c r="T99" s="19" t="str">
        <f ca="1"/>
        <v>XS2156506854</v>
      </c>
      <c r="U99" s="25" t="str">
        <f ca="1"/>
        <v>NTGYSM 1 1/4 01/15/26</v>
      </c>
      <c r="V99" s="64">
        <f ca="1"/>
        <v>-3000000</v>
      </c>
      <c r="W99" s="70">
        <f ca="1"/>
        <v>-2.4700000000000002</v>
      </c>
      <c r="X99" s="71">
        <f ca="1"/>
        <v>106.249</v>
      </c>
      <c r="Y99" s="71">
        <f ca="1"/>
        <v>106.295</v>
      </c>
      <c r="Z99" s="57" t="str">
        <f ca="1"/>
        <v>VOON</v>
      </c>
      <c r="AA99" s="57" t="str">
        <f ca="1"/>
        <v>Bond Corporate</v>
      </c>
      <c r="AB99" s="56">
        <f ca="1"/>
        <v>-1380.0000000001944</v>
      </c>
      <c r="AC99" s="56">
        <f ca="1">IFERROR(IF(ISBLANK(AB99),"-",AB99-_xlfn.XLOOKUP(T99,AI:AI,AJ:AJ)),"-")</f>
        <v>0</v>
      </c>
      <c r="AD99" s="56">
        <f ca="1">IFERROR(IF(ISBLANK(AB99),"-",AB99-_xlfn.XLOOKUP(T99,AO:AO,AP:AP)),"-")</f>
        <v>0</v>
      </c>
      <c r="AE99" s="25"/>
      <c r="AF99" s="25"/>
      <c r="AG99" s="25"/>
      <c r="AH99" s="25"/>
      <c r="AI99" s="51" t="s">
        <v>136</v>
      </c>
      <c r="AJ99" s="80">
        <v>-1380.0000000001944</v>
      </c>
      <c r="AK99" s="25"/>
      <c r="AL99" s="25"/>
      <c r="AM99" s="25"/>
      <c r="AN99" s="25"/>
      <c r="AO99" s="51" t="s">
        <v>136</v>
      </c>
      <c r="AP99" s="80">
        <v>-1380.0000000001944</v>
      </c>
      <c r="AQ99" s="25"/>
      <c r="AR99" s="25"/>
      <c r="AS99" s="26"/>
      <c r="AT99" s="20" t="s">
        <v>867</v>
      </c>
      <c r="AW99" s="25"/>
      <c r="AX99" s="25"/>
      <c r="AY99" s="37"/>
      <c r="AZ99" s="25"/>
      <c r="BA99" s="35"/>
      <c r="BB99" s="25"/>
      <c r="BC99" s="25"/>
      <c r="BD99" s="25"/>
      <c r="BE99" s="25"/>
      <c r="BF99" s="25"/>
      <c r="BG99" s="25"/>
      <c r="BH99" s="25"/>
      <c r="BI99" s="37"/>
      <c r="BJ99" s="25"/>
      <c r="BK99" s="25"/>
    </row>
    <row r="100" spans="3:63" x14ac:dyDescent="0.35">
      <c r="C100" s="25" t="str">
        <f ca="1"/>
        <v>XS1917590959</v>
      </c>
      <c r="D100" s="25" t="str">
        <f ca="1"/>
        <v>VOON</v>
      </c>
      <c r="E100" s="35">
        <f ca="1"/>
        <v>114.499</v>
      </c>
      <c r="F100" s="102"/>
      <c r="G100" s="102">
        <f ca="1"/>
        <v>-1000000</v>
      </c>
      <c r="H100" s="25">
        <f ca="1"/>
        <v>-1780.0000000001151</v>
      </c>
      <c r="I100" s="37">
        <f ca="1"/>
        <v>0</v>
      </c>
      <c r="J100" s="37" t="str">
        <f ca="1"/>
        <v>BGN</v>
      </c>
      <c r="K100" s="35" t="str">
        <f ca="1"/>
        <v>EUR</v>
      </c>
      <c r="L100" s="102">
        <f ca="1"/>
        <v>-1780.0000000001151</v>
      </c>
      <c r="M100" s="102">
        <f ca="1"/>
        <v>-1780.0000000001151</v>
      </c>
      <c r="N100" s="19">
        <f ca="1"/>
        <v>114.67700000000001</v>
      </c>
      <c r="Q100" s="20" t="s">
        <v>867</v>
      </c>
      <c r="R100" s="24"/>
      <c r="S100" s="25">
        <f ca="1"/>
        <v>59</v>
      </c>
      <c r="T100" s="19" t="str">
        <f ca="1"/>
        <v>XS1917590959</v>
      </c>
      <c r="U100" s="25" t="str">
        <f ca="1"/>
        <v>OMVAV 1 7/8 12/04/28</v>
      </c>
      <c r="V100" s="64">
        <f ca="1"/>
        <v>-1000000</v>
      </c>
      <c r="W100" s="70">
        <f ca="1"/>
        <v>-1.06</v>
      </c>
      <c r="X100" s="71">
        <f ca="1"/>
        <v>114.499</v>
      </c>
      <c r="Y100" s="71">
        <f ca="1"/>
        <v>114.67700000000001</v>
      </c>
      <c r="Z100" s="57" t="str">
        <f ca="1"/>
        <v>VOON</v>
      </c>
      <c r="AA100" s="57" t="str">
        <f ca="1"/>
        <v>Bond Corporate</v>
      </c>
      <c r="AB100" s="56">
        <f ca="1"/>
        <v>-1780.0000000001151</v>
      </c>
      <c r="AC100" s="56">
        <f ca="1">IFERROR(IF(ISBLANK(AB100),"-",AB100-_xlfn.XLOOKUP(T100,AI:AI,AJ:AJ)),"-")</f>
        <v>0</v>
      </c>
      <c r="AD100" s="56">
        <f ca="1">IFERROR(IF(ISBLANK(AB100),"-",AB100-_xlfn.XLOOKUP(T100,AO:AO,AP:AP)),"-")</f>
        <v>109.99999999995657</v>
      </c>
      <c r="AE100" s="25"/>
      <c r="AF100" s="25"/>
      <c r="AG100" s="25"/>
      <c r="AH100" s="25"/>
      <c r="AI100" s="51" t="s">
        <v>138</v>
      </c>
      <c r="AJ100" s="80">
        <v>-1780.0000000001151</v>
      </c>
      <c r="AK100" s="25"/>
      <c r="AL100" s="25"/>
      <c r="AM100" s="25"/>
      <c r="AN100" s="25"/>
      <c r="AO100" s="51" t="s">
        <v>138</v>
      </c>
      <c r="AP100" s="80">
        <v>-1780.0000000001151</v>
      </c>
      <c r="AQ100" s="25"/>
      <c r="AR100" s="25"/>
      <c r="AS100" s="26"/>
      <c r="AT100" s="20" t="s">
        <v>867</v>
      </c>
      <c r="AW100" s="25"/>
      <c r="AX100" s="25"/>
      <c r="AY100" s="37"/>
      <c r="AZ100" s="25"/>
      <c r="BA100" s="35"/>
      <c r="BB100" s="25"/>
      <c r="BC100" s="25"/>
      <c r="BD100" s="25"/>
      <c r="BE100" s="25"/>
      <c r="BF100" s="25"/>
      <c r="BG100" s="25"/>
      <c r="BH100" s="25"/>
      <c r="BI100" s="37"/>
      <c r="BJ100" s="25"/>
      <c r="BK100" s="25"/>
    </row>
    <row r="101" spans="3:63" x14ac:dyDescent="0.35">
      <c r="C101" s="25" t="str">
        <f ca="1"/>
        <v>XS2154347293</v>
      </c>
      <c r="D101" s="25" t="str">
        <f ca="1"/>
        <v>VOON</v>
      </c>
      <c r="E101" s="35">
        <f ca="1"/>
        <v>105.676</v>
      </c>
      <c r="F101" s="102"/>
      <c r="G101" s="102">
        <f ca="1"/>
        <v>719000</v>
      </c>
      <c r="H101" s="25">
        <f ca="1"/>
        <v>158.17999999993788</v>
      </c>
      <c r="I101" s="37">
        <f ca="1"/>
        <v>0</v>
      </c>
      <c r="J101" s="37" t="str">
        <f ca="1"/>
        <v>BGN</v>
      </c>
      <c r="K101" s="35" t="str">
        <f ca="1"/>
        <v>EUR</v>
      </c>
      <c r="L101" s="102">
        <f ca="1"/>
        <v>158.17999999993788</v>
      </c>
      <c r="M101" s="102">
        <f ca="1"/>
        <v>158.17999999993788</v>
      </c>
      <c r="N101" s="19">
        <f ca="1"/>
        <v>105.69799999999999</v>
      </c>
      <c r="Q101" s="20" t="s">
        <v>867</v>
      </c>
      <c r="R101" s="24"/>
      <c r="S101" s="25">
        <f ca="1"/>
        <v>60</v>
      </c>
      <c r="T101" s="19" t="str">
        <f ca="1"/>
        <v>XS2154347293</v>
      </c>
      <c r="U101" s="25" t="str">
        <f ca="1"/>
        <v>OMVAV 1 1/2 04/09/24</v>
      </c>
      <c r="V101" s="64">
        <f ca="1"/>
        <v>719000</v>
      </c>
      <c r="W101" s="70">
        <f ca="1"/>
        <v>0.26</v>
      </c>
      <c r="X101" s="71">
        <f ca="1"/>
        <v>105.676</v>
      </c>
      <c r="Y101" s="71">
        <f ca="1"/>
        <v>105.69799999999999</v>
      </c>
      <c r="Z101" s="57" t="str">
        <f ca="1"/>
        <v>VOON</v>
      </c>
      <c r="AA101" s="57" t="str">
        <f ca="1"/>
        <v>Bond Corporate</v>
      </c>
      <c r="AB101" s="56">
        <f ca="1"/>
        <v>158.17999999993788</v>
      </c>
      <c r="AC101" s="56">
        <f ca="1">IFERROR(IF(ISBLANK(AB101),"-",AB101-_xlfn.XLOOKUP(T101,AI:AI,AJ:AJ)),"-")</f>
        <v>0</v>
      </c>
      <c r="AD101" s="56">
        <f ca="1">IFERROR(IF(ISBLANK(AB101),"-",AB101-_xlfn.XLOOKUP(T101,AO:AO,AP:AP)),"-")</f>
        <v>-14.380000000068662</v>
      </c>
      <c r="AE101" s="25"/>
      <c r="AF101" s="25"/>
      <c r="AG101" s="25"/>
      <c r="AH101" s="25"/>
      <c r="AI101" s="51" t="s">
        <v>141</v>
      </c>
      <c r="AJ101" s="80">
        <v>158.17999999993788</v>
      </c>
      <c r="AK101" s="25"/>
      <c r="AL101" s="25"/>
      <c r="AM101" s="25"/>
      <c r="AN101" s="25"/>
      <c r="AO101" s="51" t="s">
        <v>141</v>
      </c>
      <c r="AP101" s="80">
        <v>158.17999999993788</v>
      </c>
      <c r="AQ101" s="25"/>
      <c r="AR101" s="25"/>
      <c r="AS101" s="26"/>
      <c r="AT101" s="20" t="s">
        <v>867</v>
      </c>
      <c r="AW101" s="25"/>
      <c r="AX101" s="25"/>
      <c r="AY101" s="37"/>
      <c r="AZ101" s="25"/>
      <c r="BA101" s="35"/>
      <c r="BB101" s="25"/>
      <c r="BC101" s="25"/>
      <c r="BD101" s="25"/>
      <c r="BE101" s="25"/>
      <c r="BF101" s="25"/>
      <c r="BG101" s="25"/>
      <c r="BH101" s="25"/>
      <c r="BI101" s="37"/>
      <c r="BJ101" s="25"/>
      <c r="BK101" s="25"/>
    </row>
    <row r="102" spans="3:63" x14ac:dyDescent="0.35">
      <c r="C102" s="25" t="str">
        <f ca="1"/>
        <v>FR0013396512</v>
      </c>
      <c r="D102" s="25" t="str">
        <f ca="1"/>
        <v>VOON</v>
      </c>
      <c r="E102" s="35">
        <f ca="1"/>
        <v>104.688</v>
      </c>
      <c r="F102" s="102"/>
      <c r="G102" s="102">
        <f ca="1"/>
        <v>-1400000</v>
      </c>
      <c r="H102" s="25">
        <f ca="1"/>
        <v>-69.999999999936335</v>
      </c>
      <c r="I102" s="37">
        <f ca="1"/>
        <v>0</v>
      </c>
      <c r="J102" s="37" t="str">
        <f ca="1"/>
        <v>BGN</v>
      </c>
      <c r="K102" s="35" t="str">
        <f ca="1"/>
        <v>EUR</v>
      </c>
      <c r="L102" s="102">
        <f ca="1"/>
        <v>-69.999999999936335</v>
      </c>
      <c r="M102" s="102">
        <f ca="1"/>
        <v>-69.999999999936335</v>
      </c>
      <c r="N102" s="19">
        <f ca="1"/>
        <v>104.693</v>
      </c>
      <c r="Q102" s="20" t="s">
        <v>867</v>
      </c>
      <c r="R102" s="24"/>
      <c r="S102" s="25">
        <f ca="1"/>
        <v>61</v>
      </c>
      <c r="T102" s="19" t="str">
        <f ca="1"/>
        <v>FR0013396512</v>
      </c>
      <c r="U102" s="25" t="str">
        <f ca="1"/>
        <v>ORAFP 1 1/8 07/15/24</v>
      </c>
      <c r="V102" s="64">
        <f ca="1"/>
        <v>-1400000</v>
      </c>
      <c r="W102" s="70">
        <f ca="1"/>
        <v>-0.57999999999999996</v>
      </c>
      <c r="X102" s="71">
        <f ca="1"/>
        <v>104.688</v>
      </c>
      <c r="Y102" s="71">
        <f ca="1"/>
        <v>104.693</v>
      </c>
      <c r="Z102" s="57" t="str">
        <f ca="1"/>
        <v>VOON</v>
      </c>
      <c r="AA102" s="57" t="str">
        <f ca="1"/>
        <v>Bond Corporate</v>
      </c>
      <c r="AB102" s="56">
        <f ca="1"/>
        <v>-69.999999999936335</v>
      </c>
      <c r="AC102" s="56">
        <f ca="1">IFERROR(IF(ISBLANK(AB102),"-",AB102-_xlfn.XLOOKUP(T102,AI:AI,AJ:AJ)),"-")</f>
        <v>0</v>
      </c>
      <c r="AD102" s="56">
        <f ca="1">IFERROR(IF(ISBLANK(AB102),"-",AB102-_xlfn.XLOOKUP(T102,AO:AO,AP:AP)),"-")</f>
        <v>-111.99999999993793</v>
      </c>
      <c r="AE102" s="25"/>
      <c r="AF102" s="25"/>
      <c r="AG102" s="25"/>
      <c r="AH102" s="25"/>
      <c r="AI102" s="51" t="s">
        <v>968</v>
      </c>
      <c r="AJ102" s="80">
        <v>-69.999999999936335</v>
      </c>
      <c r="AK102" s="25"/>
      <c r="AL102" s="25"/>
      <c r="AM102" s="25"/>
      <c r="AN102" s="25"/>
      <c r="AO102" s="51" t="s">
        <v>968</v>
      </c>
      <c r="AP102" s="80">
        <v>-69.999999999936335</v>
      </c>
      <c r="AQ102" s="25"/>
      <c r="AR102" s="25"/>
      <c r="AS102" s="26"/>
      <c r="AT102" s="20" t="s">
        <v>867</v>
      </c>
      <c r="AW102" s="25"/>
      <c r="AX102" s="25"/>
      <c r="AY102" s="37"/>
      <c r="AZ102" s="25"/>
      <c r="BA102" s="35"/>
      <c r="BB102" s="25"/>
      <c r="BC102" s="25"/>
      <c r="BD102" s="25"/>
      <c r="BE102" s="25"/>
      <c r="BF102" s="25"/>
      <c r="BG102" s="25"/>
      <c r="BH102" s="25"/>
      <c r="BI102" s="37"/>
      <c r="BJ102" s="25"/>
      <c r="BK102" s="25"/>
    </row>
    <row r="103" spans="3:63" x14ac:dyDescent="0.35">
      <c r="C103" s="25" t="str">
        <f ca="1"/>
        <v>XS2154419118</v>
      </c>
      <c r="D103" s="25" t="str">
        <f ca="1"/>
        <v>VOON</v>
      </c>
      <c r="E103" s="35">
        <f ca="1"/>
        <v>117.10299999999999</v>
      </c>
      <c r="F103" s="102"/>
      <c r="G103" s="102">
        <f ca="1"/>
        <v>-3000000</v>
      </c>
      <c r="H103" s="25">
        <f ca="1"/>
        <v>-9600.0000000002219</v>
      </c>
      <c r="I103" s="37">
        <f ca="1"/>
        <v>0</v>
      </c>
      <c r="J103" s="37" t="str">
        <f ca="1"/>
        <v>BGN</v>
      </c>
      <c r="K103" s="35" t="str">
        <f ca="1"/>
        <v>EUR</v>
      </c>
      <c r="L103" s="102">
        <f ca="1"/>
        <v>-9600.0000000002219</v>
      </c>
      <c r="M103" s="102">
        <f ca="1"/>
        <v>-9600.0000000002219</v>
      </c>
      <c r="N103" s="19">
        <f ca="1"/>
        <v>117.423</v>
      </c>
      <c r="Q103" s="20" t="s">
        <v>867</v>
      </c>
      <c r="R103" s="24"/>
      <c r="S103" s="25">
        <f ca="1"/>
        <v>62</v>
      </c>
      <c r="T103" s="19" t="str">
        <f ca="1"/>
        <v>XS2154419118</v>
      </c>
      <c r="U103" s="25" t="str">
        <f ca="1"/>
        <v>RDSALN 1 7/8 04/07/32</v>
      </c>
      <c r="V103" s="64">
        <f ca="1"/>
        <v>-3000000</v>
      </c>
      <c r="W103" s="70">
        <f ca="1"/>
        <v>-5.85</v>
      </c>
      <c r="X103" s="71">
        <f ca="1"/>
        <v>117.10299999999999</v>
      </c>
      <c r="Y103" s="71">
        <f ca="1"/>
        <v>117.423</v>
      </c>
      <c r="Z103" s="57" t="str">
        <f ca="1"/>
        <v>VOON</v>
      </c>
      <c r="AA103" s="57" t="str">
        <f ca="1"/>
        <v>Bond Corporate</v>
      </c>
      <c r="AB103" s="56">
        <f ca="1"/>
        <v>-9600.0000000002219</v>
      </c>
      <c r="AC103" s="56">
        <f ca="1">IFERROR(IF(ISBLANK(AB103),"-",AB103-_xlfn.XLOOKUP(T103,AI:AI,AJ:AJ)),"-")</f>
        <v>0</v>
      </c>
      <c r="AD103" s="56">
        <f ca="1">IFERROR(IF(ISBLANK(AB103),"-",AB103-_xlfn.XLOOKUP(T103,AO:AO,AP:AP)),"-")</f>
        <v>-90.000000000003638</v>
      </c>
      <c r="AE103" s="25"/>
      <c r="AF103" s="25"/>
      <c r="AG103" s="25"/>
      <c r="AH103" s="25"/>
      <c r="AI103" s="51" t="s">
        <v>143</v>
      </c>
      <c r="AJ103" s="80">
        <v>-9600.0000000002219</v>
      </c>
      <c r="AK103" s="25"/>
      <c r="AL103" s="25"/>
      <c r="AM103" s="25"/>
      <c r="AN103" s="25"/>
      <c r="AO103" s="51" t="s">
        <v>143</v>
      </c>
      <c r="AP103" s="80">
        <v>-9600.0000000002219</v>
      </c>
      <c r="AQ103" s="25"/>
      <c r="AR103" s="25"/>
      <c r="AS103" s="26"/>
      <c r="AT103" s="20" t="s">
        <v>867</v>
      </c>
      <c r="AW103" s="25"/>
      <c r="AX103" s="25"/>
      <c r="AY103" s="37"/>
      <c r="AZ103" s="25"/>
      <c r="BA103" s="35"/>
      <c r="BB103" s="25"/>
      <c r="BC103" s="25"/>
      <c r="BD103" s="25"/>
      <c r="BE103" s="25"/>
      <c r="BF103" s="25"/>
      <c r="BG103" s="25"/>
      <c r="BH103" s="25"/>
      <c r="BI103" s="37"/>
      <c r="BJ103" s="25"/>
      <c r="BK103" s="25"/>
    </row>
    <row r="104" spans="3:63" x14ac:dyDescent="0.35">
      <c r="C104" s="25" t="str">
        <f ca="1"/>
        <v>XS1411401083</v>
      </c>
      <c r="D104" s="25" t="str">
        <f ca="1"/>
        <v>VOON</v>
      </c>
      <c r="E104" s="35">
        <f ca="1"/>
        <v>109.346</v>
      </c>
      <c r="F104" s="102"/>
      <c r="G104" s="102">
        <f ca="1"/>
        <v>-1535000</v>
      </c>
      <c r="H104" s="25">
        <f ca="1"/>
        <v>-1181.9499999999721</v>
      </c>
      <c r="I104" s="37">
        <f ca="1"/>
        <v>0</v>
      </c>
      <c r="J104" s="37" t="str">
        <f ca="1"/>
        <v>BGN</v>
      </c>
      <c r="K104" s="35" t="str">
        <f ca="1"/>
        <v>EUR</v>
      </c>
      <c r="L104" s="102">
        <f ca="1"/>
        <v>-1181.9499999999721</v>
      </c>
      <c r="M104" s="102">
        <f ca="1"/>
        <v>-1181.9499999999721</v>
      </c>
      <c r="N104" s="19">
        <f ca="1"/>
        <v>109.423</v>
      </c>
      <c r="Q104" s="20" t="s">
        <v>867</v>
      </c>
      <c r="R104" s="24"/>
      <c r="S104" s="25">
        <f ca="1"/>
        <v>63</v>
      </c>
      <c r="T104" s="19" t="str">
        <f ca="1"/>
        <v>XS1411401083</v>
      </c>
      <c r="U104" s="25" t="str">
        <f ca="1"/>
        <v>RDSALN 1 1/4 05/12/28</v>
      </c>
      <c r="V104" s="64">
        <f ca="1"/>
        <v>-1535000</v>
      </c>
      <c r="W104" s="70">
        <f ca="1"/>
        <v>-1.34</v>
      </c>
      <c r="X104" s="71">
        <f ca="1"/>
        <v>109.346</v>
      </c>
      <c r="Y104" s="71">
        <f ca="1"/>
        <v>109.423</v>
      </c>
      <c r="Z104" s="57" t="str">
        <f ca="1"/>
        <v>VOON</v>
      </c>
      <c r="AA104" s="57" t="str">
        <f ca="1"/>
        <v>Bond Corporate</v>
      </c>
      <c r="AB104" s="56">
        <f ca="1"/>
        <v>-1181.9499999999721</v>
      </c>
      <c r="AC104" s="56">
        <f ca="1">IFERROR(IF(ISBLANK(AB104),"-",AB104-_xlfn.XLOOKUP(T104,AI:AI,AJ:AJ)),"-")</f>
        <v>0</v>
      </c>
      <c r="AD104" s="56">
        <f ca="1">IFERROR(IF(ISBLANK(AB104),"-",AB104-_xlfn.XLOOKUP(T104,AO:AO,AP:AP)),"-")</f>
        <v>15.350000000073351</v>
      </c>
      <c r="AE104" s="25"/>
      <c r="AF104" s="25"/>
      <c r="AG104" s="25"/>
      <c r="AH104" s="25"/>
      <c r="AI104" s="51" t="s">
        <v>146</v>
      </c>
      <c r="AJ104" s="80">
        <v>-1181.9499999999721</v>
      </c>
      <c r="AK104" s="25"/>
      <c r="AL104" s="25"/>
      <c r="AM104" s="25"/>
      <c r="AN104" s="25"/>
      <c r="AO104" s="51" t="s">
        <v>146</v>
      </c>
      <c r="AP104" s="80">
        <v>-1181.9499999999721</v>
      </c>
      <c r="AQ104" s="25"/>
      <c r="AR104" s="25"/>
      <c r="AS104" s="26"/>
      <c r="AT104" s="20" t="s">
        <v>867</v>
      </c>
      <c r="AW104" s="25"/>
      <c r="AX104" s="25"/>
      <c r="AY104" s="37"/>
      <c r="AZ104" s="25"/>
      <c r="BA104" s="35"/>
      <c r="BB104" s="25"/>
      <c r="BC104" s="25"/>
      <c r="BD104" s="25"/>
      <c r="BE104" s="25"/>
      <c r="BF104" s="25"/>
      <c r="BG104" s="25"/>
      <c r="BH104" s="25"/>
      <c r="BI104" s="37"/>
      <c r="BJ104" s="25"/>
      <c r="BK104" s="25"/>
    </row>
    <row r="105" spans="3:63" x14ac:dyDescent="0.35">
      <c r="C105" s="25" t="str">
        <f ca="1"/>
        <v>XS1048529041</v>
      </c>
      <c r="D105" s="25" t="str">
        <f ca="1"/>
        <v>VOON</v>
      </c>
      <c r="E105" s="35">
        <f ca="1"/>
        <v>114.747</v>
      </c>
      <c r="F105" s="102"/>
      <c r="G105" s="102">
        <f ca="1"/>
        <v>3000000</v>
      </c>
      <c r="H105" s="25">
        <f ca="1"/>
        <v>1020.0000000001808</v>
      </c>
      <c r="I105" s="37">
        <f ca="1"/>
        <v>0</v>
      </c>
      <c r="J105" s="37" t="str">
        <f ca="1"/>
        <v>BGN</v>
      </c>
      <c r="K105" s="35" t="str">
        <f ca="1"/>
        <v>EUR</v>
      </c>
      <c r="L105" s="102">
        <f ca="1"/>
        <v>1020.0000000001808</v>
      </c>
      <c r="M105" s="102">
        <f ca="1"/>
        <v>1020.0000000001808</v>
      </c>
      <c r="N105" s="19">
        <f ca="1"/>
        <v>114.78100000000001</v>
      </c>
      <c r="Q105" s="20" t="s">
        <v>867</v>
      </c>
      <c r="R105" s="24"/>
      <c r="S105" s="25">
        <f ca="1"/>
        <v>64</v>
      </c>
      <c r="T105" s="19" t="str">
        <f ca="1"/>
        <v>XS1048529041</v>
      </c>
      <c r="U105" s="25" t="str">
        <f ca="1"/>
        <v>RDSALN 2 1/2 03/24/26</v>
      </c>
      <c r="V105" s="64">
        <f ca="1"/>
        <v>3000000</v>
      </c>
      <c r="W105" s="70">
        <f ca="1"/>
        <v>1.1000000000000001</v>
      </c>
      <c r="X105" s="71">
        <f ca="1"/>
        <v>114.747</v>
      </c>
      <c r="Y105" s="71">
        <f ca="1"/>
        <v>114.78100000000001</v>
      </c>
      <c r="Z105" s="57" t="str">
        <f ca="1"/>
        <v>VOON</v>
      </c>
      <c r="AA105" s="57" t="str">
        <f ca="1"/>
        <v>Bond Corporate</v>
      </c>
      <c r="AB105" s="56">
        <f ca="1"/>
        <v>1020.0000000001808</v>
      </c>
      <c r="AC105" s="56">
        <f ca="1">IFERROR(IF(ISBLANK(AB105),"-",AB105-_xlfn.XLOOKUP(T105,AI:AI,AJ:AJ)),"-")</f>
        <v>0</v>
      </c>
      <c r="AD105" s="56">
        <f ca="1">IFERROR(IF(ISBLANK(AB105),"-",AB105-_xlfn.XLOOKUP(T105,AO:AO,AP:AP)),"-")</f>
        <v>180.00000000000682</v>
      </c>
      <c r="AE105" s="25"/>
      <c r="AF105" s="25"/>
      <c r="AG105" s="25"/>
      <c r="AH105" s="25"/>
      <c r="AI105" s="51" t="s">
        <v>148</v>
      </c>
      <c r="AJ105" s="80">
        <v>1020.0000000001808</v>
      </c>
      <c r="AK105" s="25"/>
      <c r="AL105" s="25"/>
      <c r="AM105" s="25"/>
      <c r="AN105" s="25"/>
      <c r="AO105" s="51" t="s">
        <v>148</v>
      </c>
      <c r="AP105" s="80">
        <v>1020.0000000001808</v>
      </c>
      <c r="AQ105" s="25"/>
      <c r="AR105" s="25"/>
      <c r="AS105" s="26"/>
      <c r="AT105" s="20" t="s">
        <v>867</v>
      </c>
      <c r="AW105" s="25"/>
      <c r="AX105" s="25"/>
      <c r="AY105" s="37"/>
      <c r="AZ105" s="25"/>
      <c r="BA105" s="35"/>
      <c r="BB105" s="25"/>
      <c r="BC105" s="25"/>
      <c r="BD105" s="25"/>
      <c r="BE105" s="25"/>
      <c r="BF105" s="25"/>
      <c r="BG105" s="25"/>
      <c r="BH105" s="25"/>
      <c r="BI105" s="37"/>
      <c r="BJ105" s="25"/>
      <c r="BK105" s="25"/>
    </row>
    <row r="106" spans="3:63" x14ac:dyDescent="0.35">
      <c r="C106" s="25" t="str">
        <f ca="1"/>
        <v>XS2178957077</v>
      </c>
      <c r="D106" s="25" t="str">
        <f ca="1"/>
        <v>VOON</v>
      </c>
      <c r="E106" s="35">
        <f ca="1"/>
        <v>106.462</v>
      </c>
      <c r="F106" s="102"/>
      <c r="G106" s="102">
        <f ca="1"/>
        <v>-1000000</v>
      </c>
      <c r="H106" s="25">
        <f ca="1"/>
        <v>-669.99999999993054</v>
      </c>
      <c r="I106" s="37">
        <f ca="1"/>
        <v>0</v>
      </c>
      <c r="J106" s="37" t="str">
        <f ca="1"/>
        <v>BGN</v>
      </c>
      <c r="K106" s="35" t="str">
        <f ca="1"/>
        <v>EUR</v>
      </c>
      <c r="L106" s="102">
        <f ca="1"/>
        <v>-669.99999999993054</v>
      </c>
      <c r="M106" s="102">
        <f ca="1"/>
        <v>-669.99999999993054</v>
      </c>
      <c r="N106" s="19">
        <f ca="1"/>
        <v>106.529</v>
      </c>
      <c r="Q106" s="20" t="s">
        <v>867</v>
      </c>
      <c r="R106" s="24"/>
      <c r="S106" s="25">
        <f ca="1"/>
        <v>65</v>
      </c>
      <c r="T106" s="19" t="str">
        <f ca="1"/>
        <v>XS2178957077</v>
      </c>
      <c r="U106" s="25" t="str">
        <f ca="1"/>
        <v>REDEXS 1 7/8 05/28/25</v>
      </c>
      <c r="V106" s="64">
        <f ca="1"/>
        <v>-1000000</v>
      </c>
      <c r="W106" s="70">
        <f ca="1"/>
        <v>-1.33</v>
      </c>
      <c r="X106" s="71">
        <f ca="1"/>
        <v>106.462</v>
      </c>
      <c r="Y106" s="71">
        <f ca="1"/>
        <v>106.529</v>
      </c>
      <c r="Z106" s="57" t="str">
        <f ca="1"/>
        <v>VOON</v>
      </c>
      <c r="AA106" s="57" t="str">
        <f ca="1"/>
        <v>Bond Corporate</v>
      </c>
      <c r="AB106" s="56">
        <f ca="1"/>
        <v>-669.99999999993054</v>
      </c>
      <c r="AC106" s="56">
        <f ca="1">IFERROR(IF(ISBLANK(AB106),"-",AB106-_xlfn.XLOOKUP(T106,AI:AI,AJ:AJ)),"-")</f>
        <v>0</v>
      </c>
      <c r="AD106" s="56">
        <f ca="1">IFERROR(IF(ISBLANK(AB106),"-",AB106-_xlfn.XLOOKUP(T106,AO:AO,AP:AP)),"-")</f>
        <v>70.000000000050136</v>
      </c>
      <c r="AE106" s="25"/>
      <c r="AF106" s="25"/>
      <c r="AG106" s="25"/>
      <c r="AH106" s="25"/>
      <c r="AI106" s="51" t="s">
        <v>888</v>
      </c>
      <c r="AJ106" s="80">
        <v>-669.99999999993054</v>
      </c>
      <c r="AK106" s="25"/>
      <c r="AL106" s="25"/>
      <c r="AM106" s="25"/>
      <c r="AN106" s="25"/>
      <c r="AO106" s="51" t="s">
        <v>888</v>
      </c>
      <c r="AP106" s="80">
        <v>-669.99999999993054</v>
      </c>
      <c r="AQ106" s="25"/>
      <c r="AR106" s="25"/>
      <c r="AS106" s="26"/>
      <c r="AT106" s="20" t="s">
        <v>867</v>
      </c>
      <c r="AW106" s="25"/>
      <c r="AX106" s="25"/>
      <c r="AY106" s="37"/>
      <c r="AZ106" s="25"/>
      <c r="BA106" s="35"/>
      <c r="BB106" s="25"/>
      <c r="BC106" s="25"/>
      <c r="BD106" s="25"/>
      <c r="BE106" s="25"/>
      <c r="BF106" s="25"/>
      <c r="BG106" s="25"/>
      <c r="BH106" s="25"/>
      <c r="BI106" s="37"/>
      <c r="BJ106" s="25"/>
      <c r="BK106" s="25"/>
    </row>
    <row r="107" spans="3:63" x14ac:dyDescent="0.35">
      <c r="C107" s="25" t="str">
        <f ca="1"/>
        <v>FR0014000NZ4</v>
      </c>
      <c r="D107" s="25" t="str">
        <f ca="1"/>
        <v>VOON</v>
      </c>
      <c r="E107" s="35">
        <f ca="1"/>
        <v>100</v>
      </c>
      <c r="F107" s="102"/>
      <c r="G107" s="102">
        <f ca="1"/>
        <v>1000000</v>
      </c>
      <c r="H107" s="25" t="str">
        <f ca="1"/>
        <v>-</v>
      </c>
      <c r="I107" s="37">
        <f ca="1"/>
        <v>0</v>
      </c>
      <c r="J107" s="37" t="str">
        <f ca="1"/>
        <v/>
      </c>
      <c r="K107" s="35" t="str">
        <f ca="1"/>
        <v>EUR</v>
      </c>
      <c r="L107" s="102" t="str">
        <f ca="1"/>
        <v>-</v>
      </c>
      <c r="M107" s="102" t="str">
        <f ca="1"/>
        <v>-</v>
      </c>
      <c r="N107" s="19" t="str">
        <f ca="1"/>
        <v>#N/A Invalid Security</v>
      </c>
      <c r="Q107" s="20" t="s">
        <v>867</v>
      </c>
      <c r="R107" s="24"/>
      <c r="S107" s="25">
        <f ca="1"/>
        <v>66</v>
      </c>
      <c r="T107" s="19" t="str">
        <f ca="1"/>
        <v>FR0014000NZ4</v>
      </c>
      <c r="U107" s="25" t="str">
        <f ca="1"/>
        <v>RENAUL 2 3/8 05/25/26</v>
      </c>
      <c r="V107" s="64">
        <f ca="1"/>
        <v>0</v>
      </c>
      <c r="W107" s="70">
        <f ca="1"/>
        <v>0</v>
      </c>
      <c r="X107" s="71">
        <f ca="1"/>
        <v>100</v>
      </c>
      <c r="Y107" s="71" t="str">
        <f ca="1"/>
        <v>-</v>
      </c>
      <c r="Z107" s="57" t="str">
        <f ca="1"/>
        <v>VOON</v>
      </c>
      <c r="AA107" s="57" t="str">
        <f ca="1"/>
        <v>Bond Corporate</v>
      </c>
      <c r="AB107" s="56" t="str">
        <f ca="1"/>
        <v>-</v>
      </c>
      <c r="AC107" s="56" t="str">
        <f ca="1">IFERROR(IF(ISBLANK(AB107),"-",AB107-_xlfn.XLOOKUP(T107,AI:AI,AJ:AJ)),"-")</f>
        <v>-</v>
      </c>
      <c r="AD107" s="56" t="str">
        <f ca="1">IFERROR(IF(ISBLANK(AB107),"-",AB107-_xlfn.XLOOKUP(T107,AO:AO,AP:AP)),"-")</f>
        <v>-</v>
      </c>
      <c r="AE107" s="25"/>
      <c r="AF107" s="25"/>
      <c r="AG107" s="25"/>
      <c r="AH107" s="25"/>
      <c r="AI107" s="51" t="s">
        <v>1662</v>
      </c>
      <c r="AJ107" s="80" t="s">
        <v>1181</v>
      </c>
      <c r="AK107" s="25"/>
      <c r="AL107" s="25"/>
      <c r="AM107" s="25"/>
      <c r="AN107" s="25"/>
      <c r="AO107" s="51" t="s">
        <v>1662</v>
      </c>
      <c r="AP107" s="80" t="s">
        <v>1181</v>
      </c>
      <c r="AQ107" s="25"/>
      <c r="AR107" s="25"/>
      <c r="AS107" s="26"/>
      <c r="AT107" s="20" t="s">
        <v>867</v>
      </c>
      <c r="AW107" s="25"/>
      <c r="AX107" s="25"/>
      <c r="AY107" s="37"/>
      <c r="AZ107" s="25"/>
      <c r="BA107" s="35"/>
      <c r="BB107" s="25"/>
      <c r="BC107" s="25"/>
      <c r="BD107" s="25"/>
      <c r="BE107" s="25"/>
      <c r="BF107" s="25"/>
      <c r="BG107" s="25"/>
      <c r="BH107" s="25"/>
      <c r="BI107" s="37"/>
      <c r="BJ107" s="25"/>
      <c r="BK107" s="25"/>
    </row>
    <row r="108" spans="3:63" x14ac:dyDescent="0.35">
      <c r="C108" s="25" t="str">
        <f ca="1"/>
        <v>FR0013152899</v>
      </c>
      <c r="D108" s="25" t="str">
        <f ca="1"/>
        <v>VOON</v>
      </c>
      <c r="E108" s="35">
        <f ca="1"/>
        <v>106.694</v>
      </c>
      <c r="F108" s="102"/>
      <c r="G108" s="102">
        <f ca="1"/>
        <v>5000000</v>
      </c>
      <c r="H108" s="25">
        <f ca="1"/>
        <v>3000.0000000001137</v>
      </c>
      <c r="I108" s="37">
        <f ca="1"/>
        <v>0</v>
      </c>
      <c r="J108" s="37" t="str">
        <f ca="1"/>
        <v>BGN</v>
      </c>
      <c r="K108" s="35" t="str">
        <f ca="1"/>
        <v>EUR</v>
      </c>
      <c r="L108" s="102">
        <f ca="1"/>
        <v>3000.0000000001137</v>
      </c>
      <c r="M108" s="102">
        <f ca="1"/>
        <v>3000.0000000001137</v>
      </c>
      <c r="N108" s="19">
        <f ca="1"/>
        <v>106.754</v>
      </c>
      <c r="Q108" s="20" t="s">
        <v>867</v>
      </c>
      <c r="R108" s="24"/>
      <c r="S108" s="25">
        <f ca="1"/>
        <v>67</v>
      </c>
      <c r="T108" s="19" t="str">
        <f ca="1"/>
        <v>FR0013152899</v>
      </c>
      <c r="U108" s="25" t="str">
        <f ca="1"/>
        <v>RTEFRA 1 10/19/26</v>
      </c>
      <c r="V108" s="64">
        <f ca="1"/>
        <v>5000000</v>
      </c>
      <c r="W108" s="70">
        <f ca="1"/>
        <v>2.81</v>
      </c>
      <c r="X108" s="71">
        <f ca="1"/>
        <v>106.694</v>
      </c>
      <c r="Y108" s="71">
        <f ca="1"/>
        <v>106.754</v>
      </c>
      <c r="Z108" s="57" t="str">
        <f ca="1"/>
        <v>VOON</v>
      </c>
      <c r="AA108" s="57" t="str">
        <f ca="1"/>
        <v>Bond Corporate</v>
      </c>
      <c r="AB108" s="56">
        <f ca="1"/>
        <v>3000.0000000001137</v>
      </c>
      <c r="AC108" s="56">
        <f ca="1">IFERROR(IF(ISBLANK(AB108),"-",AB108-_xlfn.XLOOKUP(T108,AI:AI,AJ:AJ)),"-")</f>
        <v>0</v>
      </c>
      <c r="AD108" s="56">
        <f ca="1">IFERROR(IF(ISBLANK(AB108),"-",AB108-_xlfn.XLOOKUP(T108,AO:AO,AP:AP)),"-")</f>
        <v>250.0000000004834</v>
      </c>
      <c r="AE108" s="25"/>
      <c r="AF108" s="25"/>
      <c r="AG108" s="25"/>
      <c r="AH108" s="25"/>
      <c r="AI108" s="51" t="s">
        <v>155</v>
      </c>
      <c r="AJ108" s="80">
        <v>3000.0000000001137</v>
      </c>
      <c r="AK108" s="25"/>
      <c r="AL108" s="25"/>
      <c r="AM108" s="25"/>
      <c r="AN108" s="25"/>
      <c r="AO108" s="51" t="s">
        <v>155</v>
      </c>
      <c r="AP108" s="80">
        <v>3000.0000000001137</v>
      </c>
      <c r="AQ108" s="25"/>
      <c r="AR108" s="25"/>
      <c r="AS108" s="26"/>
      <c r="AT108" s="20" t="s">
        <v>867</v>
      </c>
      <c r="AW108" s="25"/>
      <c r="AX108" s="25"/>
      <c r="AY108" s="37"/>
      <c r="AZ108" s="25"/>
      <c r="BA108" s="35"/>
      <c r="BB108" s="25"/>
      <c r="BC108" s="25"/>
      <c r="BD108" s="25"/>
      <c r="BE108" s="25"/>
      <c r="BF108" s="25"/>
      <c r="BG108" s="25"/>
      <c r="BH108" s="25"/>
      <c r="BI108" s="37"/>
      <c r="BJ108" s="25"/>
      <c r="BK108" s="25"/>
    </row>
    <row r="109" spans="3:63" x14ac:dyDescent="0.35">
      <c r="C109" s="25" t="str">
        <f ca="1"/>
        <v>XS2196317742</v>
      </c>
      <c r="D109" s="25" t="str">
        <f ca="1"/>
        <v>VOON</v>
      </c>
      <c r="E109" s="35">
        <f ca="1"/>
        <v>106.346</v>
      </c>
      <c r="F109" s="102"/>
      <c r="G109" s="102">
        <f ca="1"/>
        <v>-2600000</v>
      </c>
      <c r="H109" s="25">
        <f ca="1"/>
        <v>-3145.9999999998731</v>
      </c>
      <c r="I109" s="37">
        <f ca="1"/>
        <v>0</v>
      </c>
      <c r="J109" s="37" t="str">
        <f ca="1"/>
        <v>BGN</v>
      </c>
      <c r="K109" s="35" t="str">
        <f ca="1"/>
        <v>EUR</v>
      </c>
      <c r="L109" s="102">
        <f ca="1"/>
        <v>-3145.9999999998731</v>
      </c>
      <c r="M109" s="102">
        <f ca="1"/>
        <v>-3145.9999999998731</v>
      </c>
      <c r="N109" s="19">
        <f ca="1"/>
        <v>106.467</v>
      </c>
      <c r="Q109" s="20" t="s">
        <v>867</v>
      </c>
      <c r="R109" s="24"/>
      <c r="S109" s="25">
        <f ca="1"/>
        <v>68</v>
      </c>
      <c r="T109" s="19" t="str">
        <f ca="1"/>
        <v>XS2196317742</v>
      </c>
      <c r="U109" s="25" t="str">
        <f ca="1"/>
        <v>SESGFP 2 07/02/28</v>
      </c>
      <c r="V109" s="64">
        <f ca="1"/>
        <v>-2600000</v>
      </c>
      <c r="W109" s="70">
        <f ca="1"/>
        <v>-9.3000000000000007</v>
      </c>
      <c r="X109" s="71">
        <f ca="1"/>
        <v>106.346</v>
      </c>
      <c r="Y109" s="71">
        <f ca="1"/>
        <v>106.467</v>
      </c>
      <c r="Z109" s="57" t="str">
        <f ca="1"/>
        <v>VOON</v>
      </c>
      <c r="AA109" s="57" t="str">
        <f ca="1"/>
        <v>Bond Corporate</v>
      </c>
      <c r="AB109" s="56">
        <f ca="1"/>
        <v>-3145.9999999998731</v>
      </c>
      <c r="AC109" s="56">
        <f ca="1">IFERROR(IF(ISBLANK(AB109),"-",AB109-_xlfn.XLOOKUP(T109,AI:AI,AJ:AJ)),"-")</f>
        <v>-51.999999999879037</v>
      </c>
      <c r="AD109" s="56">
        <f ca="1">IFERROR(IF(ISBLANK(AB109),"-",AB109-_xlfn.XLOOKUP(T109,AO:AO,AP:AP)),"-")</f>
        <v>-78.000000000002728</v>
      </c>
      <c r="AE109" s="25"/>
      <c r="AF109" s="25"/>
      <c r="AG109" s="25"/>
      <c r="AH109" s="25"/>
      <c r="AI109" s="51" t="s">
        <v>160</v>
      </c>
      <c r="AJ109" s="80">
        <v>-3145.9999999998731</v>
      </c>
      <c r="AK109" s="25"/>
      <c r="AL109" s="25"/>
      <c r="AM109" s="25"/>
      <c r="AN109" s="25"/>
      <c r="AO109" s="51" t="s">
        <v>160</v>
      </c>
      <c r="AP109" s="80">
        <v>-3093.9999999999941</v>
      </c>
      <c r="AQ109" s="25"/>
      <c r="AR109" s="25"/>
      <c r="AS109" s="26"/>
      <c r="AT109" s="20" t="s">
        <v>867</v>
      </c>
      <c r="AW109" s="25"/>
      <c r="AX109" s="25"/>
      <c r="AY109" s="37"/>
      <c r="AZ109" s="25"/>
      <c r="BA109" s="35"/>
      <c r="BB109" s="25"/>
      <c r="BC109" s="25"/>
      <c r="BD109" s="25"/>
      <c r="BE109" s="25"/>
      <c r="BF109" s="25"/>
      <c r="BG109" s="25"/>
      <c r="BH109" s="25"/>
      <c r="BI109" s="37"/>
      <c r="BJ109" s="25"/>
      <c r="BK109" s="25"/>
    </row>
    <row r="110" spans="3:63" x14ac:dyDescent="0.35">
      <c r="C110" s="25" t="str">
        <f ca="1"/>
        <v>FR0013283140</v>
      </c>
      <c r="D110" s="25" t="str">
        <f ca="1"/>
        <v>VOON</v>
      </c>
      <c r="E110" s="35">
        <f ca="1"/>
        <v>113.44799999999999</v>
      </c>
      <c r="F110" s="102"/>
      <c r="G110" s="102">
        <f ca="1"/>
        <v>-700000</v>
      </c>
      <c r="H110" s="25">
        <f ca="1"/>
        <v>-1288.0000000000819</v>
      </c>
      <c r="I110" s="37">
        <f ca="1"/>
        <v>0</v>
      </c>
      <c r="J110" s="37" t="str">
        <f ca="1"/>
        <v>BGN</v>
      </c>
      <c r="K110" s="35" t="str">
        <f ca="1"/>
        <v>EUR</v>
      </c>
      <c r="L110" s="102">
        <f ca="1"/>
        <v>-1288.0000000000819</v>
      </c>
      <c r="M110" s="102">
        <f ca="1"/>
        <v>-1288.0000000000819</v>
      </c>
      <c r="N110" s="19">
        <f ca="1"/>
        <v>113.63200000000001</v>
      </c>
      <c r="Q110" s="20" t="s">
        <v>867</v>
      </c>
      <c r="R110" s="24"/>
      <c r="S110" s="25">
        <f ca="1"/>
        <v>69</v>
      </c>
      <c r="T110" s="19" t="str">
        <f ca="1"/>
        <v>FR0013283140</v>
      </c>
      <c r="U110" s="25" t="str">
        <f ca="1"/>
        <v>SEVFP 1 5/8 09/21/32</v>
      </c>
      <c r="V110" s="64">
        <f ca="1"/>
        <v>-700000</v>
      </c>
      <c r="W110" s="70">
        <f ca="1"/>
        <v>-1.68</v>
      </c>
      <c r="X110" s="71">
        <f ca="1"/>
        <v>113.44799999999999</v>
      </c>
      <c r="Y110" s="71">
        <f ca="1"/>
        <v>113.63200000000001</v>
      </c>
      <c r="Z110" s="57" t="str">
        <f ca="1"/>
        <v>VOON</v>
      </c>
      <c r="AA110" s="57" t="str">
        <f ca="1"/>
        <v>Bond Corporate</v>
      </c>
      <c r="AB110" s="56">
        <f ca="1"/>
        <v>-1288.0000000000819</v>
      </c>
      <c r="AC110" s="56">
        <f ca="1">IFERROR(IF(ISBLANK(AB110),"-",AB110-_xlfn.XLOOKUP(T110,AI:AI,AJ:AJ)),"-")</f>
        <v>0</v>
      </c>
      <c r="AD110" s="56">
        <f ca="1">IFERROR(IF(ISBLANK(AB110),"-",AB110-_xlfn.XLOOKUP(T110,AO:AO,AP:AP)),"-")</f>
        <v>34.999999999968168</v>
      </c>
      <c r="AE110" s="25"/>
      <c r="AF110" s="25"/>
      <c r="AG110" s="25"/>
      <c r="AH110" s="25"/>
      <c r="AI110" s="51" t="s">
        <v>1350</v>
      </c>
      <c r="AJ110" s="80">
        <v>-1288.0000000000819</v>
      </c>
      <c r="AK110" s="25"/>
      <c r="AL110" s="25"/>
      <c r="AM110" s="25"/>
      <c r="AN110" s="25"/>
      <c r="AO110" s="51" t="s">
        <v>1350</v>
      </c>
      <c r="AP110" s="80">
        <v>-1288.0000000000819</v>
      </c>
      <c r="AQ110" s="25"/>
      <c r="AR110" s="25"/>
      <c r="AS110" s="26"/>
      <c r="AT110" s="20" t="s">
        <v>867</v>
      </c>
      <c r="AW110" s="25"/>
      <c r="AX110" s="25"/>
      <c r="AY110" s="37"/>
      <c r="AZ110" s="25"/>
      <c r="BA110" s="35"/>
      <c r="BB110" s="25"/>
      <c r="BC110" s="25"/>
      <c r="BD110" s="25"/>
      <c r="BE110" s="25"/>
      <c r="BF110" s="25"/>
      <c r="BG110" s="25"/>
      <c r="BH110" s="25"/>
      <c r="BI110" s="37"/>
      <c r="BJ110" s="25"/>
      <c r="BK110" s="25"/>
    </row>
    <row r="111" spans="3:63" x14ac:dyDescent="0.35">
      <c r="C111" s="25" t="str">
        <f ca="1"/>
        <v>FR0013452620</v>
      </c>
      <c r="D111" s="25" t="str">
        <f ca="1"/>
        <v>VOON</v>
      </c>
      <c r="E111" s="35">
        <f ca="1"/>
        <v>101.208</v>
      </c>
      <c r="F111" s="102"/>
      <c r="G111" s="102">
        <f ca="1"/>
        <v>2200000</v>
      </c>
      <c r="H111" s="25">
        <f ca="1"/>
        <v>3938.000000000045</v>
      </c>
      <c r="I111" s="37">
        <f ca="1"/>
        <v>0</v>
      </c>
      <c r="J111" s="37" t="str">
        <f ca="1"/>
        <v>BGN</v>
      </c>
      <c r="K111" s="35" t="str">
        <f ca="1"/>
        <v>EUR</v>
      </c>
      <c r="L111" s="102">
        <f ca="1"/>
        <v>3938.000000000045</v>
      </c>
      <c r="M111" s="102">
        <f ca="1"/>
        <v>3938.000000000045</v>
      </c>
      <c r="N111" s="19">
        <f ca="1"/>
        <v>101.387</v>
      </c>
      <c r="Q111" s="20" t="s">
        <v>867</v>
      </c>
      <c r="R111" s="24"/>
      <c r="S111" s="25">
        <f ca="1"/>
        <v>70</v>
      </c>
      <c r="T111" s="19" t="str">
        <f ca="1"/>
        <v>FR0013452620</v>
      </c>
      <c r="U111" s="25" t="str">
        <f ca="1"/>
        <v>SEVFP 0 1/2 10/14/31</v>
      </c>
      <c r="V111" s="64">
        <f ca="1"/>
        <v>2200000</v>
      </c>
      <c r="W111" s="70">
        <f ca="1"/>
        <v>4.2699999999999996</v>
      </c>
      <c r="X111" s="71">
        <f ca="1"/>
        <v>101.208</v>
      </c>
      <c r="Y111" s="71">
        <f ca="1"/>
        <v>101.387</v>
      </c>
      <c r="Z111" s="57" t="str">
        <f ca="1"/>
        <v>VOON</v>
      </c>
      <c r="AA111" s="57" t="str">
        <f ca="1"/>
        <v>Bond Corporate</v>
      </c>
      <c r="AB111" s="56">
        <f ca="1"/>
        <v>3938.000000000045</v>
      </c>
      <c r="AC111" s="56">
        <f ca="1">IFERROR(IF(ISBLANK(AB111),"-",AB111-_xlfn.XLOOKUP(T111,AI:AI,AJ:AJ)),"-")</f>
        <v>0</v>
      </c>
      <c r="AD111" s="56">
        <f ca="1">IFERROR(IF(ISBLANK(AB111),"-",AB111-_xlfn.XLOOKUP(T111,AO:AO,AP:AP)),"-")</f>
        <v>-396.00000000001501</v>
      </c>
      <c r="AE111" s="25"/>
      <c r="AF111" s="25"/>
      <c r="AG111" s="25"/>
      <c r="AH111" s="25"/>
      <c r="AI111" s="51" t="s">
        <v>604</v>
      </c>
      <c r="AJ111" s="80">
        <v>3938.000000000045</v>
      </c>
      <c r="AK111" s="25"/>
      <c r="AL111" s="25"/>
      <c r="AM111" s="25"/>
      <c r="AN111" s="25"/>
      <c r="AO111" s="51" t="s">
        <v>604</v>
      </c>
      <c r="AP111" s="80">
        <v>3938.000000000045</v>
      </c>
      <c r="AQ111" s="25"/>
      <c r="AR111" s="25"/>
      <c r="AS111" s="26"/>
      <c r="AT111" s="20" t="s">
        <v>867</v>
      </c>
      <c r="AW111" s="25"/>
      <c r="AX111" s="25"/>
      <c r="AY111" s="37"/>
      <c r="AZ111" s="25"/>
      <c r="BA111" s="35"/>
      <c r="BB111" s="25"/>
      <c r="BC111" s="25"/>
      <c r="BD111" s="25"/>
      <c r="BE111" s="25"/>
      <c r="BF111" s="25"/>
      <c r="BG111" s="25"/>
      <c r="BH111" s="25"/>
      <c r="BI111" s="37"/>
      <c r="BJ111" s="25"/>
      <c r="BK111" s="25"/>
    </row>
    <row r="112" spans="3:63" x14ac:dyDescent="0.35">
      <c r="C112" s="25" t="str">
        <f ca="1"/>
        <v>FR0013248523</v>
      </c>
      <c r="D112" s="25" t="str">
        <f ca="1"/>
        <v>VOON</v>
      </c>
      <c r="E112" s="35">
        <f ca="1"/>
        <v>110.423</v>
      </c>
      <c r="F112" s="102"/>
      <c r="G112" s="102">
        <f ca="1"/>
        <v>3000000</v>
      </c>
      <c r="H112" s="25">
        <f ca="1"/>
        <v>4380.0000000000236</v>
      </c>
      <c r="I112" s="37">
        <f ca="1"/>
        <v>0</v>
      </c>
      <c r="J112" s="37" t="str">
        <f ca="1"/>
        <v>BGN</v>
      </c>
      <c r="K112" s="35" t="str">
        <f ca="1"/>
        <v>EUR</v>
      </c>
      <c r="L112" s="102">
        <f ca="1"/>
        <v>4380.0000000000236</v>
      </c>
      <c r="M112" s="102">
        <f ca="1"/>
        <v>4380.0000000000236</v>
      </c>
      <c r="N112" s="19">
        <f ca="1"/>
        <v>110.569</v>
      </c>
      <c r="Q112" s="20" t="s">
        <v>867</v>
      </c>
      <c r="R112" s="24"/>
      <c r="S112" s="25">
        <f ca="1"/>
        <v>71</v>
      </c>
      <c r="T112" s="19" t="str">
        <f ca="1"/>
        <v>FR0013248523</v>
      </c>
      <c r="U112" s="25" t="str">
        <f ca="1"/>
        <v>SEVFP 1 1/2 04/03/29</v>
      </c>
      <c r="V112" s="64">
        <f ca="1"/>
        <v>3000000</v>
      </c>
      <c r="W112" s="70">
        <f ca="1"/>
        <v>4.59</v>
      </c>
      <c r="X112" s="71">
        <f ca="1"/>
        <v>110.423</v>
      </c>
      <c r="Y112" s="71">
        <f ca="1"/>
        <v>110.569</v>
      </c>
      <c r="Z112" s="57" t="str">
        <f ca="1"/>
        <v>VOON</v>
      </c>
      <c r="AA112" s="57" t="str">
        <f ca="1"/>
        <v>Bond Corporate</v>
      </c>
      <c r="AB112" s="56">
        <f ca="1"/>
        <v>4380.0000000000236</v>
      </c>
      <c r="AC112" s="56">
        <f ca="1">IFERROR(IF(ISBLANK(AB112),"-",AB112-_xlfn.XLOOKUP(T112,AI:AI,AJ:AJ)),"-")</f>
        <v>0</v>
      </c>
      <c r="AD112" s="56">
        <f ca="1">IFERROR(IF(ISBLANK(AB112),"-",AB112-_xlfn.XLOOKUP(T112,AO:AO,AP:AP)),"-")</f>
        <v>-90.000000000003638</v>
      </c>
      <c r="AE112" s="25"/>
      <c r="AF112" s="25"/>
      <c r="AG112" s="25"/>
      <c r="AH112" s="25"/>
      <c r="AI112" s="51" t="s">
        <v>163</v>
      </c>
      <c r="AJ112" s="80">
        <v>4380.0000000000236</v>
      </c>
      <c r="AK112" s="25"/>
      <c r="AL112" s="25"/>
      <c r="AM112" s="25"/>
      <c r="AN112" s="25"/>
      <c r="AO112" s="51" t="s">
        <v>163</v>
      </c>
      <c r="AP112" s="80">
        <v>4380.0000000000236</v>
      </c>
      <c r="AQ112" s="25"/>
      <c r="AR112" s="25"/>
      <c r="AS112" s="26"/>
      <c r="AT112" s="20" t="s">
        <v>867</v>
      </c>
      <c r="AW112" s="25"/>
      <c r="AX112" s="25"/>
      <c r="AY112" s="37"/>
      <c r="AZ112" s="25"/>
      <c r="BA112" s="35"/>
      <c r="BB112" s="25"/>
      <c r="BC112" s="25"/>
      <c r="BD112" s="25"/>
      <c r="BE112" s="25"/>
      <c r="BF112" s="25"/>
      <c r="BG112" s="25"/>
      <c r="BH112" s="25"/>
      <c r="BI112" s="37"/>
      <c r="BJ112" s="25"/>
      <c r="BK112" s="25"/>
    </row>
    <row r="113" spans="3:63" x14ac:dyDescent="0.35">
      <c r="C113" s="25" t="str">
        <f ca="1"/>
        <v>FR0012949923</v>
      </c>
      <c r="D113" s="25" t="str">
        <f ca="1"/>
        <v>VOON</v>
      </c>
      <c r="E113" s="35">
        <f ca="1"/>
        <v>108.23</v>
      </c>
      <c r="F113" s="102"/>
      <c r="G113" s="102">
        <f ca="1"/>
        <v>-2000000</v>
      </c>
      <c r="H113" s="25">
        <f ca="1"/>
        <v>-1279.999999999859</v>
      </c>
      <c r="I113" s="37">
        <f ca="1"/>
        <v>0</v>
      </c>
      <c r="J113" s="37" t="str">
        <f ca="1"/>
        <v>BGN</v>
      </c>
      <c r="K113" s="35" t="str">
        <f ca="1"/>
        <v>EUR</v>
      </c>
      <c r="L113" s="102">
        <f ca="1"/>
        <v>-1279.999999999859</v>
      </c>
      <c r="M113" s="102">
        <f ca="1"/>
        <v>-1279.999999999859</v>
      </c>
      <c r="N113" s="19">
        <f ca="1"/>
        <v>108.294</v>
      </c>
      <c r="Q113" s="20" t="s">
        <v>867</v>
      </c>
      <c r="R113" s="24"/>
      <c r="S113" s="25">
        <f ca="1"/>
        <v>72</v>
      </c>
      <c r="T113" s="19" t="str">
        <f ca="1"/>
        <v>FR0012949923</v>
      </c>
      <c r="U113" s="25" t="str">
        <f ca="1"/>
        <v>SEVFP 1 3/4 09/10/25</v>
      </c>
      <c r="V113" s="64">
        <f ca="1"/>
        <v>-2000000</v>
      </c>
      <c r="W113" s="70">
        <f ca="1"/>
        <v>-1.58</v>
      </c>
      <c r="X113" s="71">
        <f ca="1"/>
        <v>108.23</v>
      </c>
      <c r="Y113" s="71">
        <f ca="1"/>
        <v>108.294</v>
      </c>
      <c r="Z113" s="57" t="str">
        <f ca="1"/>
        <v>VOON</v>
      </c>
      <c r="AA113" s="57" t="str">
        <f ca="1"/>
        <v>Bond Corporate</v>
      </c>
      <c r="AB113" s="56">
        <f ca="1"/>
        <v>-1279.999999999859</v>
      </c>
      <c r="AC113" s="56">
        <f ca="1">IFERROR(IF(ISBLANK(AB113),"-",AB113-_xlfn.XLOOKUP(T113,AI:AI,AJ:AJ)),"-")</f>
        <v>0</v>
      </c>
      <c r="AD113" s="56">
        <f ca="1">IFERROR(IF(ISBLANK(AB113),"-",AB113-_xlfn.XLOOKUP(T113,AO:AO,AP:AP)),"-")</f>
        <v>200.00000000010232</v>
      </c>
      <c r="AE113" s="25"/>
      <c r="AF113" s="25"/>
      <c r="AG113" s="25"/>
      <c r="AH113" s="25"/>
      <c r="AI113" s="51" t="s">
        <v>166</v>
      </c>
      <c r="AJ113" s="80">
        <v>-1279.999999999859</v>
      </c>
      <c r="AK113" s="25"/>
      <c r="AL113" s="25"/>
      <c r="AM113" s="25"/>
      <c r="AN113" s="25"/>
      <c r="AO113" s="51" t="s">
        <v>166</v>
      </c>
      <c r="AP113" s="80">
        <v>-1279.999999999859</v>
      </c>
      <c r="AQ113" s="25"/>
      <c r="AR113" s="25"/>
      <c r="AS113" s="26"/>
      <c r="AT113" s="20" t="s">
        <v>867</v>
      </c>
      <c r="AW113" s="25"/>
      <c r="AX113" s="25"/>
      <c r="AY113" s="37"/>
      <c r="AZ113" s="25"/>
      <c r="BA113" s="35"/>
      <c r="BB113" s="25"/>
      <c r="BC113" s="25"/>
      <c r="BD113" s="25"/>
      <c r="BE113" s="25"/>
      <c r="BF113" s="25"/>
      <c r="BG113" s="25"/>
      <c r="BH113" s="25"/>
      <c r="BI113" s="37"/>
      <c r="BJ113" s="25"/>
      <c r="BK113" s="25"/>
    </row>
    <row r="114" spans="3:63" x14ac:dyDescent="0.35">
      <c r="C114" s="25" t="str">
        <f ca="1"/>
        <v>FR0013248507</v>
      </c>
      <c r="D114" s="25" t="str">
        <f ca="1"/>
        <v>VOON</v>
      </c>
      <c r="E114" s="35">
        <f ca="1"/>
        <v>104.35599999999999</v>
      </c>
      <c r="F114" s="102"/>
      <c r="G114" s="102">
        <f ca="1"/>
        <v>-5300000</v>
      </c>
      <c r="H114" s="25">
        <f ca="1"/>
        <v>-2756.0000000003556</v>
      </c>
      <c r="I114" s="37">
        <f ca="1"/>
        <v>0</v>
      </c>
      <c r="J114" s="37" t="str">
        <f ca="1"/>
        <v>BGN</v>
      </c>
      <c r="K114" s="35" t="str">
        <f ca="1"/>
        <v>EUR</v>
      </c>
      <c r="L114" s="102">
        <f ca="1"/>
        <v>-2756.0000000003556</v>
      </c>
      <c r="M114" s="102">
        <f ca="1"/>
        <v>-2756.0000000003556</v>
      </c>
      <c r="N114" s="19">
        <f ca="1"/>
        <v>104.408</v>
      </c>
      <c r="Q114" s="20" t="s">
        <v>867</v>
      </c>
      <c r="R114" s="24"/>
      <c r="S114" s="25">
        <f ca="1"/>
        <v>73</v>
      </c>
      <c r="T114" s="19" t="str">
        <f ca="1"/>
        <v>FR0013248507</v>
      </c>
      <c r="U114" s="25" t="str">
        <f ca="1"/>
        <v>SEVFP 1 04/03/25</v>
      </c>
      <c r="V114" s="64">
        <f ca="1"/>
        <v>-5300000</v>
      </c>
      <c r="W114" s="70">
        <f ca="1"/>
        <v>-3.57</v>
      </c>
      <c r="X114" s="71">
        <f ca="1"/>
        <v>104.35599999999999</v>
      </c>
      <c r="Y114" s="71">
        <f ca="1"/>
        <v>104.408</v>
      </c>
      <c r="Z114" s="57" t="str">
        <f ca="1"/>
        <v>VOON</v>
      </c>
      <c r="AA114" s="57" t="str">
        <f ca="1"/>
        <v>Bond Corporate</v>
      </c>
      <c r="AB114" s="56">
        <f ca="1"/>
        <v>-2756.0000000003556</v>
      </c>
      <c r="AC114" s="56">
        <f ca="1">IFERROR(IF(ISBLANK(AB114),"-",AB114-_xlfn.XLOOKUP(T114,AI:AI,AJ:AJ)),"-")</f>
        <v>0</v>
      </c>
      <c r="AD114" s="56">
        <f ca="1">IFERROR(IF(ISBLANK(AB114),"-",AB114-_xlfn.XLOOKUP(T114,AO:AO,AP:AP)),"-")</f>
        <v>159.00000000000591</v>
      </c>
      <c r="AE114" s="25"/>
      <c r="AF114" s="25"/>
      <c r="AG114" s="25"/>
      <c r="AH114" s="25"/>
      <c r="AI114" s="51" t="s">
        <v>168</v>
      </c>
      <c r="AJ114" s="80">
        <v>-2756.0000000003556</v>
      </c>
      <c r="AK114" s="25"/>
      <c r="AL114" s="25"/>
      <c r="AM114" s="25"/>
      <c r="AN114" s="25"/>
      <c r="AO114" s="51" t="s">
        <v>168</v>
      </c>
      <c r="AP114" s="80">
        <v>-2756.0000000003556</v>
      </c>
      <c r="AQ114" s="25"/>
      <c r="AR114" s="25"/>
      <c r="AS114" s="26"/>
      <c r="AT114" s="20" t="s">
        <v>867</v>
      </c>
      <c r="AW114" s="25"/>
      <c r="AX114" s="25"/>
      <c r="AY114" s="37"/>
      <c r="AZ114" s="25"/>
      <c r="BA114" s="35"/>
      <c r="BB114" s="25"/>
      <c r="BC114" s="25"/>
      <c r="BD114" s="25"/>
      <c r="BE114" s="25"/>
      <c r="BF114" s="25"/>
      <c r="BG114" s="25"/>
      <c r="BH114" s="25"/>
      <c r="BI114" s="37"/>
      <c r="BJ114" s="25"/>
      <c r="BK114" s="25"/>
    </row>
    <row r="115" spans="3:63" x14ac:dyDescent="0.35">
      <c r="C115" s="25" t="str">
        <f ca="1"/>
        <v>XS2051660509</v>
      </c>
      <c r="D115" s="25" t="str">
        <f ca="1"/>
        <v>VOON</v>
      </c>
      <c r="E115" s="35">
        <f ca="1"/>
        <v>108.1</v>
      </c>
      <c r="F115" s="102"/>
      <c r="G115" s="102">
        <f ca="1"/>
        <v>9019000</v>
      </c>
      <c r="H115" s="25">
        <f ca="1"/>
        <v>22908.260000000442</v>
      </c>
      <c r="I115" s="37">
        <f ca="1"/>
        <v>0</v>
      </c>
      <c r="J115" s="37" t="str">
        <f ca="1"/>
        <v>BGN</v>
      </c>
      <c r="K115" s="35" t="str">
        <f ca="1"/>
        <v>EUR</v>
      </c>
      <c r="L115" s="102">
        <f ca="1"/>
        <v>22908.260000000442</v>
      </c>
      <c r="M115" s="102">
        <f ca="1"/>
        <v>22908.260000000442</v>
      </c>
      <c r="N115" s="19">
        <f ca="1"/>
        <v>108.354</v>
      </c>
      <c r="Q115" s="20" t="s">
        <v>867</v>
      </c>
      <c r="R115" s="24"/>
      <c r="S115" s="25">
        <f ca="1"/>
        <v>74</v>
      </c>
      <c r="T115" s="19" t="str">
        <f ca="1"/>
        <v>XS2051660509</v>
      </c>
      <c r="U115" s="25" t="str">
        <f ca="1"/>
        <v>SRGIM 1 09/12/34</v>
      </c>
      <c r="V115" s="64">
        <f ca="1"/>
        <v>9019000</v>
      </c>
      <c r="W115" s="70">
        <f ca="1"/>
        <v>18.72</v>
      </c>
      <c r="X115" s="71">
        <f ca="1"/>
        <v>108.1</v>
      </c>
      <c r="Y115" s="71">
        <f ca="1"/>
        <v>108.354</v>
      </c>
      <c r="Z115" s="57" t="str">
        <f ca="1"/>
        <v>VOON</v>
      </c>
      <c r="AA115" s="57" t="str">
        <f ca="1"/>
        <v>Bond Corporate</v>
      </c>
      <c r="AB115" s="56">
        <f ca="1"/>
        <v>22908.260000000442</v>
      </c>
      <c r="AC115" s="56">
        <f ca="1">IFERROR(IF(ISBLANK(AB115),"-",AB115-_xlfn.XLOOKUP(T115,AI:AI,AJ:AJ)),"-")</f>
        <v>0</v>
      </c>
      <c r="AD115" s="56">
        <f ca="1">IFERROR(IF(ISBLANK(AB115),"-",AB115-_xlfn.XLOOKUP(T115,AO:AO,AP:AP)),"-")</f>
        <v>-270.57000000001062</v>
      </c>
      <c r="AE115" s="25"/>
      <c r="AF115" s="25"/>
      <c r="AG115" s="25"/>
      <c r="AH115" s="25"/>
      <c r="AI115" s="51" t="s">
        <v>170</v>
      </c>
      <c r="AJ115" s="80">
        <v>22908.260000000442</v>
      </c>
      <c r="AK115" s="25"/>
      <c r="AL115" s="25"/>
      <c r="AM115" s="25"/>
      <c r="AN115" s="25"/>
      <c r="AO115" s="51" t="s">
        <v>170</v>
      </c>
      <c r="AP115" s="80">
        <v>22908.260000000442</v>
      </c>
      <c r="AQ115" s="25"/>
      <c r="AR115" s="25"/>
      <c r="AS115" s="26"/>
      <c r="AT115" s="20" t="s">
        <v>867</v>
      </c>
      <c r="AW115" s="25"/>
      <c r="AX115" s="25"/>
      <c r="AY115" s="37"/>
      <c r="AZ115" s="25"/>
      <c r="BA115" s="35"/>
      <c r="BB115" s="25"/>
      <c r="BC115" s="25"/>
      <c r="BD115" s="25"/>
      <c r="BE115" s="25"/>
      <c r="BF115" s="25"/>
      <c r="BG115" s="25"/>
      <c r="BH115" s="25"/>
      <c r="BI115" s="37"/>
      <c r="BJ115" s="25"/>
      <c r="BK115" s="25"/>
    </row>
    <row r="116" spans="3:63" x14ac:dyDescent="0.35">
      <c r="C116" s="25" t="str">
        <f ca="1"/>
        <v>XS1957442541</v>
      </c>
      <c r="D116" s="25" t="str">
        <f ca="1"/>
        <v>VOON</v>
      </c>
      <c r="E116" s="35">
        <f ca="1"/>
        <v>106.61199999999999</v>
      </c>
      <c r="F116" s="102"/>
      <c r="G116" s="102">
        <f ca="1"/>
        <v>-5651000</v>
      </c>
      <c r="H116" s="25">
        <f ca="1"/>
        <v>-2712.4800000001032</v>
      </c>
      <c r="I116" s="37">
        <f ca="1"/>
        <v>0</v>
      </c>
      <c r="J116" s="37" t="str">
        <f ca="1"/>
        <v>BGN</v>
      </c>
      <c r="K116" s="35" t="str">
        <f ca="1"/>
        <v>EUR</v>
      </c>
      <c r="L116" s="102">
        <f ca="1"/>
        <v>-2712.4800000001032</v>
      </c>
      <c r="M116" s="102">
        <f ca="1"/>
        <v>-2712.4800000001032</v>
      </c>
      <c r="N116" s="19">
        <f ca="1"/>
        <v>106.66</v>
      </c>
      <c r="Q116" s="20" t="s">
        <v>867</v>
      </c>
      <c r="R116" s="24"/>
      <c r="S116" s="25">
        <f ca="1"/>
        <v>75</v>
      </c>
      <c r="T116" s="19" t="str">
        <f ca="1"/>
        <v>XS1957442541</v>
      </c>
      <c r="U116" s="25" t="str">
        <f ca="1"/>
        <v>SRGIM 1 1/4 08/28/25</v>
      </c>
      <c r="V116" s="64">
        <f ca="1"/>
        <v>-5651000</v>
      </c>
      <c r="W116" s="70">
        <f ca="1"/>
        <v>-2.91</v>
      </c>
      <c r="X116" s="71">
        <f ca="1"/>
        <v>106.61199999999999</v>
      </c>
      <c r="Y116" s="71">
        <f ca="1"/>
        <v>106.66</v>
      </c>
      <c r="Z116" s="57" t="str">
        <f ca="1"/>
        <v>VOON</v>
      </c>
      <c r="AA116" s="57" t="str">
        <f ca="1"/>
        <v>Bond Corporate</v>
      </c>
      <c r="AB116" s="56">
        <f ca="1"/>
        <v>-2712.4800000001032</v>
      </c>
      <c r="AC116" s="56">
        <f ca="1">IFERROR(IF(ISBLANK(AB116),"-",AB116-_xlfn.XLOOKUP(T116,AI:AI,AJ:AJ)),"-")</f>
        <v>0</v>
      </c>
      <c r="AD116" s="56">
        <f ca="1">IFERROR(IF(ISBLANK(AB116),"-",AB116-_xlfn.XLOOKUP(T116,AO:AO,AP:AP)),"-")</f>
        <v>282.55000000054588</v>
      </c>
      <c r="AE116" s="25"/>
      <c r="AF116" s="25"/>
      <c r="AG116" s="25"/>
      <c r="AH116" s="25"/>
      <c r="AI116" s="51" t="s">
        <v>173</v>
      </c>
      <c r="AJ116" s="80">
        <v>-2712.4800000001032</v>
      </c>
      <c r="AK116" s="25"/>
      <c r="AL116" s="25"/>
      <c r="AM116" s="25"/>
      <c r="AN116" s="25"/>
      <c r="AO116" s="51" t="s">
        <v>173</v>
      </c>
      <c r="AP116" s="80">
        <v>-2712.4800000001032</v>
      </c>
      <c r="AQ116" s="25"/>
      <c r="AR116" s="25"/>
      <c r="AS116" s="26"/>
      <c r="AT116" s="20" t="s">
        <v>867</v>
      </c>
      <c r="AW116" s="25"/>
      <c r="AX116" s="25"/>
      <c r="AY116" s="37"/>
      <c r="AZ116" s="25"/>
      <c r="BA116" s="35"/>
      <c r="BB116" s="25"/>
      <c r="BC116" s="25"/>
      <c r="BD116" s="25"/>
      <c r="BE116" s="25"/>
      <c r="BF116" s="25"/>
      <c r="BG116" s="25"/>
      <c r="BH116" s="25"/>
      <c r="BI116" s="37"/>
      <c r="BJ116" s="25"/>
      <c r="BK116" s="25"/>
    </row>
    <row r="117" spans="3:63" x14ac:dyDescent="0.35">
      <c r="C117" s="25" t="str">
        <f ca="1"/>
        <v>XS2156787090</v>
      </c>
      <c r="D117" s="25" t="str">
        <f ca="1"/>
        <v>VOON</v>
      </c>
      <c r="E117" s="35">
        <f ca="1"/>
        <v>105.47</v>
      </c>
      <c r="F117" s="102"/>
      <c r="G117" s="102">
        <f ca="1"/>
        <v>-1400000</v>
      </c>
      <c r="H117" s="25">
        <f ca="1"/>
        <v>-1008.0000000000381</v>
      </c>
      <c r="I117" s="37">
        <f ca="1"/>
        <v>0</v>
      </c>
      <c r="J117" s="37" t="str">
        <f ca="1"/>
        <v>BGN</v>
      </c>
      <c r="K117" s="35" t="str">
        <f ca="1"/>
        <v>EUR</v>
      </c>
      <c r="L117" s="102">
        <f ca="1"/>
        <v>-1008.0000000000381</v>
      </c>
      <c r="M117" s="102">
        <f ca="1"/>
        <v>-1008.0000000000381</v>
      </c>
      <c r="N117" s="19">
        <f ca="1"/>
        <v>105.542</v>
      </c>
      <c r="Q117" s="20" t="s">
        <v>867</v>
      </c>
      <c r="R117" s="24"/>
      <c r="S117" s="25">
        <f ca="1"/>
        <v>76</v>
      </c>
      <c r="T117" s="19" t="str">
        <f ca="1"/>
        <v>XS2156787090</v>
      </c>
      <c r="U117" s="25" t="str">
        <f ca="1"/>
        <v>SSELN 1 1/4 04/16/25</v>
      </c>
      <c r="V117" s="64">
        <f ca="1"/>
        <v>-1400000</v>
      </c>
      <c r="W117" s="70">
        <f ca="1"/>
        <v>-0.96</v>
      </c>
      <c r="X117" s="71">
        <f ca="1"/>
        <v>105.47</v>
      </c>
      <c r="Y117" s="71">
        <f ca="1"/>
        <v>105.542</v>
      </c>
      <c r="Z117" s="57" t="str">
        <f ca="1"/>
        <v>VOON</v>
      </c>
      <c r="AA117" s="57" t="str">
        <f ca="1"/>
        <v>Bond Corporate</v>
      </c>
      <c r="AB117" s="56">
        <f ca="1"/>
        <v>-1008.0000000000381</v>
      </c>
      <c r="AC117" s="56">
        <f ca="1">IFERROR(IF(ISBLANK(AB117),"-",AB117-_xlfn.XLOOKUP(T117,AI:AI,AJ:AJ)),"-")</f>
        <v>-69.999999999936222</v>
      </c>
      <c r="AD117" s="56">
        <f ca="1">IFERROR(IF(ISBLANK(AB117),"-",AB117-_xlfn.XLOOKUP(T117,AO:AO,AP:AP)),"-")</f>
        <v>-14.000000000066734</v>
      </c>
      <c r="AE117" s="25"/>
      <c r="AF117" s="25"/>
      <c r="AG117" s="25"/>
      <c r="AH117" s="25"/>
      <c r="AI117" s="51" t="s">
        <v>1379</v>
      </c>
      <c r="AJ117" s="80">
        <v>-1008.0000000000381</v>
      </c>
      <c r="AK117" s="25"/>
      <c r="AL117" s="25"/>
      <c r="AM117" s="25"/>
      <c r="AN117" s="25"/>
      <c r="AO117" s="51" t="s">
        <v>1379</v>
      </c>
      <c r="AP117" s="80">
        <v>-938.00000000010186</v>
      </c>
      <c r="AQ117" s="25"/>
      <c r="AR117" s="25"/>
      <c r="AS117" s="26"/>
      <c r="AT117" s="20" t="s">
        <v>867</v>
      </c>
      <c r="AW117" s="25"/>
      <c r="AX117" s="25"/>
      <c r="AY117" s="37"/>
      <c r="AZ117" s="25"/>
      <c r="BA117" s="35"/>
      <c r="BB117" s="25"/>
      <c r="BC117" s="25"/>
      <c r="BD117" s="25"/>
      <c r="BE117" s="25"/>
      <c r="BF117" s="25"/>
      <c r="BG117" s="25"/>
      <c r="BH117" s="25"/>
      <c r="BI117" s="37"/>
      <c r="BJ117" s="25"/>
      <c r="BK117" s="25"/>
    </row>
    <row r="118" spans="3:63" x14ac:dyDescent="0.35">
      <c r="C118" s="25" t="str">
        <f ca="1"/>
        <v>XS1293571425</v>
      </c>
      <c r="D118" s="25" t="str">
        <f ca="1"/>
        <v>VOON</v>
      </c>
      <c r="E118" s="35">
        <f ca="1"/>
        <v>104.36199999999999</v>
      </c>
      <c r="F118" s="102"/>
      <c r="G118" s="102">
        <f ca="1"/>
        <v>-174000</v>
      </c>
      <c r="H118" s="25">
        <f ca="1"/>
        <v>-15.660000000000593</v>
      </c>
      <c r="I118" s="37">
        <f ca="1"/>
        <v>0</v>
      </c>
      <c r="J118" s="37" t="str">
        <f ca="1"/>
        <v>BGN</v>
      </c>
      <c r="K118" s="35" t="str">
        <f ca="1"/>
        <v>EUR</v>
      </c>
      <c r="L118" s="102">
        <f ca="1"/>
        <v>-15.660000000000593</v>
      </c>
      <c r="M118" s="102">
        <f ca="1"/>
        <v>-15.660000000000593</v>
      </c>
      <c r="N118" s="19">
        <f ca="1"/>
        <v>104.371</v>
      </c>
      <c r="Q118" s="20" t="s">
        <v>867</v>
      </c>
      <c r="R118" s="24"/>
      <c r="S118" s="25">
        <f ca="1"/>
        <v>77</v>
      </c>
      <c r="T118" s="19" t="str">
        <f ca="1"/>
        <v>XS1293571425</v>
      </c>
      <c r="U118" s="25" t="str">
        <f ca="1"/>
        <v>STATK 1 1/2 09/21/23</v>
      </c>
      <c r="V118" s="64">
        <f ca="1"/>
        <v>-174000</v>
      </c>
      <c r="W118" s="70">
        <f ca="1"/>
        <v>-0.08</v>
      </c>
      <c r="X118" s="71">
        <f ca="1"/>
        <v>104.36199999999999</v>
      </c>
      <c r="Y118" s="71">
        <f ca="1"/>
        <v>104.371</v>
      </c>
      <c r="Z118" s="57" t="str">
        <f ca="1"/>
        <v>VOON</v>
      </c>
      <c r="AA118" s="57" t="str">
        <f ca="1"/>
        <v>Bond Corporate</v>
      </c>
      <c r="AB118" s="56">
        <f ca="1"/>
        <v>-15.660000000000593</v>
      </c>
      <c r="AC118" s="56">
        <f ca="1">IFERROR(IF(ISBLANK(AB118),"-",AB118-_xlfn.XLOOKUP(T118,AI:AI,AJ:AJ)),"-")</f>
        <v>-1.7399999999835813</v>
      </c>
      <c r="AD118" s="56">
        <f ca="1">IFERROR(IF(ISBLANK(AB118),"-",AB118-_xlfn.XLOOKUP(T118,AO:AO,AP:AP)),"-")</f>
        <v>0</v>
      </c>
      <c r="AE118" s="25"/>
      <c r="AF118" s="25"/>
      <c r="AG118" s="25"/>
      <c r="AH118" s="25"/>
      <c r="AI118" s="51" t="s">
        <v>175</v>
      </c>
      <c r="AJ118" s="80">
        <v>-15.660000000000593</v>
      </c>
      <c r="AK118" s="25"/>
      <c r="AL118" s="25"/>
      <c r="AM118" s="25"/>
      <c r="AN118" s="25"/>
      <c r="AO118" s="51" t="s">
        <v>175</v>
      </c>
      <c r="AP118" s="80">
        <v>-13.920000000017012</v>
      </c>
      <c r="AQ118" s="25"/>
      <c r="AR118" s="25"/>
      <c r="AS118" s="26"/>
      <c r="AT118" s="20" t="s">
        <v>867</v>
      </c>
      <c r="AW118" s="25"/>
      <c r="AX118" s="25"/>
      <c r="AY118" s="37"/>
      <c r="AZ118" s="25"/>
      <c r="BA118" s="35"/>
      <c r="BB118" s="25"/>
      <c r="BC118" s="25"/>
      <c r="BD118" s="25"/>
      <c r="BE118" s="25"/>
      <c r="BF118" s="25"/>
      <c r="BG118" s="25"/>
      <c r="BH118" s="25"/>
      <c r="BI118" s="37"/>
      <c r="BJ118" s="25"/>
      <c r="BK118" s="25"/>
    </row>
    <row r="119" spans="3:63" x14ac:dyDescent="0.35">
      <c r="C119" s="25" t="str">
        <f ca="1"/>
        <v>XS1705553250</v>
      </c>
      <c r="D119" s="25" t="str">
        <f ca="1"/>
        <v>VOON</v>
      </c>
      <c r="E119" s="35">
        <f ca="1"/>
        <v>104.76600000000001</v>
      </c>
      <c r="F119" s="102"/>
      <c r="G119" s="102">
        <f ca="1"/>
        <v>-1285000</v>
      </c>
      <c r="H119" s="25">
        <f ca="1"/>
        <v>-629.64999999990209</v>
      </c>
      <c r="I119" s="37">
        <f ca="1"/>
        <v>0</v>
      </c>
      <c r="J119" s="37" t="str">
        <f ca="1"/>
        <v>BGN</v>
      </c>
      <c r="K119" s="35" t="str">
        <f ca="1"/>
        <v>EUR</v>
      </c>
      <c r="L119" s="102">
        <f ca="1"/>
        <v>-629.64999999990209</v>
      </c>
      <c r="M119" s="102">
        <f ca="1"/>
        <v>-629.64999999990209</v>
      </c>
      <c r="N119" s="19">
        <f ca="1"/>
        <v>104.815</v>
      </c>
      <c r="Q119" s="20" t="s">
        <v>867</v>
      </c>
      <c r="R119" s="24"/>
      <c r="S119" s="25">
        <f ca="1"/>
        <v>78</v>
      </c>
      <c r="T119" s="19" t="str">
        <f ca="1"/>
        <v>XS1705553250</v>
      </c>
      <c r="U119" s="25" t="str">
        <f ca="1"/>
        <v>STEDIN 0 7/8 10/24/25</v>
      </c>
      <c r="V119" s="64">
        <f ca="1"/>
        <v>-1285000</v>
      </c>
      <c r="W119" s="70">
        <f ca="1"/>
        <v>-0.75</v>
      </c>
      <c r="X119" s="71">
        <f ca="1"/>
        <v>104.76600000000001</v>
      </c>
      <c r="Y119" s="71">
        <f ca="1"/>
        <v>104.815</v>
      </c>
      <c r="Z119" s="57" t="str">
        <f ca="1"/>
        <v>VOON</v>
      </c>
      <c r="AA119" s="57" t="str">
        <f ca="1"/>
        <v>Bond Corporate</v>
      </c>
      <c r="AB119" s="56">
        <f ca="1"/>
        <v>-629.64999999990209</v>
      </c>
      <c r="AC119" s="56">
        <f ca="1">IFERROR(IF(ISBLANK(AB119),"-",AB119-_xlfn.XLOOKUP(T119,AI:AI,AJ:AJ)),"-")</f>
        <v>0</v>
      </c>
      <c r="AD119" s="56">
        <f ca="1">IFERROR(IF(ISBLANK(AB119),"-",AB119-_xlfn.XLOOKUP(T119,AO:AO,AP:AP)),"-")</f>
        <v>0</v>
      </c>
      <c r="AE119" s="25"/>
      <c r="AF119" s="25"/>
      <c r="AG119" s="25"/>
      <c r="AH119" s="25"/>
      <c r="AI119" s="51" t="s">
        <v>178</v>
      </c>
      <c r="AJ119" s="80">
        <v>-629.64999999990209</v>
      </c>
      <c r="AK119" s="25"/>
      <c r="AL119" s="25"/>
      <c r="AM119" s="25"/>
      <c r="AN119" s="25"/>
      <c r="AO119" s="51" t="s">
        <v>178</v>
      </c>
      <c r="AP119" s="80">
        <v>-629.64999999990209</v>
      </c>
      <c r="AQ119" s="25"/>
      <c r="AR119" s="25"/>
      <c r="AS119" s="26"/>
      <c r="AT119" s="20" t="s">
        <v>867</v>
      </c>
      <c r="AW119" s="25"/>
      <c r="AX119" s="25"/>
      <c r="AY119" s="37"/>
      <c r="AZ119" s="25"/>
      <c r="BA119" s="35"/>
      <c r="BB119" s="25"/>
      <c r="BC119" s="25"/>
      <c r="BD119" s="25"/>
      <c r="BE119" s="25"/>
      <c r="BF119" s="25"/>
      <c r="BG119" s="25"/>
      <c r="BH119" s="25"/>
      <c r="BI119" s="37"/>
      <c r="BJ119" s="25"/>
      <c r="BK119" s="25"/>
    </row>
    <row r="120" spans="3:63" x14ac:dyDescent="0.35">
      <c r="C120" s="25" t="str">
        <f ca="1"/>
        <v>XS0162869076</v>
      </c>
      <c r="D120" s="25" t="str">
        <f ca="1"/>
        <v>VOON</v>
      </c>
      <c r="E120" s="35">
        <f ca="1"/>
        <v>160.54499999999999</v>
      </c>
      <c r="F120" s="102"/>
      <c r="G120" s="102">
        <f ca="1"/>
        <v>3000000</v>
      </c>
      <c r="H120" s="25">
        <f ca="1"/>
        <v>8370.000000000744</v>
      </c>
      <c r="I120" s="37">
        <f ca="1"/>
        <v>0</v>
      </c>
      <c r="J120" s="37" t="str">
        <f ca="1"/>
        <v>BGN</v>
      </c>
      <c r="K120" s="35" t="str">
        <f ca="1"/>
        <v>EUR</v>
      </c>
      <c r="L120" s="102">
        <f ca="1"/>
        <v>8370.000000000744</v>
      </c>
      <c r="M120" s="102">
        <f ca="1"/>
        <v>8370.000000000744</v>
      </c>
      <c r="N120" s="19">
        <f ca="1"/>
        <v>160.82400000000001</v>
      </c>
      <c r="Q120" s="20" t="s">
        <v>867</v>
      </c>
      <c r="R120" s="24"/>
      <c r="S120" s="25">
        <f ca="1"/>
        <v>79</v>
      </c>
      <c r="T120" s="19" t="str">
        <f ca="1"/>
        <v>XS0162869076</v>
      </c>
      <c r="U120" s="25" t="str">
        <f ca="1"/>
        <v>TELEFO 5 7/8 02/14/33</v>
      </c>
      <c r="V120" s="64">
        <f ca="1"/>
        <v>3000000</v>
      </c>
      <c r="W120" s="70">
        <f ca="1"/>
        <v>13</v>
      </c>
      <c r="X120" s="71">
        <f ca="1"/>
        <v>160.54499999999999</v>
      </c>
      <c r="Y120" s="71">
        <f ca="1"/>
        <v>160.82400000000001</v>
      </c>
      <c r="Z120" s="57" t="str">
        <f ca="1"/>
        <v>VOON</v>
      </c>
      <c r="AA120" s="57" t="str">
        <f ca="1"/>
        <v>Bond Corporate</v>
      </c>
      <c r="AB120" s="56">
        <f ca="1"/>
        <v>8370.000000000744</v>
      </c>
      <c r="AC120" s="56">
        <f ca="1">IFERROR(IF(ISBLANK(AB120),"-",AB120-_xlfn.XLOOKUP(T120,AI:AI,AJ:AJ)),"-")</f>
        <v>0</v>
      </c>
      <c r="AD120" s="56">
        <f ca="1">IFERROR(IF(ISBLANK(AB120),"-",AB120-_xlfn.XLOOKUP(T120,AO:AO,AP:AP)),"-")</f>
        <v>0</v>
      </c>
      <c r="AE120" s="25"/>
      <c r="AF120" s="25"/>
      <c r="AG120" s="25"/>
      <c r="AH120" s="25"/>
      <c r="AI120" s="51" t="s">
        <v>1453</v>
      </c>
      <c r="AJ120" s="80">
        <v>8370.000000000744</v>
      </c>
      <c r="AK120" s="25"/>
      <c r="AL120" s="25"/>
      <c r="AM120" s="25"/>
      <c r="AN120" s="25"/>
      <c r="AO120" s="51" t="s">
        <v>1453</v>
      </c>
      <c r="AP120" s="80">
        <v>8370.000000000744</v>
      </c>
      <c r="AQ120" s="25"/>
      <c r="AR120" s="25"/>
      <c r="AS120" s="26"/>
      <c r="AT120" s="20" t="s">
        <v>867</v>
      </c>
      <c r="AW120" s="25"/>
      <c r="AX120" s="25"/>
      <c r="AY120" s="37"/>
      <c r="AZ120" s="25"/>
      <c r="BA120" s="35"/>
      <c r="BB120" s="25"/>
      <c r="BC120" s="25"/>
      <c r="BD120" s="25"/>
      <c r="BE120" s="25"/>
      <c r="BF120" s="25"/>
      <c r="BG120" s="25"/>
      <c r="BH120" s="25"/>
      <c r="BI120" s="37"/>
      <c r="BJ120" s="25"/>
      <c r="BK120" s="25"/>
    </row>
    <row r="121" spans="3:63" x14ac:dyDescent="0.35">
      <c r="C121" s="25" t="str">
        <f ca="1"/>
        <v>XS1756296965</v>
      </c>
      <c r="D121" s="25" t="str">
        <f ca="1"/>
        <v>VOON</v>
      </c>
      <c r="E121" s="35">
        <f ca="1"/>
        <v>108.042</v>
      </c>
      <c r="F121" s="102"/>
      <c r="G121" s="102">
        <f ca="1"/>
        <v>-2700000</v>
      </c>
      <c r="H121" s="25">
        <f ca="1"/>
        <v>-2835.0000000001078</v>
      </c>
      <c r="I121" s="37">
        <f ca="1"/>
        <v>0</v>
      </c>
      <c r="J121" s="37" t="str">
        <f ca="1"/>
        <v>BGN</v>
      </c>
      <c r="K121" s="35" t="str">
        <f ca="1"/>
        <v>EUR</v>
      </c>
      <c r="L121" s="102">
        <f ca="1"/>
        <v>-2835.0000000001078</v>
      </c>
      <c r="M121" s="102">
        <f ca="1"/>
        <v>-2835.0000000001078</v>
      </c>
      <c r="N121" s="19">
        <f ca="1"/>
        <v>108.14700000000001</v>
      </c>
      <c r="Q121" s="20" t="s">
        <v>867</v>
      </c>
      <c r="R121" s="24"/>
      <c r="S121" s="25">
        <f ca="1"/>
        <v>80</v>
      </c>
      <c r="T121" s="19" t="str">
        <f ca="1"/>
        <v>XS1756296965</v>
      </c>
      <c r="U121" s="25" t="str">
        <f ca="1"/>
        <v>TELEFO 1.447 01/22/27</v>
      </c>
      <c r="V121" s="64">
        <f ca="1"/>
        <v>-2700000</v>
      </c>
      <c r="W121" s="70">
        <f ca="1"/>
        <v>-2.99</v>
      </c>
      <c r="X121" s="71">
        <f ca="1"/>
        <v>108.042</v>
      </c>
      <c r="Y121" s="71">
        <f ca="1"/>
        <v>108.14700000000001</v>
      </c>
      <c r="Z121" s="57" t="str">
        <f ca="1"/>
        <v>VOON</v>
      </c>
      <c r="AA121" s="57" t="str">
        <f ca="1"/>
        <v>Bond Corporate</v>
      </c>
      <c r="AB121" s="56">
        <f ca="1"/>
        <v>-2835.0000000001078</v>
      </c>
      <c r="AC121" s="56">
        <f ca="1">IFERROR(IF(ISBLANK(AB121),"-",AB121-_xlfn.XLOOKUP(T121,AI:AI,AJ:AJ)),"-")</f>
        <v>0</v>
      </c>
      <c r="AD121" s="56">
        <f ca="1">IFERROR(IF(ISBLANK(AB121),"-",AB121-_xlfn.XLOOKUP(T121,AO:AO,AP:AP)),"-")</f>
        <v>-216.00000000026421</v>
      </c>
      <c r="AE121" s="25"/>
      <c r="AF121" s="25"/>
      <c r="AG121" s="25"/>
      <c r="AH121" s="25"/>
      <c r="AI121" s="51" t="s">
        <v>1449</v>
      </c>
      <c r="AJ121" s="80">
        <v>-2835.0000000001078</v>
      </c>
      <c r="AK121" s="25"/>
      <c r="AL121" s="25"/>
      <c r="AM121" s="25"/>
      <c r="AN121" s="25"/>
      <c r="AO121" s="51" t="s">
        <v>1449</v>
      </c>
      <c r="AP121" s="80">
        <v>-2835.0000000001078</v>
      </c>
      <c r="AQ121" s="25"/>
      <c r="AR121" s="25"/>
      <c r="AS121" s="26"/>
      <c r="AT121" s="20" t="s">
        <v>867</v>
      </c>
      <c r="AW121" s="25"/>
      <c r="AX121" s="25"/>
      <c r="AY121" s="37"/>
      <c r="AZ121" s="25"/>
      <c r="BA121" s="35"/>
      <c r="BB121" s="25"/>
      <c r="BC121" s="25"/>
      <c r="BD121" s="25"/>
      <c r="BE121" s="25"/>
      <c r="BF121" s="25"/>
      <c r="BG121" s="25"/>
      <c r="BH121" s="25"/>
      <c r="BI121" s="37"/>
      <c r="BJ121" s="25"/>
      <c r="BK121" s="25"/>
    </row>
    <row r="122" spans="3:63" x14ac:dyDescent="0.35">
      <c r="C122" s="25" t="str">
        <f ca="1"/>
        <v>XS2262065159</v>
      </c>
      <c r="D122" s="25" t="str">
        <f ca="1"/>
        <v>VOON</v>
      </c>
      <c r="E122" s="35">
        <f ca="1"/>
        <v>99.241</v>
      </c>
      <c r="F122" s="102"/>
      <c r="G122" s="102">
        <f ca="1"/>
        <v>3000000</v>
      </c>
      <c r="H122" s="25" t="str">
        <f ca="1"/>
        <v>-</v>
      </c>
      <c r="I122" s="37">
        <f ca="1"/>
        <v>0</v>
      </c>
      <c r="J122" s="37" t="str">
        <f ca="1"/>
        <v>BGN</v>
      </c>
      <c r="K122" s="35" t="str">
        <f ca="1"/>
        <v>EUR</v>
      </c>
      <c r="L122" s="102" t="str">
        <f ca="1"/>
        <v>-</v>
      </c>
      <c r="M122" s="102" t="str">
        <f ca="1"/>
        <v>-</v>
      </c>
      <c r="N122" s="19" t="str">
        <f ca="1"/>
        <v>#N/A Requesting Data...</v>
      </c>
      <c r="Q122" s="20" t="s">
        <v>867</v>
      </c>
      <c r="R122" s="24"/>
      <c r="S122" s="25">
        <f ca="1"/>
        <v>81</v>
      </c>
      <c r="T122" s="19" t="str">
        <f ca="1"/>
        <v>XS2262065159</v>
      </c>
      <c r="U122" s="25" t="str">
        <f ca="1"/>
        <v>TENN 0 1/8 11/30/32</v>
      </c>
      <c r="V122" s="64">
        <f ca="1"/>
        <v>1500000</v>
      </c>
      <c r="W122" s="70">
        <f ca="1"/>
        <v>1.8</v>
      </c>
      <c r="X122" s="71">
        <f ca="1"/>
        <v>99.241</v>
      </c>
      <c r="Y122" s="71" t="str">
        <f ca="1"/>
        <v>#N/A Requesting Data...</v>
      </c>
      <c r="Z122" s="57" t="str">
        <f ca="1"/>
        <v>VOON</v>
      </c>
      <c r="AA122" s="57" t="str">
        <f ca="1"/>
        <v>Bond Corporate</v>
      </c>
      <c r="AB122" s="56" t="str">
        <f ca="1"/>
        <v>-</v>
      </c>
      <c r="AC122" s="56" t="str">
        <f ca="1">IFERROR(IF(ISBLANK(AB122),"-",AB122-_xlfn.XLOOKUP(T122,AI:AI,AJ:AJ)),"-")</f>
        <v>-</v>
      </c>
      <c r="AD122" s="56" t="str">
        <f ca="1">IFERROR(IF(ISBLANK(AB122),"-",AB122-_xlfn.XLOOKUP(T122,AO:AO,AP:AP)),"-")</f>
        <v>-</v>
      </c>
      <c r="AE122" s="25"/>
      <c r="AF122" s="25"/>
      <c r="AG122" s="25"/>
      <c r="AH122" s="25"/>
      <c r="AI122" s="51" t="s">
        <v>1666</v>
      </c>
      <c r="AJ122" s="80" t="s">
        <v>1181</v>
      </c>
      <c r="AK122" s="25"/>
      <c r="AL122" s="25"/>
      <c r="AM122" s="25"/>
      <c r="AN122" s="25"/>
      <c r="AO122" s="51" t="s">
        <v>1666</v>
      </c>
      <c r="AP122" s="80" t="s">
        <v>1181</v>
      </c>
      <c r="AQ122" s="25"/>
      <c r="AR122" s="25"/>
      <c r="AS122" s="26"/>
      <c r="AT122" s="20" t="s">
        <v>867</v>
      </c>
      <c r="AW122" s="25"/>
      <c r="AX122" s="25"/>
      <c r="AY122" s="37"/>
      <c r="AZ122" s="25"/>
      <c r="BA122" s="35"/>
      <c r="BB122" s="25"/>
      <c r="BC122" s="25"/>
      <c r="BD122" s="25"/>
      <c r="BE122" s="25"/>
      <c r="BF122" s="25"/>
      <c r="BG122" s="25"/>
      <c r="BH122" s="25"/>
      <c r="BI122" s="37"/>
      <c r="BJ122" s="25"/>
      <c r="BK122" s="25"/>
    </row>
    <row r="123" spans="3:63" x14ac:dyDescent="0.35">
      <c r="C123" s="25" t="str">
        <f ca="1"/>
        <v>XS2262065233</v>
      </c>
      <c r="D123" s="25" t="str">
        <f ca="1"/>
        <v>VOON</v>
      </c>
      <c r="E123" s="35">
        <f ca="1"/>
        <v>99.432000000000002</v>
      </c>
      <c r="F123" s="102"/>
      <c r="G123" s="102">
        <f ca="1"/>
        <v>2000000</v>
      </c>
      <c r="H123" s="25" t="str">
        <f ca="1"/>
        <v>-</v>
      </c>
      <c r="I123" s="37">
        <f ca="1"/>
        <v>0</v>
      </c>
      <c r="J123" s="37" t="str">
        <f ca="1"/>
        <v>BGN</v>
      </c>
      <c r="K123" s="35" t="str">
        <f ca="1"/>
        <v>EUR</v>
      </c>
      <c r="L123" s="102" t="str">
        <f ca="1"/>
        <v>-</v>
      </c>
      <c r="M123" s="102" t="str">
        <f ca="1"/>
        <v>-</v>
      </c>
      <c r="N123" s="19" t="str">
        <f ca="1"/>
        <v>#N/A Requesting Data...</v>
      </c>
      <c r="Q123" s="20" t="s">
        <v>867</v>
      </c>
      <c r="R123" s="24"/>
      <c r="S123" s="25">
        <f ca="1"/>
        <v>82</v>
      </c>
      <c r="T123" s="19" t="str">
        <f ca="1"/>
        <v>XS2262065233</v>
      </c>
      <c r="U123" s="25" t="str">
        <f ca="1"/>
        <v>TENN 0 1/2 11/30/40</v>
      </c>
      <c r="V123" s="64">
        <f ca="1"/>
        <v>1000000</v>
      </c>
      <c r="W123" s="70">
        <f ca="1"/>
        <v>2.84</v>
      </c>
      <c r="X123" s="71">
        <f ca="1"/>
        <v>99.432000000000002</v>
      </c>
      <c r="Y123" s="71" t="str">
        <f ca="1"/>
        <v>#N/A Requesting Data...</v>
      </c>
      <c r="Z123" s="57" t="str">
        <f ca="1"/>
        <v>VOON</v>
      </c>
      <c r="AA123" s="57" t="str">
        <f ca="1"/>
        <v>Bond Corporate</v>
      </c>
      <c r="AB123" s="56" t="str">
        <f ca="1"/>
        <v>-</v>
      </c>
      <c r="AC123" s="56" t="str">
        <f ca="1">IFERROR(IF(ISBLANK(AB123),"-",AB123-_xlfn.XLOOKUP(T123,AI:AI,AJ:AJ)),"-")</f>
        <v>-</v>
      </c>
      <c r="AD123" s="56" t="str">
        <f ca="1">IFERROR(IF(ISBLANK(AB123),"-",AB123-_xlfn.XLOOKUP(T123,AO:AO,AP:AP)),"-")</f>
        <v>-</v>
      </c>
      <c r="AE123" s="25"/>
      <c r="AF123" s="25"/>
      <c r="AG123" s="25"/>
      <c r="AH123" s="25"/>
      <c r="AI123" s="51" t="s">
        <v>1668</v>
      </c>
      <c r="AJ123" s="80" t="s">
        <v>1181</v>
      </c>
      <c r="AK123" s="25"/>
      <c r="AL123" s="25"/>
      <c r="AM123" s="25"/>
      <c r="AN123" s="25"/>
      <c r="AO123" s="51" t="s">
        <v>1668</v>
      </c>
      <c r="AP123" s="80" t="s">
        <v>1181</v>
      </c>
      <c r="AQ123" s="25"/>
      <c r="AR123" s="25"/>
      <c r="AS123" s="26"/>
      <c r="AT123" s="20" t="s">
        <v>867</v>
      </c>
      <c r="AW123" s="25"/>
      <c r="AX123" s="25"/>
      <c r="AY123" s="37"/>
      <c r="AZ123" s="25"/>
      <c r="BA123" s="35"/>
      <c r="BB123" s="25"/>
      <c r="BC123" s="25"/>
      <c r="BD123" s="25"/>
      <c r="BE123" s="25"/>
      <c r="BF123" s="25"/>
      <c r="BG123" s="25"/>
      <c r="BH123" s="25"/>
      <c r="BI123" s="37"/>
      <c r="BJ123" s="25"/>
      <c r="BK123" s="25"/>
    </row>
    <row r="124" spans="3:63" x14ac:dyDescent="0.35">
      <c r="C124" s="25" t="str">
        <f ca="1"/>
        <v>XS2004381245</v>
      </c>
      <c r="D124" s="25" t="str">
        <f ca="1"/>
        <v>VOON</v>
      </c>
      <c r="E124" s="35">
        <f ca="1"/>
        <v>116.29300000000001</v>
      </c>
      <c r="F124" s="102"/>
      <c r="G124" s="102">
        <f ca="1"/>
        <v>1000000</v>
      </c>
      <c r="H124" s="25">
        <f ca="1"/>
        <v>4589.99999999989</v>
      </c>
      <c r="I124" s="37">
        <f ca="1"/>
        <v>0</v>
      </c>
      <c r="J124" s="37" t="str">
        <f ca="1"/>
        <v>BGN</v>
      </c>
      <c r="K124" s="35" t="str">
        <f ca="1"/>
        <v>EUR</v>
      </c>
      <c r="L124" s="102">
        <f ca="1"/>
        <v>4589.99999999989</v>
      </c>
      <c r="M124" s="102">
        <f ca="1"/>
        <v>4589.99999999989</v>
      </c>
      <c r="N124" s="19">
        <f ca="1"/>
        <v>116.752</v>
      </c>
      <c r="Q124" s="20" t="s">
        <v>867</v>
      </c>
      <c r="R124" s="24"/>
      <c r="S124" s="25">
        <f ca="1"/>
        <v>83</v>
      </c>
      <c r="T124" s="19" t="str">
        <f ca="1"/>
        <v>XS2004381245</v>
      </c>
      <c r="U124" s="25" t="str">
        <f ca="1"/>
        <v>TOTAL 1.535 05/31/39</v>
      </c>
      <c r="V124" s="64">
        <f ca="1"/>
        <v>1000000</v>
      </c>
      <c r="W124" s="70">
        <f ca="1"/>
        <v>3.5</v>
      </c>
      <c r="X124" s="71">
        <f ca="1"/>
        <v>116.29300000000001</v>
      </c>
      <c r="Y124" s="71">
        <f ca="1"/>
        <v>116.752</v>
      </c>
      <c r="Z124" s="57" t="str">
        <f ca="1"/>
        <v>VOON</v>
      </c>
      <c r="AA124" s="57" t="str">
        <f ca="1"/>
        <v>Bond Corporate</v>
      </c>
      <c r="AB124" s="56">
        <f ca="1"/>
        <v>4589.99999999989</v>
      </c>
      <c r="AC124" s="56">
        <f ca="1">IFERROR(IF(ISBLANK(AB124),"-",AB124-_xlfn.XLOOKUP(T124,AI:AI,AJ:AJ)),"-")</f>
        <v>0</v>
      </c>
      <c r="AD124" s="56">
        <f ca="1">IFERROR(IF(ISBLANK(AB124),"-",AB124-_xlfn.XLOOKUP(T124,AO:AO,AP:AP)),"-")</f>
        <v>30.000000000000909</v>
      </c>
      <c r="AE124" s="25"/>
      <c r="AF124" s="25"/>
      <c r="AG124" s="25"/>
      <c r="AH124" s="25"/>
      <c r="AI124" s="51" t="s">
        <v>1384</v>
      </c>
      <c r="AJ124" s="80">
        <v>4589.99999999989</v>
      </c>
      <c r="AK124" s="25"/>
      <c r="AL124" s="25"/>
      <c r="AM124" s="25"/>
      <c r="AN124" s="25"/>
      <c r="AO124" s="51" t="s">
        <v>1384</v>
      </c>
      <c r="AP124" s="80">
        <v>4589.99999999989</v>
      </c>
      <c r="AQ124" s="25"/>
      <c r="AR124" s="25"/>
      <c r="AS124" s="26"/>
      <c r="AT124" s="20" t="s">
        <v>867</v>
      </c>
      <c r="AW124" s="25"/>
      <c r="AX124" s="25"/>
      <c r="AY124" s="37"/>
      <c r="AZ124" s="25"/>
      <c r="BA124" s="35"/>
      <c r="BB124" s="25"/>
      <c r="BC124" s="25"/>
      <c r="BD124" s="25"/>
      <c r="BE124" s="25"/>
      <c r="BF124" s="25"/>
      <c r="BG124" s="25"/>
      <c r="BH124" s="25"/>
      <c r="BI124" s="37"/>
      <c r="BJ124" s="25"/>
      <c r="BK124" s="25"/>
    </row>
    <row r="125" spans="3:63" x14ac:dyDescent="0.35">
      <c r="C125" s="25" t="str">
        <f ca="1"/>
        <v>XS2004381674</v>
      </c>
      <c r="D125" s="25" t="str">
        <f ca="1"/>
        <v>VOON</v>
      </c>
      <c r="E125" s="35">
        <f ca="1"/>
        <v>105.574</v>
      </c>
      <c r="F125" s="102"/>
      <c r="G125" s="102">
        <f ca="1"/>
        <v>0</v>
      </c>
      <c r="H125" s="25">
        <f ca="1"/>
        <v>0</v>
      </c>
      <c r="I125" s="37">
        <f ca="1"/>
        <v>0</v>
      </c>
      <c r="J125" s="37" t="str">
        <f ca="1"/>
        <v>BGN</v>
      </c>
      <c r="K125" s="35" t="str">
        <f ca="1"/>
        <v>EUR</v>
      </c>
      <c r="L125" s="102">
        <f ca="1"/>
        <v>0</v>
      </c>
      <c r="M125" s="102">
        <f ca="1"/>
        <v>0</v>
      </c>
      <c r="N125" s="19">
        <f ca="1"/>
        <v>105.70099999999999</v>
      </c>
      <c r="Q125" s="20" t="s">
        <v>867</v>
      </c>
      <c r="R125" s="24"/>
      <c r="S125" s="25">
        <f ca="1"/>
        <v>84</v>
      </c>
      <c r="T125" s="19" t="str">
        <f ca="1"/>
        <v>XS2004381674</v>
      </c>
      <c r="U125" s="25" t="str">
        <f ca="1"/>
        <v>TOTAL 0.696 05/31/28</v>
      </c>
      <c r="V125" s="64">
        <f ca="1"/>
        <v>0</v>
      </c>
      <c r="W125" s="70">
        <f ca="1"/>
        <v>0</v>
      </c>
      <c r="X125" s="71">
        <f ca="1"/>
        <v>105.574</v>
      </c>
      <c r="Y125" s="71">
        <f ca="1"/>
        <v>105.70099999999999</v>
      </c>
      <c r="Z125" s="57" t="str">
        <f ca="1"/>
        <v>VOON</v>
      </c>
      <c r="AA125" s="57" t="str">
        <f ca="1"/>
        <v>Bond Corporate</v>
      </c>
      <c r="AB125" s="56">
        <f ca="1"/>
        <v>0</v>
      </c>
      <c r="AC125" s="56">
        <f ca="1">IFERROR(IF(ISBLANK(AB125),"-",AB125-_xlfn.XLOOKUP(T125,AI:AI,AJ:AJ)),"-")</f>
        <v>0</v>
      </c>
      <c r="AD125" s="56">
        <f ca="1">IFERROR(IF(ISBLANK(AB125),"-",AB125-_xlfn.XLOOKUP(T125,AO:AO,AP:AP)),"-")</f>
        <v>0</v>
      </c>
      <c r="AE125" s="25"/>
      <c r="AF125" s="25"/>
      <c r="AG125" s="25"/>
      <c r="AH125" s="25"/>
      <c r="AI125" s="51" t="s">
        <v>187</v>
      </c>
      <c r="AJ125" s="80">
        <v>0</v>
      </c>
      <c r="AK125" s="25"/>
      <c r="AL125" s="25"/>
      <c r="AM125" s="25"/>
      <c r="AN125" s="25"/>
      <c r="AO125" s="51" t="s">
        <v>187</v>
      </c>
      <c r="AP125" s="80">
        <v>0</v>
      </c>
      <c r="AQ125" s="25"/>
      <c r="AR125" s="25"/>
      <c r="AS125" s="26"/>
      <c r="AT125" s="20" t="s">
        <v>867</v>
      </c>
      <c r="AW125" s="25"/>
      <c r="AX125" s="25"/>
      <c r="AY125" s="37"/>
      <c r="AZ125" s="25"/>
      <c r="BA125" s="35"/>
      <c r="BB125" s="25"/>
      <c r="BC125" s="25"/>
      <c r="BD125" s="25"/>
      <c r="BE125" s="25"/>
      <c r="BF125" s="25"/>
      <c r="BG125" s="25"/>
      <c r="BH125" s="25"/>
      <c r="BI125" s="37"/>
      <c r="BJ125" s="25"/>
      <c r="BK125" s="25"/>
    </row>
    <row r="126" spans="3:63" x14ac:dyDescent="0.35">
      <c r="C126" s="25" t="str">
        <f ca="1"/>
        <v>XS1874122770</v>
      </c>
      <c r="D126" s="25" t="str">
        <f ca="1"/>
        <v>VOON</v>
      </c>
      <c r="E126" s="35">
        <f ca="1"/>
        <v>107.46</v>
      </c>
      <c r="F126" s="102"/>
      <c r="G126" s="102">
        <f ca="1"/>
        <v>0</v>
      </c>
      <c r="H126" s="25">
        <f ca="1"/>
        <v>0</v>
      </c>
      <c r="I126" s="37">
        <f ca="1"/>
        <v>0</v>
      </c>
      <c r="J126" s="37" t="str">
        <f ca="1"/>
        <v>BGN</v>
      </c>
      <c r="K126" s="35" t="str">
        <f ca="1"/>
        <v>EUR</v>
      </c>
      <c r="L126" s="102">
        <f ca="1"/>
        <v>0</v>
      </c>
      <c r="M126" s="102">
        <f ca="1"/>
        <v>0</v>
      </c>
      <c r="N126" s="19">
        <f ca="1"/>
        <v>107.655</v>
      </c>
      <c r="Q126" s="20" t="s">
        <v>867</v>
      </c>
      <c r="R126" s="24"/>
      <c r="S126" s="25">
        <f ca="1"/>
        <v>85</v>
      </c>
      <c r="T126" s="19" t="str">
        <f ca="1"/>
        <v>XS1874122770</v>
      </c>
      <c r="U126" s="25" t="str">
        <f ca="1"/>
        <v>TOTAL 1.023 03/04/27</v>
      </c>
      <c r="V126" s="64">
        <f ca="1"/>
        <v>0</v>
      </c>
      <c r="W126" s="70">
        <f ca="1"/>
        <v>0</v>
      </c>
      <c r="X126" s="71">
        <f ca="1"/>
        <v>107.46</v>
      </c>
      <c r="Y126" s="71">
        <f ca="1"/>
        <v>107.655</v>
      </c>
      <c r="Z126" s="57" t="str">
        <f ca="1"/>
        <v>VOON</v>
      </c>
      <c r="AA126" s="57" t="str">
        <f ca="1"/>
        <v>Bond Corporate</v>
      </c>
      <c r="AB126" s="56">
        <f ca="1"/>
        <v>0</v>
      </c>
      <c r="AC126" s="56">
        <f ca="1">IFERROR(IF(ISBLANK(AB126),"-",AB126-_xlfn.XLOOKUP(T126,AI:AI,AJ:AJ)),"-")</f>
        <v>0</v>
      </c>
      <c r="AD126" s="56">
        <f ca="1">IFERROR(IF(ISBLANK(AB126),"-",AB126-_xlfn.XLOOKUP(T126,AO:AO,AP:AP)),"-")</f>
        <v>0</v>
      </c>
      <c r="AE126" s="25"/>
      <c r="AF126" s="25"/>
      <c r="AG126" s="25"/>
      <c r="AH126" s="25"/>
      <c r="AI126" s="51" t="s">
        <v>191</v>
      </c>
      <c r="AJ126" s="80">
        <v>0</v>
      </c>
      <c r="AK126" s="25"/>
      <c r="AL126" s="25"/>
      <c r="AM126" s="25"/>
      <c r="AN126" s="25"/>
      <c r="AO126" s="51" t="s">
        <v>191</v>
      </c>
      <c r="AP126" s="80">
        <v>0</v>
      </c>
      <c r="AQ126" s="25"/>
      <c r="AR126" s="25"/>
      <c r="AS126" s="26"/>
      <c r="AT126" s="20" t="s">
        <v>867</v>
      </c>
      <c r="AW126" s="25"/>
      <c r="AX126" s="25"/>
      <c r="AY126" s="37"/>
      <c r="AZ126" s="25"/>
      <c r="BA126" s="35"/>
      <c r="BB126" s="25"/>
      <c r="BC126" s="25"/>
      <c r="BD126" s="25"/>
      <c r="BE126" s="25"/>
      <c r="BF126" s="25"/>
      <c r="BG126" s="25"/>
      <c r="BH126" s="25"/>
      <c r="BI126" s="37"/>
      <c r="BJ126" s="25"/>
      <c r="BK126" s="25"/>
    </row>
    <row r="127" spans="3:63" x14ac:dyDescent="0.35">
      <c r="C127" s="25" t="str">
        <f ca="1"/>
        <v>XS1048519679</v>
      </c>
      <c r="D127" s="25" t="str">
        <f ca="1"/>
        <v>VOON</v>
      </c>
      <c r="E127" s="35">
        <f ca="1"/>
        <v>115.197</v>
      </c>
      <c r="F127" s="102"/>
      <c r="G127" s="102">
        <f ca="1"/>
        <v>-900000</v>
      </c>
      <c r="H127" s="25">
        <f ca="1"/>
        <v>-305.99999999992633</v>
      </c>
      <c r="I127" s="37">
        <f ca="1"/>
        <v>0</v>
      </c>
      <c r="J127" s="37" t="str">
        <f ca="1"/>
        <v>BGN</v>
      </c>
      <c r="K127" s="35" t="str">
        <f ca="1"/>
        <v>EUR</v>
      </c>
      <c r="L127" s="102">
        <f ca="1"/>
        <v>-305.99999999992633</v>
      </c>
      <c r="M127" s="102">
        <f ca="1"/>
        <v>-305.99999999992633</v>
      </c>
      <c r="N127" s="19">
        <f ca="1"/>
        <v>115.23099999999999</v>
      </c>
      <c r="Q127" s="20" t="s">
        <v>867</v>
      </c>
      <c r="R127" s="24"/>
      <c r="S127" s="25">
        <f ca="1"/>
        <v>86</v>
      </c>
      <c r="T127" s="19" t="str">
        <f ca="1"/>
        <v>XS1048519679</v>
      </c>
      <c r="U127" s="25" t="str">
        <f ca="1"/>
        <v>TOTAL 2 1/2 03/25/26</v>
      </c>
      <c r="V127" s="64">
        <f ca="1"/>
        <v>-900000</v>
      </c>
      <c r="W127" s="70">
        <f ca="1"/>
        <v>-0.2</v>
      </c>
      <c r="X127" s="71">
        <f ca="1"/>
        <v>115.197</v>
      </c>
      <c r="Y127" s="71">
        <f ca="1"/>
        <v>115.23099999999999</v>
      </c>
      <c r="Z127" s="57" t="str">
        <f ca="1"/>
        <v>VOON</v>
      </c>
      <c r="AA127" s="57" t="str">
        <f ca="1"/>
        <v>Bond Corporate</v>
      </c>
      <c r="AB127" s="56">
        <f ca="1"/>
        <v>-305.99999999992633</v>
      </c>
      <c r="AC127" s="56">
        <f ca="1">IFERROR(IF(ISBLANK(AB127),"-",AB127-_xlfn.XLOOKUP(T127,AI:AI,AJ:AJ)),"-")</f>
        <v>0</v>
      </c>
      <c r="AD127" s="56">
        <f ca="1">IFERROR(IF(ISBLANK(AB127),"-",AB127-_xlfn.XLOOKUP(T127,AO:AO,AP:AP)),"-")</f>
        <v>0</v>
      </c>
      <c r="AE127" s="25"/>
      <c r="AF127" s="25"/>
      <c r="AG127" s="25"/>
      <c r="AH127" s="25"/>
      <c r="AI127" s="51" t="s">
        <v>193</v>
      </c>
      <c r="AJ127" s="80">
        <v>-305.99999999992633</v>
      </c>
      <c r="AK127" s="25"/>
      <c r="AL127" s="25"/>
      <c r="AM127" s="25"/>
      <c r="AN127" s="25"/>
      <c r="AO127" s="51" t="s">
        <v>193</v>
      </c>
      <c r="AP127" s="80">
        <v>-305.99999999992633</v>
      </c>
      <c r="AQ127" s="25"/>
      <c r="AR127" s="25"/>
      <c r="AS127" s="26"/>
      <c r="AT127" s="20" t="s">
        <v>867</v>
      </c>
      <c r="AW127" s="25"/>
      <c r="AX127" s="25"/>
      <c r="AY127" s="37"/>
      <c r="AZ127" s="25"/>
      <c r="BA127" s="35"/>
      <c r="BB127" s="25"/>
      <c r="BC127" s="25"/>
      <c r="BD127" s="25"/>
      <c r="BE127" s="25"/>
      <c r="BF127" s="25"/>
      <c r="BG127" s="25"/>
      <c r="BH127" s="25"/>
      <c r="BI127" s="37"/>
      <c r="BJ127" s="25"/>
      <c r="BK127" s="25"/>
    </row>
    <row r="128" spans="3:63" x14ac:dyDescent="0.35">
      <c r="C128" s="25" t="str">
        <f ca="1"/>
        <v>XS1139315581</v>
      </c>
      <c r="D128" s="25" t="str">
        <f ca="1"/>
        <v>VOON</v>
      </c>
      <c r="E128" s="35">
        <f ca="1"/>
        <v>107.61199999999999</v>
      </c>
      <c r="F128" s="102"/>
      <c r="G128" s="102">
        <f ca="1"/>
        <v>5000000</v>
      </c>
      <c r="H128" s="25">
        <f ca="1"/>
        <v>-1099.999999999568</v>
      </c>
      <c r="I128" s="37">
        <f ca="1"/>
        <v>0</v>
      </c>
      <c r="J128" s="37" t="str">
        <f ca="1"/>
        <v>BGN</v>
      </c>
      <c r="K128" s="35" t="str">
        <f ca="1"/>
        <v>EUR</v>
      </c>
      <c r="L128" s="102">
        <f ca="1"/>
        <v>-1099.999999999568</v>
      </c>
      <c r="M128" s="102">
        <f ca="1"/>
        <v>-1099.999999999568</v>
      </c>
      <c r="N128" s="19">
        <f ca="1"/>
        <v>107.59</v>
      </c>
      <c r="Q128" s="20" t="s">
        <v>867</v>
      </c>
      <c r="R128" s="24"/>
      <c r="S128" s="25">
        <f ca="1"/>
        <v>87</v>
      </c>
      <c r="T128" s="19" t="str">
        <f ca="1"/>
        <v>XS1139315581</v>
      </c>
      <c r="U128" s="25" t="str">
        <f ca="1"/>
        <v>TOTAL 1 3/8 03/19/25</v>
      </c>
      <c r="V128" s="64">
        <f ca="1"/>
        <v>5000000</v>
      </c>
      <c r="W128" s="70">
        <f ca="1"/>
        <v>0.81</v>
      </c>
      <c r="X128" s="71">
        <f ca="1"/>
        <v>107.61199999999999</v>
      </c>
      <c r="Y128" s="71">
        <f ca="1"/>
        <v>107.59</v>
      </c>
      <c r="Z128" s="57" t="str">
        <f ca="1"/>
        <v>VOON</v>
      </c>
      <c r="AA128" s="57" t="str">
        <f ca="1"/>
        <v>Bond Corporate</v>
      </c>
      <c r="AB128" s="56">
        <f ca="1"/>
        <v>-1099.999999999568</v>
      </c>
      <c r="AC128" s="56">
        <f ca="1">IFERROR(IF(ISBLANK(AB128),"-",AB128-_xlfn.XLOOKUP(T128,AI:AI,AJ:AJ)),"-")</f>
        <v>0</v>
      </c>
      <c r="AD128" s="56">
        <f ca="1">IFERROR(IF(ISBLANK(AB128),"-",AB128-_xlfn.XLOOKUP(T128,AO:AO,AP:AP)),"-")</f>
        <v>400.00000000048885</v>
      </c>
      <c r="AE128" s="25"/>
      <c r="AF128" s="25"/>
      <c r="AG128" s="25"/>
      <c r="AH128" s="25"/>
      <c r="AI128" s="51" t="s">
        <v>195</v>
      </c>
      <c r="AJ128" s="80">
        <v>-1099.999999999568</v>
      </c>
      <c r="AK128" s="25"/>
      <c r="AL128" s="25"/>
      <c r="AM128" s="25"/>
      <c r="AN128" s="25"/>
      <c r="AO128" s="51" t="s">
        <v>195</v>
      </c>
      <c r="AP128" s="80">
        <v>-1099.999999999568</v>
      </c>
      <c r="AQ128" s="25"/>
      <c r="AR128" s="25"/>
      <c r="AS128" s="26"/>
      <c r="AT128" s="20" t="s">
        <v>867</v>
      </c>
      <c r="AW128" s="25"/>
      <c r="AX128" s="25"/>
      <c r="AY128" s="37"/>
      <c r="AZ128" s="25"/>
      <c r="BA128" s="35"/>
      <c r="BB128" s="25"/>
      <c r="BC128" s="25"/>
      <c r="BD128" s="25"/>
      <c r="BE128" s="25"/>
      <c r="BF128" s="25"/>
      <c r="BG128" s="25"/>
      <c r="BH128" s="25"/>
      <c r="BI128" s="37"/>
      <c r="BJ128" s="25"/>
      <c r="BK128" s="25"/>
    </row>
    <row r="129" spans="3:63" x14ac:dyDescent="0.35">
      <c r="C129" s="25" t="str">
        <f ca="1"/>
        <v>XS2209023402</v>
      </c>
      <c r="D129" s="25" t="str">
        <f ca="1"/>
        <v>VOON</v>
      </c>
      <c r="E129" s="35">
        <f ca="1"/>
        <v>105.413</v>
      </c>
      <c r="F129" s="102"/>
      <c r="G129" s="102">
        <f ca="1"/>
        <v>-317000</v>
      </c>
      <c r="H129" s="25">
        <f ca="1"/>
        <v>-893.9399999999888</v>
      </c>
      <c r="I129" s="37">
        <f ca="1"/>
        <v>0</v>
      </c>
      <c r="J129" s="37" t="str">
        <f ca="1"/>
        <v>BGN</v>
      </c>
      <c r="K129" s="35" t="str">
        <f ca="1"/>
        <v>EUR</v>
      </c>
      <c r="L129" s="102">
        <f ca="1"/>
        <v>-893.9399999999888</v>
      </c>
      <c r="M129" s="102">
        <f ca="1"/>
        <v>-893.9399999999888</v>
      </c>
      <c r="N129" s="19">
        <f ca="1"/>
        <v>105.69499999999999</v>
      </c>
      <c r="Q129" s="20" t="s">
        <v>867</v>
      </c>
      <c r="R129" s="24"/>
      <c r="S129" s="25">
        <f ca="1"/>
        <v>88</v>
      </c>
      <c r="T129" s="19" t="str">
        <f ca="1"/>
        <v>XS2209023402</v>
      </c>
      <c r="U129" s="25" t="str">
        <f ca="1"/>
        <v>TRNIM 0 3/4 07/24/32</v>
      </c>
      <c r="V129" s="64">
        <f ca="1"/>
        <v>-317000</v>
      </c>
      <c r="W129" s="70">
        <f ca="1"/>
        <v>-0.5</v>
      </c>
      <c r="X129" s="71">
        <f ca="1"/>
        <v>105.413</v>
      </c>
      <c r="Y129" s="71">
        <f ca="1"/>
        <v>105.69499999999999</v>
      </c>
      <c r="Z129" s="57" t="str">
        <f ca="1"/>
        <v>VOON</v>
      </c>
      <c r="AA129" s="57" t="str">
        <f ca="1"/>
        <v>Bond Corporate</v>
      </c>
      <c r="AB129" s="56">
        <f ca="1"/>
        <v>-893.9399999999888</v>
      </c>
      <c r="AC129" s="56">
        <f ca="1">IFERROR(IF(ISBLANK(AB129),"-",AB129-_xlfn.XLOOKUP(T129,AI:AI,AJ:AJ)),"-")</f>
        <v>0</v>
      </c>
      <c r="AD129" s="56">
        <f ca="1">IFERROR(IF(ISBLANK(AB129),"-",AB129-_xlfn.XLOOKUP(T129,AO:AO,AP:AP)),"-")</f>
        <v>-41.209999999971501</v>
      </c>
      <c r="AE129" s="25"/>
      <c r="AF129" s="25"/>
      <c r="AG129" s="25"/>
      <c r="AH129" s="25"/>
      <c r="AI129" s="51" t="s">
        <v>197</v>
      </c>
      <c r="AJ129" s="80">
        <v>-893.9399999999888</v>
      </c>
      <c r="AK129" s="25"/>
      <c r="AL129" s="25"/>
      <c r="AM129" s="25"/>
      <c r="AN129" s="25"/>
      <c r="AO129" s="51" t="s">
        <v>197</v>
      </c>
      <c r="AP129" s="80">
        <v>-893.9399999999888</v>
      </c>
      <c r="AQ129" s="25"/>
      <c r="AR129" s="25"/>
      <c r="AS129" s="26"/>
      <c r="AT129" s="20" t="s">
        <v>867</v>
      </c>
      <c r="AW129" s="25"/>
      <c r="AX129" s="25"/>
      <c r="AY129" s="37"/>
      <c r="AZ129" s="25"/>
      <c r="BA129" s="35"/>
      <c r="BB129" s="25"/>
      <c r="BC129" s="25"/>
      <c r="BD129" s="25"/>
      <c r="BE129" s="25"/>
      <c r="BF129" s="25"/>
      <c r="BG129" s="25"/>
      <c r="BH129" s="25"/>
      <c r="BI129" s="37"/>
      <c r="BJ129" s="25"/>
      <c r="BK129" s="25"/>
    </row>
    <row r="130" spans="3:63" x14ac:dyDescent="0.35">
      <c r="C130" s="25" t="str">
        <f ca="1"/>
        <v>XS1652866002</v>
      </c>
      <c r="D130" s="25" t="str">
        <f ca="1"/>
        <v>VOON</v>
      </c>
      <c r="E130" s="35">
        <f ca="1"/>
        <v>109.655</v>
      </c>
      <c r="F130" s="102"/>
      <c r="G130" s="102">
        <f ca="1"/>
        <v>2000000</v>
      </c>
      <c r="H130" s="25">
        <f ca="1"/>
        <v>2160.0000000000819</v>
      </c>
      <c r="I130" s="37">
        <f ca="1"/>
        <v>1639.9999999998727</v>
      </c>
      <c r="J130" s="37" t="str">
        <f ca="1"/>
        <v>BGN</v>
      </c>
      <c r="K130" s="35" t="str">
        <f ca="1"/>
        <v>EUR</v>
      </c>
      <c r="L130" s="102">
        <f ca="1"/>
        <v>3799.9999999999545</v>
      </c>
      <c r="M130" s="102">
        <f ca="1"/>
        <v>3799.9999999999545</v>
      </c>
      <c r="N130" s="19">
        <f ca="1"/>
        <v>109.76300000000001</v>
      </c>
      <c r="Q130" s="20" t="s">
        <v>867</v>
      </c>
      <c r="R130" s="24"/>
      <c r="S130" s="25">
        <f ca="1"/>
        <v>89</v>
      </c>
      <c r="T130" s="19" t="str">
        <f ca="1"/>
        <v>XS1652866002</v>
      </c>
      <c r="U130" s="25" t="str">
        <f ca="1"/>
        <v>TRNIM 1 3/8 07/26/27</v>
      </c>
      <c r="V130" s="64">
        <f ca="1"/>
        <v>0</v>
      </c>
      <c r="W130" s="70">
        <f ca="1"/>
        <v>0</v>
      </c>
      <c r="X130" s="71">
        <f ca="1"/>
        <v>109.655</v>
      </c>
      <c r="Y130" s="71">
        <f ca="1"/>
        <v>109.76300000000001</v>
      </c>
      <c r="Z130" s="57" t="str">
        <f ca="1"/>
        <v>VOON</v>
      </c>
      <c r="AA130" s="57" t="str">
        <f ca="1"/>
        <v>Bond Corporate</v>
      </c>
      <c r="AB130" s="56">
        <f ca="1"/>
        <v>3799.9999999999545</v>
      </c>
      <c r="AC130" s="56">
        <f ca="1">IFERROR(IF(ISBLANK(AB130),"-",AB130-_xlfn.XLOOKUP(T130,AI:AI,AJ:AJ)),"-")</f>
        <v>0</v>
      </c>
      <c r="AD130" s="56">
        <f ca="1">IFERROR(IF(ISBLANK(AB130),"-",AB130-_xlfn.XLOOKUP(T130,AO:AO,AP:AP)),"-")</f>
        <v>1920.0000000000728</v>
      </c>
      <c r="AE130" s="25"/>
      <c r="AF130" s="25"/>
      <c r="AG130" s="25"/>
      <c r="AH130" s="25"/>
      <c r="AI130" s="51" t="s">
        <v>1275</v>
      </c>
      <c r="AJ130" s="80">
        <v>3799.9999999999545</v>
      </c>
      <c r="AK130" s="25"/>
      <c r="AL130" s="25"/>
      <c r="AM130" s="25"/>
      <c r="AN130" s="25"/>
      <c r="AO130" s="51" t="s">
        <v>1275</v>
      </c>
      <c r="AP130" s="80">
        <v>3799.9999999999545</v>
      </c>
      <c r="AQ130" s="25"/>
      <c r="AR130" s="25"/>
      <c r="AS130" s="26"/>
      <c r="AT130" s="20" t="s">
        <v>867</v>
      </c>
      <c r="AW130" s="25"/>
      <c r="AX130" s="25"/>
      <c r="AY130" s="37"/>
      <c r="AZ130" s="25"/>
      <c r="BA130" s="35"/>
      <c r="BB130" s="25"/>
      <c r="BC130" s="25"/>
      <c r="BD130" s="25"/>
      <c r="BE130" s="25"/>
      <c r="BF130" s="25"/>
      <c r="BG130" s="25"/>
      <c r="BH130" s="25"/>
      <c r="BI130" s="37"/>
      <c r="BJ130" s="25"/>
      <c r="BK130" s="25"/>
    </row>
    <row r="131" spans="3:63" x14ac:dyDescent="0.35">
      <c r="C131" s="25" t="str">
        <f ca="1"/>
        <v>XS2033351995</v>
      </c>
      <c r="D131" s="25" t="str">
        <f ca="1"/>
        <v>VOON</v>
      </c>
      <c r="E131" s="35">
        <f ca="1"/>
        <v>101.54600000000001</v>
      </c>
      <c r="F131" s="102"/>
      <c r="G131" s="102">
        <f ca="1"/>
        <v>1900000</v>
      </c>
      <c r="H131" s="25">
        <f ca="1"/>
        <v>835.99999999994168</v>
      </c>
      <c r="I131" s="37">
        <f ca="1"/>
        <v>0</v>
      </c>
      <c r="J131" s="37" t="str">
        <f ca="1"/>
        <v>BGN</v>
      </c>
      <c r="K131" s="35" t="str">
        <f ca="1"/>
        <v>EUR</v>
      </c>
      <c r="L131" s="102">
        <f ca="1"/>
        <v>835.99999999994168</v>
      </c>
      <c r="M131" s="102">
        <f ca="1"/>
        <v>835.99999999994168</v>
      </c>
      <c r="N131" s="19">
        <f ca="1"/>
        <v>101.59</v>
      </c>
      <c r="Q131" s="20" t="s">
        <v>867</v>
      </c>
      <c r="R131" s="24"/>
      <c r="S131" s="25">
        <f ca="1"/>
        <v>90</v>
      </c>
      <c r="T131" s="19" t="str">
        <f ca="1"/>
        <v>XS2033351995</v>
      </c>
      <c r="U131" s="25" t="str">
        <f ca="1"/>
        <v>TRNIM 0 1/8 07/25/25</v>
      </c>
      <c r="V131" s="64">
        <f ca="1"/>
        <v>1900000</v>
      </c>
      <c r="W131" s="70">
        <f ca="1"/>
        <v>0.72</v>
      </c>
      <c r="X131" s="71">
        <f ca="1"/>
        <v>101.54600000000001</v>
      </c>
      <c r="Y131" s="71">
        <f ca="1"/>
        <v>101.59</v>
      </c>
      <c r="Z131" s="57" t="str">
        <f ca="1"/>
        <v>VOON</v>
      </c>
      <c r="AA131" s="57" t="str">
        <f ca="1"/>
        <v>Bond Corporate</v>
      </c>
      <c r="AB131" s="56">
        <f ca="1"/>
        <v>835.99999999994168</v>
      </c>
      <c r="AC131" s="56">
        <f ca="1">IFERROR(IF(ISBLANK(AB131),"-",AB131-_xlfn.XLOOKUP(T131,AI:AI,AJ:AJ)),"-")</f>
        <v>0</v>
      </c>
      <c r="AD131" s="56">
        <f ca="1">IFERROR(IF(ISBLANK(AB131),"-",AB131-_xlfn.XLOOKUP(T131,AO:AO,AP:AP)),"-")</f>
        <v>152.00000000018576</v>
      </c>
      <c r="AE131" s="25"/>
      <c r="AF131" s="25"/>
      <c r="AG131" s="25"/>
      <c r="AH131" s="25"/>
      <c r="AI131" s="51" t="s">
        <v>1457</v>
      </c>
      <c r="AJ131" s="80">
        <v>835.99999999994168</v>
      </c>
      <c r="AK131" s="25"/>
      <c r="AL131" s="25"/>
      <c r="AM131" s="25"/>
      <c r="AN131" s="25"/>
      <c r="AO131" s="51" t="s">
        <v>1457</v>
      </c>
      <c r="AP131" s="80">
        <v>835.99999999994168</v>
      </c>
      <c r="AQ131" s="25"/>
      <c r="AR131" s="25"/>
      <c r="AS131" s="26"/>
      <c r="AT131" s="20" t="s">
        <v>867</v>
      </c>
      <c r="AW131" s="25"/>
      <c r="AX131" s="25"/>
      <c r="AY131" s="37"/>
      <c r="AZ131" s="25"/>
      <c r="BA131" s="35"/>
      <c r="BB131" s="25"/>
      <c r="BC131" s="25"/>
      <c r="BD131" s="25"/>
      <c r="BE131" s="25"/>
      <c r="BF131" s="25"/>
      <c r="BG131" s="25"/>
      <c r="BH131" s="25"/>
      <c r="BI131" s="37"/>
      <c r="BJ131" s="25"/>
      <c r="BK131" s="25"/>
    </row>
    <row r="132" spans="3:63" x14ac:dyDescent="0.35">
      <c r="C132" s="25" t="str">
        <f ca="1"/>
        <v>XS1882681452</v>
      </c>
      <c r="D132" s="25" t="str">
        <f ca="1"/>
        <v>VOON</v>
      </c>
      <c r="E132" s="35">
        <f ca="1"/>
        <v>111.955</v>
      </c>
      <c r="F132" s="102"/>
      <c r="G132" s="102">
        <f ca="1"/>
        <v>-4000000</v>
      </c>
      <c r="H132" s="25">
        <f ca="1"/>
        <v>-5520.0000000002092</v>
      </c>
      <c r="I132" s="37">
        <f ca="1"/>
        <v>0</v>
      </c>
      <c r="J132" s="37" t="str">
        <f ca="1"/>
        <v>BGN</v>
      </c>
      <c r="K132" s="35" t="str">
        <f ca="1"/>
        <v>EUR</v>
      </c>
      <c r="L132" s="102">
        <f ca="1"/>
        <v>-5520.0000000002092</v>
      </c>
      <c r="M132" s="102">
        <f ca="1"/>
        <v>-5520.0000000002092</v>
      </c>
      <c r="N132" s="19">
        <f ca="1"/>
        <v>112.093</v>
      </c>
      <c r="Q132" s="20" t="s">
        <v>867</v>
      </c>
      <c r="R132" s="24"/>
      <c r="S132" s="25">
        <f ca="1"/>
        <v>91</v>
      </c>
      <c r="T132" s="19" t="str">
        <f ca="1"/>
        <v>XS1882681452</v>
      </c>
      <c r="U132" s="25" t="str">
        <f ca="1"/>
        <v>VGASDE 1 1/2 09/25/28</v>
      </c>
      <c r="V132" s="64">
        <f ca="1"/>
        <v>-4000000</v>
      </c>
      <c r="W132" s="70">
        <f ca="1"/>
        <v>-3.24</v>
      </c>
      <c r="X132" s="71">
        <f ca="1"/>
        <v>111.955</v>
      </c>
      <c r="Y132" s="71">
        <f ca="1"/>
        <v>112.093</v>
      </c>
      <c r="Z132" s="57" t="str">
        <f ca="1"/>
        <v>VOON</v>
      </c>
      <c r="AA132" s="57" t="str">
        <f ca="1"/>
        <v>Bond Corporate</v>
      </c>
      <c r="AB132" s="56">
        <f ca="1"/>
        <v>-5520.0000000002092</v>
      </c>
      <c r="AC132" s="56">
        <f ca="1">IFERROR(IF(ISBLANK(AB132),"-",AB132-_xlfn.XLOOKUP(T132,AI:AI,AJ:AJ)),"-")</f>
        <v>0</v>
      </c>
      <c r="AD132" s="56">
        <f ca="1">IFERROR(IF(ISBLANK(AB132),"-",AB132-_xlfn.XLOOKUP(T132,AO:AO,AP:AP)),"-")</f>
        <v>279.99999999963165</v>
      </c>
      <c r="AE132" s="25"/>
      <c r="AF132" s="25"/>
      <c r="AG132" s="25"/>
      <c r="AH132" s="25"/>
      <c r="AI132" s="51" t="s">
        <v>205</v>
      </c>
      <c r="AJ132" s="80">
        <v>-5520.0000000002092</v>
      </c>
      <c r="AK132" s="25"/>
      <c r="AL132" s="25"/>
      <c r="AM132" s="25"/>
      <c r="AN132" s="25"/>
      <c r="AO132" s="51" t="s">
        <v>205</v>
      </c>
      <c r="AP132" s="80">
        <v>-5520.0000000002092</v>
      </c>
      <c r="AQ132" s="25"/>
      <c r="AR132" s="25"/>
      <c r="AS132" s="26"/>
      <c r="AT132" s="20" t="s">
        <v>867</v>
      </c>
      <c r="AW132" s="25"/>
      <c r="AX132" s="25"/>
      <c r="AY132" s="37"/>
      <c r="AZ132" s="25"/>
      <c r="BA132" s="35"/>
      <c r="BB132" s="25"/>
      <c r="BC132" s="25"/>
      <c r="BD132" s="25"/>
      <c r="BE132" s="25"/>
      <c r="BF132" s="25"/>
      <c r="BG132" s="25"/>
      <c r="BH132" s="25"/>
      <c r="BI132" s="37"/>
      <c r="BJ132" s="25"/>
      <c r="BK132" s="25"/>
    </row>
    <row r="133" spans="3:63" x14ac:dyDescent="0.35">
      <c r="C133" s="25" t="str">
        <f ca="1"/>
        <v>FR0010033381</v>
      </c>
      <c r="D133" s="25" t="str">
        <f ca="1"/>
        <v>VOON</v>
      </c>
      <c r="E133" s="35">
        <f ca="1"/>
        <v>170.70500000000001</v>
      </c>
      <c r="F133" s="102"/>
      <c r="G133" s="102">
        <f ca="1"/>
        <v>600000</v>
      </c>
      <c r="H133" s="25">
        <f ca="1"/>
        <v>1955.9999999999604</v>
      </c>
      <c r="I133" s="37">
        <f ca="1"/>
        <v>0</v>
      </c>
      <c r="J133" s="37" t="str">
        <f ca="1"/>
        <v>BGN</v>
      </c>
      <c r="K133" s="35" t="str">
        <f ca="1"/>
        <v>EUR</v>
      </c>
      <c r="L133" s="102">
        <f ca="1"/>
        <v>1955.9999999999604</v>
      </c>
      <c r="M133" s="102">
        <f ca="1"/>
        <v>1955.9999999999604</v>
      </c>
      <c r="N133" s="19">
        <f ca="1"/>
        <v>171.03100000000001</v>
      </c>
      <c r="Q133" s="20" t="s">
        <v>867</v>
      </c>
      <c r="R133" s="24"/>
      <c r="S133" s="25">
        <f ca="1"/>
        <v>92</v>
      </c>
      <c r="T133" s="19" t="str">
        <f ca="1"/>
        <v>FR0010033381</v>
      </c>
      <c r="U133" s="25" t="str">
        <f ca="1"/>
        <v>VIEFP 6 1/8 11/25/33</v>
      </c>
      <c r="V133" s="64">
        <f ca="1"/>
        <v>600000</v>
      </c>
      <c r="W133" s="70">
        <f ca="1"/>
        <v>2.14</v>
      </c>
      <c r="X133" s="71">
        <f ca="1"/>
        <v>170.70500000000001</v>
      </c>
      <c r="Y133" s="71">
        <f ca="1"/>
        <v>171.03100000000001</v>
      </c>
      <c r="Z133" s="57" t="str">
        <f ca="1"/>
        <v>VOON</v>
      </c>
      <c r="AA133" s="57" t="str">
        <f ca="1"/>
        <v>Bond Corporate</v>
      </c>
      <c r="AB133" s="56">
        <f ca="1"/>
        <v>1955.9999999999604</v>
      </c>
      <c r="AC133" s="56">
        <f ca="1">IFERROR(IF(ISBLANK(AB133),"-",AB133-_xlfn.XLOOKUP(T133,AI:AI,AJ:AJ)),"-")</f>
        <v>0</v>
      </c>
      <c r="AD133" s="56">
        <f ca="1">IFERROR(IF(ISBLANK(AB133),"-",AB133-_xlfn.XLOOKUP(T133,AO:AO,AP:AP)),"-")</f>
        <v>36.000000000001364</v>
      </c>
      <c r="AE133" s="25"/>
      <c r="AF133" s="25"/>
      <c r="AG133" s="25"/>
      <c r="AH133" s="25"/>
      <c r="AI133" s="51" t="s">
        <v>594</v>
      </c>
      <c r="AJ133" s="80">
        <v>1955.9999999999604</v>
      </c>
      <c r="AK133" s="25"/>
      <c r="AL133" s="25"/>
      <c r="AM133" s="25"/>
      <c r="AN133" s="25"/>
      <c r="AO133" s="51" t="s">
        <v>594</v>
      </c>
      <c r="AP133" s="80">
        <v>1955.9999999999604</v>
      </c>
      <c r="AQ133" s="25"/>
      <c r="AR133" s="25"/>
      <c r="AS133" s="26"/>
      <c r="AT133" s="20" t="s">
        <v>867</v>
      </c>
      <c r="AW133" s="25"/>
      <c r="AX133" s="25"/>
      <c r="AY133" s="37"/>
      <c r="AZ133" s="25"/>
      <c r="BA133" s="35"/>
      <c r="BB133" s="25"/>
      <c r="BC133" s="25"/>
      <c r="BD133" s="25"/>
      <c r="BE133" s="25"/>
      <c r="BF133" s="25"/>
      <c r="BG133" s="25"/>
      <c r="BH133" s="25"/>
      <c r="BI133" s="37"/>
      <c r="BJ133" s="25"/>
      <c r="BK133" s="25"/>
    </row>
    <row r="134" spans="3:63" x14ac:dyDescent="0.35">
      <c r="C134" s="25" t="str">
        <f ca="1"/>
        <v>FR0013476595</v>
      </c>
      <c r="D134" s="25" t="str">
        <f ca="1"/>
        <v>VOON</v>
      </c>
      <c r="E134" s="35">
        <f ca="1"/>
        <v>103.611</v>
      </c>
      <c r="F134" s="102"/>
      <c r="G134" s="102">
        <f ca="1"/>
        <v>-4000000</v>
      </c>
      <c r="H134" s="25">
        <f ca="1"/>
        <v>-7880.0000000001091</v>
      </c>
      <c r="I134" s="37">
        <f ca="1"/>
        <v>0</v>
      </c>
      <c r="J134" s="37" t="str">
        <f ca="1"/>
        <v>BGN</v>
      </c>
      <c r="K134" s="35" t="str">
        <f ca="1"/>
        <v>EUR</v>
      </c>
      <c r="L134" s="102">
        <f ca="1"/>
        <v>-7880.0000000001091</v>
      </c>
      <c r="M134" s="102">
        <f ca="1"/>
        <v>-7880.0000000001091</v>
      </c>
      <c r="N134" s="19">
        <f ca="1"/>
        <v>103.80800000000001</v>
      </c>
      <c r="Q134" s="20" t="s">
        <v>867</v>
      </c>
      <c r="R134" s="24"/>
      <c r="S134" s="25">
        <f ca="1"/>
        <v>93</v>
      </c>
      <c r="T134" s="19" t="str">
        <f ca="1"/>
        <v>FR0013476595</v>
      </c>
      <c r="U134" s="25" t="str">
        <f ca="1"/>
        <v>VIEFP 0.664 01/15/31</v>
      </c>
      <c r="V134" s="64">
        <f ca="1"/>
        <v>-4000000</v>
      </c>
      <c r="W134" s="70">
        <f ca="1"/>
        <v>-6.72</v>
      </c>
      <c r="X134" s="71">
        <f ca="1"/>
        <v>103.611</v>
      </c>
      <c r="Y134" s="71">
        <f ca="1"/>
        <v>103.80800000000001</v>
      </c>
      <c r="Z134" s="57" t="str">
        <f ca="1"/>
        <v>VOON</v>
      </c>
      <c r="AA134" s="57" t="str">
        <f ca="1"/>
        <v>Bond Corporate</v>
      </c>
      <c r="AB134" s="56">
        <f ca="1"/>
        <v>-7880.0000000001091</v>
      </c>
      <c r="AC134" s="56">
        <f ca="1">IFERROR(IF(ISBLANK(AB134),"-",AB134-_xlfn.XLOOKUP(T134,AI:AI,AJ:AJ)),"-")</f>
        <v>0</v>
      </c>
      <c r="AD134" s="56">
        <f ca="1">IFERROR(IF(ISBLANK(AB134),"-",AB134-_xlfn.XLOOKUP(T134,AO:AO,AP:AP)),"-")</f>
        <v>319.99999999982174</v>
      </c>
      <c r="AE134" s="25"/>
      <c r="AF134" s="25"/>
      <c r="AG134" s="25"/>
      <c r="AH134" s="25"/>
      <c r="AI134" s="51" t="s">
        <v>1465</v>
      </c>
      <c r="AJ134" s="80">
        <v>-7880.0000000001091</v>
      </c>
      <c r="AK134" s="25"/>
      <c r="AL134" s="25"/>
      <c r="AM134" s="25"/>
      <c r="AN134" s="25"/>
      <c r="AO134" s="51" t="s">
        <v>1465</v>
      </c>
      <c r="AP134" s="80">
        <v>-7880.0000000001091</v>
      </c>
      <c r="AQ134" s="25"/>
      <c r="AR134" s="25"/>
      <c r="AS134" s="26"/>
      <c r="AT134" s="20" t="s">
        <v>867</v>
      </c>
      <c r="AW134" s="25"/>
      <c r="AX134" s="25"/>
      <c r="AY134" s="37"/>
      <c r="AZ134" s="25"/>
      <c r="BA134" s="35"/>
      <c r="BB134" s="25"/>
      <c r="BC134" s="25"/>
      <c r="BD134" s="25"/>
      <c r="BE134" s="25"/>
      <c r="BF134" s="25"/>
      <c r="BG134" s="25"/>
      <c r="BH134" s="25"/>
      <c r="BI134" s="37"/>
      <c r="BJ134" s="25"/>
      <c r="BK134" s="25"/>
    </row>
    <row r="135" spans="3:63" x14ac:dyDescent="0.35">
      <c r="C135" s="25" t="str">
        <f ca="1"/>
        <v>FR0013507704</v>
      </c>
      <c r="D135" s="25" t="str">
        <f ca="1"/>
        <v>VOON</v>
      </c>
      <c r="E135" s="35">
        <f ca="1"/>
        <v>108.322</v>
      </c>
      <c r="F135" s="102"/>
      <c r="G135" s="102">
        <f ca="1"/>
        <v>-2300000</v>
      </c>
      <c r="H135" s="25">
        <f ca="1"/>
        <v>-3220.0000000000127</v>
      </c>
      <c r="I135" s="37">
        <f ca="1"/>
        <v>0</v>
      </c>
      <c r="J135" s="37" t="str">
        <f ca="1"/>
        <v>BGN</v>
      </c>
      <c r="K135" s="35" t="str">
        <f ca="1"/>
        <v>EUR</v>
      </c>
      <c r="L135" s="102">
        <f ca="1"/>
        <v>-3220.0000000000127</v>
      </c>
      <c r="M135" s="102">
        <f ca="1"/>
        <v>-3220.0000000000127</v>
      </c>
      <c r="N135" s="19">
        <f ca="1"/>
        <v>108.462</v>
      </c>
      <c r="Q135" s="20" t="s">
        <v>867</v>
      </c>
      <c r="R135" s="24"/>
      <c r="S135" s="25">
        <f ca="1"/>
        <v>94</v>
      </c>
      <c r="T135" s="19" t="str">
        <f ca="1"/>
        <v>FR0013507704</v>
      </c>
      <c r="U135" s="25" t="str">
        <f ca="1"/>
        <v>VIEFP 1 1/4 04/15/28</v>
      </c>
      <c r="V135" s="64">
        <f ca="1"/>
        <v>-2300000</v>
      </c>
      <c r="W135" s="70">
        <f ca="1"/>
        <v>-2.63</v>
      </c>
      <c r="X135" s="71">
        <f ca="1"/>
        <v>108.322</v>
      </c>
      <c r="Y135" s="71">
        <f ca="1"/>
        <v>108.462</v>
      </c>
      <c r="Z135" s="57" t="str">
        <f ca="1"/>
        <v>VOON</v>
      </c>
      <c r="AA135" s="57" t="str">
        <f ca="1"/>
        <v>Bond Corporate</v>
      </c>
      <c r="AB135" s="56">
        <f ca="1"/>
        <v>-3220.0000000000127</v>
      </c>
      <c r="AC135" s="56">
        <f ca="1">IFERROR(IF(ISBLANK(AB135),"-",AB135-_xlfn.XLOOKUP(T135,AI:AI,AJ:AJ)),"-")</f>
        <v>0</v>
      </c>
      <c r="AD135" s="56">
        <f ca="1">IFERROR(IF(ISBLANK(AB135),"-",AB135-_xlfn.XLOOKUP(T135,AO:AO,AP:AP)),"-")</f>
        <v>-46.000000000219188</v>
      </c>
      <c r="AE135" s="25"/>
      <c r="AF135" s="25"/>
      <c r="AG135" s="25"/>
      <c r="AH135" s="25"/>
      <c r="AI135" s="51" t="s">
        <v>207</v>
      </c>
      <c r="AJ135" s="80">
        <v>-3220.0000000000127</v>
      </c>
      <c r="AK135" s="25"/>
      <c r="AL135" s="25"/>
      <c r="AM135" s="25"/>
      <c r="AN135" s="25"/>
      <c r="AO135" s="51" t="s">
        <v>207</v>
      </c>
      <c r="AP135" s="80">
        <v>-3220.0000000000127</v>
      </c>
      <c r="AQ135" s="25"/>
      <c r="AR135" s="25"/>
      <c r="AS135" s="26"/>
      <c r="AT135" s="20" t="s">
        <v>867</v>
      </c>
      <c r="AW135" s="25"/>
      <c r="AX135" s="25"/>
      <c r="AY135" s="37"/>
      <c r="AZ135" s="25"/>
      <c r="BA135" s="35"/>
      <c r="BB135" s="25"/>
      <c r="BC135" s="25"/>
      <c r="BD135" s="25"/>
      <c r="BE135" s="25"/>
      <c r="BF135" s="25"/>
      <c r="BG135" s="25"/>
      <c r="BH135" s="25"/>
      <c r="BI135" s="37"/>
      <c r="BJ135" s="25"/>
      <c r="BK135" s="25"/>
    </row>
    <row r="136" spans="3:63" x14ac:dyDescent="0.35">
      <c r="C136" s="25" t="str">
        <f ca="1"/>
        <v>FR0012663169</v>
      </c>
      <c r="D136" s="25" t="str">
        <f ca="1"/>
        <v>VOON</v>
      </c>
      <c r="E136" s="35">
        <f ca="1"/>
        <v>110.706</v>
      </c>
      <c r="F136" s="102"/>
      <c r="G136" s="102">
        <f ca="1"/>
        <v>6200000</v>
      </c>
      <c r="H136" s="25">
        <f ca="1"/>
        <v>6199.9999999996471</v>
      </c>
      <c r="I136" s="37">
        <f ca="1"/>
        <v>0</v>
      </c>
      <c r="J136" s="37" t="str">
        <f ca="1"/>
        <v>BGN</v>
      </c>
      <c r="K136" s="35" t="str">
        <f ca="1"/>
        <v>EUR</v>
      </c>
      <c r="L136" s="102">
        <f ca="1"/>
        <v>6199.9999999996471</v>
      </c>
      <c r="M136" s="102">
        <f ca="1"/>
        <v>6199.9999999996471</v>
      </c>
      <c r="N136" s="19">
        <f ca="1"/>
        <v>110.806</v>
      </c>
      <c r="Q136" s="20" t="s">
        <v>867</v>
      </c>
      <c r="R136" s="24"/>
      <c r="S136" s="25">
        <f ca="1"/>
        <v>95</v>
      </c>
      <c r="T136" s="19" t="str">
        <f ca="1"/>
        <v>FR0012663169</v>
      </c>
      <c r="U136" s="25" t="str">
        <f ca="1"/>
        <v>VIEFP 1.59 01/10/28</v>
      </c>
      <c r="V136" s="64">
        <f ca="1"/>
        <v>6200000</v>
      </c>
      <c r="W136" s="70">
        <f ca="1"/>
        <v>6.69</v>
      </c>
      <c r="X136" s="71">
        <f ca="1"/>
        <v>110.706</v>
      </c>
      <c r="Y136" s="71">
        <f ca="1"/>
        <v>110.806</v>
      </c>
      <c r="Z136" s="57" t="str">
        <f ca="1"/>
        <v>VOON</v>
      </c>
      <c r="AA136" s="57" t="str">
        <f ca="1"/>
        <v>Bond Corporate</v>
      </c>
      <c r="AB136" s="56">
        <f ca="1"/>
        <v>6199.9999999996471</v>
      </c>
      <c r="AC136" s="56">
        <f ca="1">IFERROR(IF(ISBLANK(AB136),"-",AB136-_xlfn.XLOOKUP(T136,AI:AI,AJ:AJ)),"-")</f>
        <v>0</v>
      </c>
      <c r="AD136" s="56">
        <f ca="1">IFERROR(IF(ISBLANK(AB136),"-",AB136-_xlfn.XLOOKUP(T136,AO:AO,AP:AP)),"-")</f>
        <v>-62.000000000297405</v>
      </c>
      <c r="AE136" s="25"/>
      <c r="AF136" s="25"/>
      <c r="AG136" s="25"/>
      <c r="AH136" s="25"/>
      <c r="AI136" s="51" t="s">
        <v>1470</v>
      </c>
      <c r="AJ136" s="80">
        <v>6199.9999999996471</v>
      </c>
      <c r="AK136" s="25"/>
      <c r="AL136" s="25"/>
      <c r="AM136" s="25"/>
      <c r="AN136" s="25"/>
      <c r="AO136" s="51" t="s">
        <v>1470</v>
      </c>
      <c r="AP136" s="80">
        <v>6199.9999999996471</v>
      </c>
      <c r="AQ136" s="25"/>
      <c r="AR136" s="25"/>
      <c r="AS136" s="26"/>
      <c r="AT136" s="20" t="s">
        <v>867</v>
      </c>
      <c r="AW136" s="25"/>
      <c r="AX136" s="25"/>
      <c r="AY136" s="37"/>
      <c r="AZ136" s="25"/>
      <c r="BA136" s="35"/>
      <c r="BB136" s="25"/>
      <c r="BC136" s="25"/>
      <c r="BD136" s="25"/>
      <c r="BE136" s="25"/>
      <c r="BF136" s="25"/>
      <c r="BG136" s="25"/>
      <c r="BH136" s="25"/>
      <c r="BI136" s="37"/>
      <c r="BJ136" s="25"/>
      <c r="BK136" s="25"/>
    </row>
    <row r="137" spans="3:63" x14ac:dyDescent="0.35">
      <c r="C137" s="25" t="str">
        <f ca="1"/>
        <v>FR0011224963</v>
      </c>
      <c r="D137" s="25" t="str">
        <f ca="1"/>
        <v>VOON</v>
      </c>
      <c r="E137" s="35">
        <f ca="1"/>
        <v>129.53</v>
      </c>
      <c r="F137" s="102"/>
      <c r="G137" s="102">
        <f ca="1"/>
        <v>0</v>
      </c>
      <c r="H137" s="25">
        <f ca="1"/>
        <v>0</v>
      </c>
      <c r="I137" s="37">
        <f ca="1"/>
        <v>0</v>
      </c>
      <c r="J137" s="37" t="str">
        <f ca="1"/>
        <v>BGN</v>
      </c>
      <c r="K137" s="35" t="str">
        <f ca="1"/>
        <v>EUR</v>
      </c>
      <c r="L137" s="102">
        <f ca="1"/>
        <v>0</v>
      </c>
      <c r="M137" s="102">
        <f ca="1"/>
        <v>0</v>
      </c>
      <c r="N137" s="19">
        <f ca="1"/>
        <v>129.70500000000001</v>
      </c>
      <c r="Q137" s="20" t="s">
        <v>867</v>
      </c>
      <c r="R137" s="24"/>
      <c r="S137" s="25">
        <f ca="1"/>
        <v>96</v>
      </c>
      <c r="T137" s="19" t="str">
        <f ca="1"/>
        <v>FR0011224963</v>
      </c>
      <c r="U137" s="25" t="str">
        <f ca="1"/>
        <v>VIEFP 4 5/8 03/30/27</v>
      </c>
      <c r="V137" s="64">
        <f ca="1"/>
        <v>0</v>
      </c>
      <c r="W137" s="70">
        <f ca="1"/>
        <v>0</v>
      </c>
      <c r="X137" s="71">
        <f ca="1"/>
        <v>129.53</v>
      </c>
      <c r="Y137" s="71">
        <f ca="1"/>
        <v>129.70500000000001</v>
      </c>
      <c r="Z137" s="57" t="str">
        <f ca="1"/>
        <v>VOON</v>
      </c>
      <c r="AA137" s="57" t="str">
        <f ca="1"/>
        <v>Bond Corporate</v>
      </c>
      <c r="AB137" s="56">
        <f ca="1"/>
        <v>0</v>
      </c>
      <c r="AC137" s="56">
        <f ca="1">IFERROR(IF(ISBLANK(AB137),"-",AB137-_xlfn.XLOOKUP(T137,AI:AI,AJ:AJ)),"-")</f>
        <v>0</v>
      </c>
      <c r="AD137" s="56">
        <f ca="1">IFERROR(IF(ISBLANK(AB137),"-",AB137-_xlfn.XLOOKUP(T137,AO:AO,AP:AP)),"-")</f>
        <v>0</v>
      </c>
      <c r="AE137" s="25"/>
      <c r="AF137" s="25"/>
      <c r="AG137" s="25"/>
      <c r="AH137" s="25"/>
      <c r="AI137" s="51" t="s">
        <v>210</v>
      </c>
      <c r="AJ137" s="80">
        <v>0</v>
      </c>
      <c r="AK137" s="25"/>
      <c r="AL137" s="25"/>
      <c r="AM137" s="25"/>
      <c r="AN137" s="25"/>
      <c r="AO137" s="51" t="s">
        <v>210</v>
      </c>
      <c r="AP137" s="80">
        <v>0</v>
      </c>
      <c r="AQ137" s="25"/>
      <c r="AR137" s="25"/>
      <c r="AS137" s="26"/>
      <c r="AT137" s="20" t="s">
        <v>867</v>
      </c>
      <c r="AW137" s="25"/>
      <c r="AX137" s="25"/>
      <c r="AY137" s="37"/>
      <c r="AZ137" s="25"/>
      <c r="BA137" s="35"/>
      <c r="BB137" s="25"/>
      <c r="BC137" s="25"/>
      <c r="BD137" s="25"/>
      <c r="BE137" s="25"/>
      <c r="BF137" s="25"/>
      <c r="BG137" s="25"/>
      <c r="BH137" s="25"/>
      <c r="BI137" s="37"/>
      <c r="BJ137" s="25"/>
      <c r="BK137" s="25"/>
    </row>
    <row r="138" spans="3:63" x14ac:dyDescent="0.35">
      <c r="C138" s="25" t="str">
        <f ca="1"/>
        <v>FR0013246733</v>
      </c>
      <c r="D138" s="25" t="str">
        <f ca="1"/>
        <v>VOON</v>
      </c>
      <c r="E138" s="35">
        <f ca="1"/>
        <v>109.566</v>
      </c>
      <c r="F138" s="102"/>
      <c r="G138" s="102">
        <f ca="1"/>
        <v>-500000</v>
      </c>
      <c r="H138" s="25">
        <f ca="1"/>
        <v>-384.99999999999091</v>
      </c>
      <c r="I138" s="37">
        <f ca="1"/>
        <v>0</v>
      </c>
      <c r="J138" s="37" t="str">
        <f ca="1"/>
        <v>BGN</v>
      </c>
      <c r="K138" s="35" t="str">
        <f ca="1"/>
        <v>EUR</v>
      </c>
      <c r="L138" s="102">
        <f ca="1"/>
        <v>-384.99999999999091</v>
      </c>
      <c r="M138" s="102">
        <f ca="1"/>
        <v>-384.99999999999091</v>
      </c>
      <c r="N138" s="19">
        <f ca="1"/>
        <v>109.643</v>
      </c>
      <c r="Q138" s="20" t="s">
        <v>867</v>
      </c>
      <c r="R138" s="24"/>
      <c r="S138" s="25">
        <f ca="1"/>
        <v>97</v>
      </c>
      <c r="T138" s="19" t="str">
        <f ca="1"/>
        <v>FR0013246733</v>
      </c>
      <c r="U138" s="25" t="str">
        <f ca="1"/>
        <v>VIEFP 1.496 11/30/26</v>
      </c>
      <c r="V138" s="64">
        <f ca="1"/>
        <v>-500000</v>
      </c>
      <c r="W138" s="70">
        <f ca="1"/>
        <v>-0.33</v>
      </c>
      <c r="X138" s="71">
        <f ca="1"/>
        <v>109.566</v>
      </c>
      <c r="Y138" s="71">
        <f ca="1"/>
        <v>109.643</v>
      </c>
      <c r="Z138" s="57" t="str">
        <f ca="1"/>
        <v>VOON</v>
      </c>
      <c r="AA138" s="57" t="str">
        <f ca="1"/>
        <v>Bond Corporate</v>
      </c>
      <c r="AB138" s="56">
        <f ca="1"/>
        <v>-384.99999999999091</v>
      </c>
      <c r="AC138" s="56">
        <f ca="1">IFERROR(IF(ISBLANK(AB138),"-",AB138-_xlfn.XLOOKUP(T138,AI:AI,AJ:AJ)),"-")</f>
        <v>0</v>
      </c>
      <c r="AD138" s="56">
        <f ca="1">IFERROR(IF(ISBLANK(AB138),"-",AB138-_xlfn.XLOOKUP(T138,AO:AO,AP:AP)),"-")</f>
        <v>20.000000000024443</v>
      </c>
      <c r="AE138" s="25"/>
      <c r="AF138" s="25"/>
      <c r="AG138" s="25"/>
      <c r="AH138" s="25"/>
      <c r="AI138" s="51" t="s">
        <v>212</v>
      </c>
      <c r="AJ138" s="80">
        <v>-384.99999999999091</v>
      </c>
      <c r="AK138" s="25"/>
      <c r="AL138" s="25"/>
      <c r="AM138" s="25"/>
      <c r="AN138" s="25"/>
      <c r="AO138" s="51" t="s">
        <v>212</v>
      </c>
      <c r="AP138" s="80">
        <v>-384.99999999999091</v>
      </c>
      <c r="AQ138" s="25"/>
      <c r="AR138" s="25"/>
      <c r="AS138" s="26"/>
      <c r="AT138" s="20" t="s">
        <v>867</v>
      </c>
      <c r="AW138" s="25"/>
      <c r="AX138" s="25"/>
      <c r="AY138" s="37"/>
      <c r="AZ138" s="25"/>
      <c r="BA138" s="35"/>
      <c r="BB138" s="25"/>
      <c r="BC138" s="25"/>
      <c r="BD138" s="25"/>
      <c r="BE138" s="25"/>
      <c r="BF138" s="25"/>
      <c r="BG138" s="25"/>
      <c r="BH138" s="25"/>
      <c r="BI138" s="37"/>
      <c r="BJ138" s="25"/>
      <c r="BK138" s="25"/>
    </row>
    <row r="139" spans="3:63" x14ac:dyDescent="0.35">
      <c r="C139" s="25" t="str">
        <f ca="1"/>
        <v>FR0013394681</v>
      </c>
      <c r="D139" s="25" t="str">
        <f ca="1"/>
        <v>VOON</v>
      </c>
      <c r="E139" s="35">
        <f ca="1"/>
        <v>0</v>
      </c>
      <c r="F139" s="102"/>
      <c r="G139" s="102">
        <f ca="1"/>
        <v>0</v>
      </c>
      <c r="H139" s="25" t="str">
        <f ca="1"/>
        <v>-</v>
      </c>
      <c r="I139" s="37">
        <f ca="1"/>
        <v>0</v>
      </c>
      <c r="J139" s="37" t="str">
        <f ca="1"/>
        <v>BGN</v>
      </c>
      <c r="K139" s="35" t="str">
        <f ca="1"/>
        <v>EUR</v>
      </c>
      <c r="L139" s="102" t="str">
        <f ca="1"/>
        <v>-</v>
      </c>
      <c r="M139" s="102" t="str">
        <f ca="1"/>
        <v>-</v>
      </c>
      <c r="N139" s="19" t="str">
        <f ca="1"/>
        <v>#N/A Requesting Data...</v>
      </c>
      <c r="Q139" s="20" t="s">
        <v>867</v>
      </c>
      <c r="R139" s="24"/>
      <c r="S139" s="25">
        <f ca="1"/>
        <v>98</v>
      </c>
      <c r="T139" s="19" t="str">
        <f ca="1"/>
        <v>FR0013394681</v>
      </c>
      <c r="U139" s="25" t="str">
        <f ca="1"/>
        <v>VIEFP 0.892 01/14/24</v>
      </c>
      <c r="V139" s="64">
        <f ca="1"/>
        <v>1200000</v>
      </c>
      <c r="W139" s="70">
        <f ca="1"/>
        <v>0.47</v>
      </c>
      <c r="X139" s="71">
        <f ca="1"/>
        <v>0</v>
      </c>
      <c r="Y139" s="71" t="str">
        <f ca="1"/>
        <v>#N/A Requesting Data...</v>
      </c>
      <c r="Z139" s="57" t="str">
        <f ca="1"/>
        <v>VOON</v>
      </c>
      <c r="AA139" s="57" t="str">
        <f ca="1"/>
        <v>Bond Corporate</v>
      </c>
      <c r="AB139" s="56" t="str">
        <f ca="1"/>
        <v>-</v>
      </c>
      <c r="AC139" s="56" t="str">
        <f ca="1">IFERROR(IF(ISBLANK(AB139),"-",AB139-_xlfn.XLOOKUP(T139,AI:AI,AJ:AJ)),"-")</f>
        <v>-</v>
      </c>
      <c r="AD139" s="56" t="str">
        <f ca="1">IFERROR(IF(ISBLANK(AB139),"-",AB139-_xlfn.XLOOKUP(T139,AO:AO,AP:AP)),"-")</f>
        <v>-</v>
      </c>
      <c r="AE139" s="25"/>
      <c r="AF139" s="25"/>
      <c r="AG139" s="25"/>
      <c r="AH139" s="25"/>
      <c r="AI139" s="51" t="s">
        <v>1711</v>
      </c>
      <c r="AJ139" s="80" t="s">
        <v>1181</v>
      </c>
      <c r="AK139" s="25"/>
      <c r="AL139" s="25"/>
      <c r="AM139" s="25"/>
      <c r="AN139" s="25"/>
      <c r="AO139" s="51" t="s">
        <v>1711</v>
      </c>
      <c r="AP139" s="80" t="s">
        <v>1181</v>
      </c>
      <c r="AQ139" s="25"/>
      <c r="AR139" s="25"/>
      <c r="AS139" s="26"/>
      <c r="AT139" s="20" t="s">
        <v>867</v>
      </c>
      <c r="AW139" s="25"/>
      <c r="AX139" s="25"/>
      <c r="AY139" s="37"/>
      <c r="AZ139" s="25"/>
      <c r="BA139" s="35"/>
      <c r="BB139" s="25"/>
      <c r="BC139" s="25"/>
      <c r="BD139" s="25"/>
      <c r="BE139" s="25"/>
      <c r="BF139" s="25"/>
      <c r="BG139" s="25"/>
      <c r="BH139" s="25"/>
      <c r="BI139" s="37"/>
      <c r="BJ139" s="25"/>
      <c r="BK139" s="25"/>
    </row>
    <row r="140" spans="3:63" x14ac:dyDescent="0.35">
      <c r="C140" s="25" t="str">
        <f ca="1"/>
        <v>FR0013210408</v>
      </c>
      <c r="D140" s="25" t="str">
        <f ca="1"/>
        <v>VOON</v>
      </c>
      <c r="E140" s="35">
        <f ca="1"/>
        <v>101.411</v>
      </c>
      <c r="F140" s="102"/>
      <c r="G140" s="102">
        <f ca="1"/>
        <v>900000</v>
      </c>
      <c r="H140" s="25">
        <f ca="1"/>
        <v>189.00000000000716</v>
      </c>
      <c r="I140" s="37">
        <f ca="1"/>
        <v>0</v>
      </c>
      <c r="J140" s="37" t="str">
        <f ca="1"/>
        <v>BGN</v>
      </c>
      <c r="K140" s="35" t="str">
        <f ca="1"/>
        <v>EUR</v>
      </c>
      <c r="L140" s="102">
        <f ca="1"/>
        <v>189.00000000000716</v>
      </c>
      <c r="M140" s="102">
        <f ca="1"/>
        <v>189.00000000000716</v>
      </c>
      <c r="N140" s="19">
        <f ca="1"/>
        <v>101.432</v>
      </c>
      <c r="Q140" s="20" t="s">
        <v>867</v>
      </c>
      <c r="R140" s="24"/>
      <c r="S140" s="25">
        <f ca="1"/>
        <v>99</v>
      </c>
      <c r="T140" s="19" t="str">
        <f ca="1"/>
        <v>FR0013210408</v>
      </c>
      <c r="U140" s="25" t="str">
        <f ca="1"/>
        <v>VIEFP 0.314 10/04/23</v>
      </c>
      <c r="V140" s="64">
        <f ca="1"/>
        <v>900000</v>
      </c>
      <c r="W140" s="70">
        <f ca="1"/>
        <v>0.28000000000000003</v>
      </c>
      <c r="X140" s="71">
        <f ca="1"/>
        <v>101.411</v>
      </c>
      <c r="Y140" s="71">
        <f ca="1"/>
        <v>101.432</v>
      </c>
      <c r="Z140" s="57" t="str">
        <f ca="1"/>
        <v>VOON</v>
      </c>
      <c r="AA140" s="57" t="str">
        <f ca="1"/>
        <v>Bond Corporate</v>
      </c>
      <c r="AB140" s="56">
        <f ca="1"/>
        <v>189.00000000000716</v>
      </c>
      <c r="AC140" s="56">
        <f ca="1">IFERROR(IF(ISBLANK(AB140),"-",AB140-_xlfn.XLOOKUP(T140,AI:AI,AJ:AJ)),"-")</f>
        <v>0</v>
      </c>
      <c r="AD140" s="56">
        <f ca="1">IFERROR(IF(ISBLANK(AB140),"-",AB140-_xlfn.XLOOKUP(T140,AO:AO,AP:AP)),"-")</f>
        <v>27.000000000001023</v>
      </c>
      <c r="AE140" s="25"/>
      <c r="AF140" s="25"/>
      <c r="AG140" s="25"/>
      <c r="AH140" s="25"/>
      <c r="AI140" s="51" t="s">
        <v>214</v>
      </c>
      <c r="AJ140" s="80">
        <v>189.00000000000716</v>
      </c>
      <c r="AK140" s="25"/>
      <c r="AL140" s="25"/>
      <c r="AM140" s="25"/>
      <c r="AN140" s="25"/>
      <c r="AO140" s="51" t="s">
        <v>214</v>
      </c>
      <c r="AP140" s="80">
        <v>189.00000000000716</v>
      </c>
      <c r="AQ140" s="25"/>
      <c r="AR140" s="25"/>
      <c r="AS140" s="26"/>
      <c r="AT140" s="20" t="s">
        <v>867</v>
      </c>
      <c r="AW140" s="25"/>
      <c r="AX140" s="25"/>
      <c r="AY140" s="37"/>
      <c r="AZ140" s="25"/>
      <c r="BA140" s="35"/>
      <c r="BB140" s="25"/>
      <c r="BC140" s="25"/>
      <c r="BD140" s="25"/>
      <c r="BE140" s="25"/>
      <c r="BF140" s="25"/>
      <c r="BG140" s="25"/>
      <c r="BH140" s="25"/>
      <c r="BI140" s="37"/>
      <c r="BJ140" s="25"/>
      <c r="BK140" s="25"/>
    </row>
    <row r="141" spans="3:63" x14ac:dyDescent="0.35">
      <c r="C141" s="25" t="str">
        <f ca="1"/>
        <v>XS1721422902</v>
      </c>
      <c r="D141" s="25" t="str">
        <f ca="1"/>
        <v>VOON</v>
      </c>
      <c r="E141" s="35">
        <f ca="1"/>
        <v>127.34</v>
      </c>
      <c r="F141" s="102"/>
      <c r="G141" s="102">
        <f ca="1"/>
        <v>-300000</v>
      </c>
      <c r="H141" s="25">
        <f ca="1"/>
        <v>-1341.0000000000082</v>
      </c>
      <c r="I141" s="37">
        <f ca="1"/>
        <v>0</v>
      </c>
      <c r="J141" s="37" t="str">
        <f ca="1"/>
        <v>BGN</v>
      </c>
      <c r="K141" s="35" t="str">
        <f ca="1"/>
        <v>EUR</v>
      </c>
      <c r="L141" s="102">
        <f ca="1"/>
        <v>-1341.0000000000082</v>
      </c>
      <c r="M141" s="102">
        <f ca="1"/>
        <v>-1341.0000000000082</v>
      </c>
      <c r="N141" s="19">
        <f ca="1"/>
        <v>127.78700000000001</v>
      </c>
      <c r="Q141" s="20" t="s">
        <v>867</v>
      </c>
      <c r="R141" s="24"/>
      <c r="S141" s="25">
        <f ca="1"/>
        <v>100</v>
      </c>
      <c r="T141" s="19" t="str">
        <f ca="1"/>
        <v>XS1721422902</v>
      </c>
      <c r="U141" s="25" t="str">
        <f ca="1"/>
        <v>VOD 2 7/8 11/20/37</v>
      </c>
      <c r="V141" s="64">
        <f ca="1"/>
        <v>-300000</v>
      </c>
      <c r="W141" s="70">
        <f ca="1"/>
        <v>-1.93</v>
      </c>
      <c r="X141" s="71">
        <f ca="1"/>
        <v>127.34</v>
      </c>
      <c r="Y141" s="71">
        <f ca="1"/>
        <v>127.78700000000001</v>
      </c>
      <c r="Z141" s="57" t="str">
        <f ca="1"/>
        <v>VOON</v>
      </c>
      <c r="AA141" s="57" t="str">
        <f ca="1"/>
        <v>Bond Corporate</v>
      </c>
      <c r="AB141" s="56">
        <f ca="1"/>
        <v>-1341.0000000000082</v>
      </c>
      <c r="AC141" s="56">
        <f ca="1">IFERROR(IF(ISBLANK(AB141),"-",AB141-_xlfn.XLOOKUP(T141,AI:AI,AJ:AJ)),"-")</f>
        <v>-21.000000000014779</v>
      </c>
      <c r="AD141" s="56">
        <f ca="1">IFERROR(IF(ISBLANK(AB141),"-",AB141-_xlfn.XLOOKUP(T141,AO:AO,AP:AP)),"-")</f>
        <v>36.000000000001364</v>
      </c>
      <c r="AE141" s="25"/>
      <c r="AF141" s="25"/>
      <c r="AG141" s="25"/>
      <c r="AH141" s="25"/>
      <c r="AI141" s="51" t="s">
        <v>970</v>
      </c>
      <c r="AJ141" s="80">
        <v>-1341.0000000000082</v>
      </c>
      <c r="AK141" s="25"/>
      <c r="AL141" s="25"/>
      <c r="AM141" s="25"/>
      <c r="AN141" s="25"/>
      <c r="AO141" s="51" t="s">
        <v>970</v>
      </c>
      <c r="AP141" s="80">
        <v>-1319.9999999999934</v>
      </c>
      <c r="AQ141" s="25"/>
      <c r="AR141" s="25"/>
      <c r="AS141" s="26"/>
      <c r="AT141" s="20" t="s">
        <v>867</v>
      </c>
      <c r="AW141" s="25"/>
      <c r="AX141" s="25"/>
      <c r="AY141" s="37"/>
      <c r="AZ141" s="25"/>
      <c r="BA141" s="35"/>
      <c r="BB141" s="25"/>
      <c r="BC141" s="25"/>
      <c r="BD141" s="25"/>
      <c r="BE141" s="25"/>
      <c r="BF141" s="25"/>
      <c r="BG141" s="25"/>
      <c r="BH141" s="25"/>
      <c r="BI141" s="37"/>
      <c r="BJ141" s="25"/>
      <c r="BK141" s="25"/>
    </row>
    <row r="142" spans="3:63" x14ac:dyDescent="0.35">
      <c r="C142" s="25" t="str">
        <f ca="1"/>
        <v>XS1910948675</v>
      </c>
      <c r="D142" s="25" t="str">
        <f ca="1"/>
        <v>VOON</v>
      </c>
      <c r="E142" s="35">
        <f ca="1"/>
        <v>142.946</v>
      </c>
      <c r="F142" s="102"/>
      <c r="G142" s="102">
        <f ca="1"/>
        <v>1000000</v>
      </c>
      <c r="H142" s="25">
        <f ca="1"/>
        <v>3660.0000000001387</v>
      </c>
      <c r="I142" s="37">
        <f ca="1"/>
        <v>0</v>
      </c>
      <c r="J142" s="37" t="str">
        <f ca="1"/>
        <v>BGN</v>
      </c>
      <c r="K142" s="35" t="str">
        <f ca="1"/>
        <v>EUR</v>
      </c>
      <c r="L142" s="102">
        <f ca="1"/>
        <v>3660.0000000001387</v>
      </c>
      <c r="M142" s="102">
        <f ca="1"/>
        <v>3660.0000000001387</v>
      </c>
      <c r="N142" s="19">
        <f ca="1"/>
        <v>143.31200000000001</v>
      </c>
      <c r="Q142" s="20" t="s">
        <v>867</v>
      </c>
      <c r="R142" s="24"/>
      <c r="S142" s="25">
        <f ca="1"/>
        <v>101</v>
      </c>
      <c r="T142" s="19" t="str">
        <f ca="1"/>
        <v>XS1910948675</v>
      </c>
      <c r="U142" s="25" t="str">
        <f ca="1"/>
        <v>VW 4 1/8 11/16/38</v>
      </c>
      <c r="V142" s="64">
        <f ca="1"/>
        <v>1000000</v>
      </c>
      <c r="W142" s="70">
        <f ca="1"/>
        <v>9.06</v>
      </c>
      <c r="X142" s="71">
        <f ca="1"/>
        <v>142.946</v>
      </c>
      <c r="Y142" s="71">
        <f ca="1"/>
        <v>143.31200000000001</v>
      </c>
      <c r="Z142" s="57" t="str">
        <f ca="1"/>
        <v>VOON</v>
      </c>
      <c r="AA142" s="57" t="str">
        <f ca="1"/>
        <v>Bond Corporate</v>
      </c>
      <c r="AB142" s="56">
        <f ca="1"/>
        <v>3660.0000000001387</v>
      </c>
      <c r="AC142" s="56">
        <f ca="1">IFERROR(IF(ISBLANK(AB142),"-",AB142-_xlfn.XLOOKUP(T142,AI:AI,AJ:AJ)),"-")</f>
        <v>0</v>
      </c>
      <c r="AD142" s="56">
        <f ca="1">IFERROR(IF(ISBLANK(AB142),"-",AB142-_xlfn.XLOOKUP(T142,AO:AO,AP:AP)),"-")</f>
        <v>230.00000000024602</v>
      </c>
      <c r="AE142" s="25"/>
      <c r="AF142" s="25"/>
      <c r="AG142" s="25"/>
      <c r="AH142" s="25"/>
      <c r="AI142" s="51" t="s">
        <v>1475</v>
      </c>
      <c r="AJ142" s="80">
        <v>3660.0000000001387</v>
      </c>
      <c r="AK142" s="25"/>
      <c r="AL142" s="25"/>
      <c r="AM142" s="25"/>
      <c r="AN142" s="25"/>
      <c r="AO142" s="51" t="s">
        <v>1475</v>
      </c>
      <c r="AP142" s="80">
        <v>3660.0000000001387</v>
      </c>
      <c r="AQ142" s="25"/>
      <c r="AR142" s="25"/>
      <c r="AS142" s="26"/>
      <c r="AT142" s="20" t="s">
        <v>867</v>
      </c>
      <c r="AW142" s="25"/>
      <c r="AX142" s="25"/>
      <c r="AY142" s="37"/>
      <c r="AZ142" s="25"/>
      <c r="BA142" s="35"/>
      <c r="BB142" s="25"/>
      <c r="BC142" s="25"/>
      <c r="BD142" s="25"/>
      <c r="BE142" s="25"/>
      <c r="BF142" s="25"/>
      <c r="BG142" s="25"/>
      <c r="BH142" s="25"/>
      <c r="BI142" s="37"/>
      <c r="BJ142" s="25"/>
      <c r="BK142" s="25"/>
    </row>
    <row r="143" spans="3:63" x14ac:dyDescent="0.35">
      <c r="C143" s="25" t="str">
        <f ca="1"/>
        <v>XS2152058868</v>
      </c>
      <c r="D143" s="25" t="str">
        <f ca="1"/>
        <v>VOON</v>
      </c>
      <c r="E143" s="35">
        <f ca="1"/>
        <v>105.997</v>
      </c>
      <c r="F143" s="102"/>
      <c r="G143" s="102">
        <f ca="1"/>
        <v>5300000</v>
      </c>
      <c r="H143" s="25">
        <f ca="1"/>
        <v>-159.00000000000603</v>
      </c>
      <c r="I143" s="37">
        <f ca="1"/>
        <v>0</v>
      </c>
      <c r="J143" s="37" t="str">
        <f ca="1"/>
        <v>BGN</v>
      </c>
      <c r="K143" s="35" t="str">
        <f ca="1"/>
        <v>EUR</v>
      </c>
      <c r="L143" s="102">
        <f ca="1"/>
        <v>-159.00000000000603</v>
      </c>
      <c r="M143" s="102">
        <f ca="1"/>
        <v>-159.00000000000603</v>
      </c>
      <c r="N143" s="19">
        <f ca="1"/>
        <v>105.994</v>
      </c>
      <c r="Q143" s="20" t="s">
        <v>867</v>
      </c>
      <c r="R143" s="24"/>
      <c r="S143" s="25">
        <f ca="1"/>
        <v>102</v>
      </c>
      <c r="T143" s="19" t="str">
        <f ca="1"/>
        <v>XS2152058868</v>
      </c>
      <c r="U143" s="25" t="str">
        <f ca="1"/>
        <v>VW 2 1/2 04/06/23</v>
      </c>
      <c r="V143" s="64">
        <f ca="1"/>
        <v>5300000</v>
      </c>
      <c r="W143" s="70">
        <f ca="1"/>
        <v>2.11</v>
      </c>
      <c r="X143" s="71">
        <f ca="1"/>
        <v>105.997</v>
      </c>
      <c r="Y143" s="71">
        <f ca="1"/>
        <v>105.994</v>
      </c>
      <c r="Z143" s="57" t="str">
        <f ca="1"/>
        <v>VOON</v>
      </c>
      <c r="AA143" s="57" t="str">
        <f ca="1"/>
        <v>Bond Corporate</v>
      </c>
      <c r="AB143" s="56">
        <f ca="1"/>
        <v>-159.00000000000603</v>
      </c>
      <c r="AC143" s="56">
        <f ca="1">IFERROR(IF(ISBLANK(AB143),"-",AB143-_xlfn.XLOOKUP(T143,AI:AI,AJ:AJ)),"-")</f>
        <v>0</v>
      </c>
      <c r="AD143" s="56">
        <f ca="1">IFERROR(IF(ISBLANK(AB143),"-",AB143-_xlfn.XLOOKUP(T143,AO:AO,AP:AP)),"-")</f>
        <v>477.00000000001808</v>
      </c>
      <c r="AE143" s="25"/>
      <c r="AF143" s="25"/>
      <c r="AG143" s="25"/>
      <c r="AH143" s="25"/>
      <c r="AI143" s="51" t="s">
        <v>994</v>
      </c>
      <c r="AJ143" s="80">
        <v>-159.00000000000603</v>
      </c>
      <c r="AK143" s="25"/>
      <c r="AL143" s="25"/>
      <c r="AM143" s="25"/>
      <c r="AN143" s="25"/>
      <c r="AO143" s="51" t="s">
        <v>994</v>
      </c>
      <c r="AP143" s="80">
        <v>-159.00000000000603</v>
      </c>
      <c r="AQ143" s="25"/>
      <c r="AR143" s="25"/>
      <c r="AS143" s="26"/>
      <c r="AT143" s="20" t="s">
        <v>867</v>
      </c>
      <c r="AW143" s="25"/>
      <c r="AX143" s="25"/>
      <c r="AY143" s="37"/>
      <c r="AZ143" s="25"/>
      <c r="BA143" s="35"/>
      <c r="BB143" s="25"/>
      <c r="BC143" s="25"/>
      <c r="BD143" s="25"/>
      <c r="BE143" s="25"/>
      <c r="BF143" s="25"/>
      <c r="BG143" s="25"/>
      <c r="BH143" s="25"/>
      <c r="BI143" s="37"/>
      <c r="BJ143" s="25"/>
      <c r="BK143" s="25"/>
    </row>
    <row r="144" spans="3:63" x14ac:dyDescent="0.35">
      <c r="C144" s="25" t="str">
        <f ca="1"/>
        <v>XS2052321093</v>
      </c>
      <c r="D144" s="25" t="str">
        <f ca="1"/>
        <v>VOON</v>
      </c>
      <c r="E144" s="35">
        <f ca="1"/>
        <v>108.32899999999999</v>
      </c>
      <c r="F144" s="102"/>
      <c r="G144" s="102">
        <f ca="1"/>
        <v>-1300000</v>
      </c>
      <c r="H144" s="25">
        <f ca="1"/>
        <v>-5161.0000000000719</v>
      </c>
      <c r="I144" s="37">
        <f ca="1"/>
        <v>0</v>
      </c>
      <c r="J144" s="37" t="str">
        <f ca="1"/>
        <v>BGN</v>
      </c>
      <c r="K144" s="35" t="str">
        <f ca="1"/>
        <v>EUR</v>
      </c>
      <c r="L144" s="102">
        <f ca="1"/>
        <v>-5161.0000000000719</v>
      </c>
      <c r="M144" s="102">
        <f ca="1"/>
        <v>-5161.0000000000719</v>
      </c>
      <c r="N144" s="19">
        <f ca="1"/>
        <v>108.726</v>
      </c>
      <c r="Q144" s="20" t="s">
        <v>867</v>
      </c>
      <c r="R144" s="24"/>
      <c r="S144" s="25">
        <f ca="1"/>
        <v>103</v>
      </c>
      <c r="T144" s="19" t="str">
        <f ca="1"/>
        <v>XS2052321093</v>
      </c>
      <c r="U144" s="25" t="str">
        <f ca="1"/>
        <v>VZ 1 1/2 09/19/39</v>
      </c>
      <c r="V144" s="64">
        <f ca="1"/>
        <v>-1300000</v>
      </c>
      <c r="W144" s="70">
        <f ca="1"/>
        <v>-7.38</v>
      </c>
      <c r="X144" s="71">
        <f ca="1"/>
        <v>108.32899999999999</v>
      </c>
      <c r="Y144" s="71">
        <f ca="1"/>
        <v>108.726</v>
      </c>
      <c r="Z144" s="57" t="str">
        <f ca="1"/>
        <v>VOON</v>
      </c>
      <c r="AA144" s="57" t="str">
        <f ca="1"/>
        <v>Bond Corporate</v>
      </c>
      <c r="AB144" s="56">
        <f ca="1"/>
        <v>-5161.0000000000719</v>
      </c>
      <c r="AC144" s="56">
        <f ca="1">IFERROR(IF(ISBLANK(AB144),"-",AB144-_xlfn.XLOOKUP(T144,AI:AI,AJ:AJ)),"-")</f>
        <v>-298.99999999994907</v>
      </c>
      <c r="AD144" s="56">
        <f ca="1">IFERROR(IF(ISBLANK(AB144),"-",AB144-_xlfn.XLOOKUP(T144,AO:AO,AP:AP)),"-")</f>
        <v>-220.99999999994634</v>
      </c>
      <c r="AE144" s="25"/>
      <c r="AF144" s="25"/>
      <c r="AG144" s="25"/>
      <c r="AH144" s="25"/>
      <c r="AI144" s="51" t="s">
        <v>217</v>
      </c>
      <c r="AJ144" s="80">
        <v>-5161.0000000000719</v>
      </c>
      <c r="AK144" s="25"/>
      <c r="AL144" s="25"/>
      <c r="AM144" s="25"/>
      <c r="AN144" s="25"/>
      <c r="AO144" s="51" t="s">
        <v>217</v>
      </c>
      <c r="AP144" s="80">
        <v>-4862.0000000001228</v>
      </c>
      <c r="AQ144" s="25"/>
      <c r="AR144" s="25"/>
      <c r="AS144" s="26"/>
      <c r="AT144" s="20" t="s">
        <v>867</v>
      </c>
      <c r="AW144" s="25"/>
      <c r="AX144" s="25"/>
      <c r="AY144" s="37"/>
      <c r="AZ144" s="25"/>
      <c r="BA144" s="35"/>
      <c r="BB144" s="25"/>
      <c r="BC144" s="25"/>
      <c r="BD144" s="25"/>
      <c r="BE144" s="25"/>
      <c r="BF144" s="25"/>
      <c r="BG144" s="25"/>
      <c r="BH144" s="25"/>
      <c r="BI144" s="37"/>
      <c r="BJ144" s="25"/>
      <c r="BK144" s="25"/>
    </row>
    <row r="145" spans="3:63" x14ac:dyDescent="0.35">
      <c r="C145" s="25" t="str">
        <f ca="1"/>
        <v>XS2052320954</v>
      </c>
      <c r="D145" s="25" t="str">
        <f ca="1"/>
        <v>VOON</v>
      </c>
      <c r="E145" s="35">
        <f ca="1"/>
        <v>103.64700000000001</v>
      </c>
      <c r="F145" s="102"/>
      <c r="G145" s="102">
        <f ca="1"/>
        <v>456000</v>
      </c>
      <c r="H145" s="25">
        <f ca="1"/>
        <v>934.79999999999234</v>
      </c>
      <c r="I145" s="37">
        <f ca="1"/>
        <v>0</v>
      </c>
      <c r="J145" s="37" t="str">
        <f ca="1"/>
        <v>BGN</v>
      </c>
      <c r="K145" s="35" t="str">
        <f ca="1"/>
        <v>EUR</v>
      </c>
      <c r="L145" s="102">
        <f ca="1"/>
        <v>934.79999999999234</v>
      </c>
      <c r="M145" s="102">
        <f ca="1"/>
        <v>934.79999999999234</v>
      </c>
      <c r="N145" s="19">
        <f ca="1"/>
        <v>103.852</v>
      </c>
      <c r="Q145" s="20" t="s">
        <v>867</v>
      </c>
      <c r="R145" s="24"/>
      <c r="S145" s="25">
        <f ca="1"/>
        <v>104</v>
      </c>
      <c r="T145" s="19" t="str">
        <f ca="1"/>
        <v>XS2052320954</v>
      </c>
      <c r="U145" s="25" t="str">
        <f ca="1"/>
        <v>VZ 0 7/8 03/19/32</v>
      </c>
      <c r="V145" s="64">
        <f ca="1"/>
        <v>456000</v>
      </c>
      <c r="W145" s="70">
        <f ca="1"/>
        <v>1.1499999999999999</v>
      </c>
      <c r="X145" s="71">
        <f ca="1"/>
        <v>103.64700000000001</v>
      </c>
      <c r="Y145" s="71">
        <f ca="1"/>
        <v>103.852</v>
      </c>
      <c r="Z145" s="57" t="str">
        <f ca="1"/>
        <v>VOON</v>
      </c>
      <c r="AA145" s="57" t="str">
        <f ca="1"/>
        <v>Bond Corporate</v>
      </c>
      <c r="AB145" s="56">
        <f ca="1"/>
        <v>934.79999999999234</v>
      </c>
      <c r="AC145" s="56">
        <f ca="1">IFERROR(IF(ISBLANK(AB145),"-",AB145-_xlfn.XLOOKUP(T145,AI:AI,AJ:AJ)),"-")</f>
        <v>45.600000000023442</v>
      </c>
      <c r="AD145" s="56">
        <f ca="1">IFERROR(IF(ISBLANK(AB145),"-",AB145-_xlfn.XLOOKUP(T145,AO:AO,AP:AP)),"-")</f>
        <v>27.360000000001264</v>
      </c>
      <c r="AE145" s="25"/>
      <c r="AF145" s="25"/>
      <c r="AG145" s="25"/>
      <c r="AH145" s="25"/>
      <c r="AI145" s="51" t="s">
        <v>220</v>
      </c>
      <c r="AJ145" s="80">
        <v>934.79999999999234</v>
      </c>
      <c r="AK145" s="25"/>
      <c r="AL145" s="25"/>
      <c r="AM145" s="25"/>
      <c r="AN145" s="25"/>
      <c r="AO145" s="51" t="s">
        <v>220</v>
      </c>
      <c r="AP145" s="80">
        <v>889.1999999999689</v>
      </c>
      <c r="AQ145" s="25"/>
      <c r="AR145" s="25"/>
      <c r="AS145" s="26"/>
      <c r="AT145" s="20" t="s">
        <v>867</v>
      </c>
      <c r="AW145" s="25"/>
      <c r="AX145" s="25"/>
      <c r="AY145" s="37"/>
      <c r="AZ145" s="25"/>
      <c r="BA145" s="35"/>
      <c r="BB145" s="25"/>
      <c r="BC145" s="25"/>
      <c r="BD145" s="25"/>
      <c r="BE145" s="25"/>
      <c r="BF145" s="25"/>
      <c r="BG145" s="25"/>
      <c r="BH145" s="25"/>
      <c r="BI145" s="37"/>
      <c r="BJ145" s="25"/>
      <c r="BK145" s="25"/>
    </row>
    <row r="146" spans="3:63" x14ac:dyDescent="0.35">
      <c r="C146" s="25" t="str">
        <f ca="1"/>
        <v>ITXEU534_TRS1</v>
      </c>
      <c r="D146" s="25" t="str">
        <f ca="1"/>
        <v>TIGER</v>
      </c>
      <c r="E146" s="35">
        <f ca="1"/>
        <v>0.85199999999999998</v>
      </c>
      <c r="F146" s="102"/>
      <c r="G146" s="102">
        <f ca="1"/>
        <v>1500000</v>
      </c>
      <c r="H146" s="25">
        <f ca="1"/>
        <v>2012.9329172116072</v>
      </c>
      <c r="I146" s="37">
        <f ca="1"/>
        <v>0</v>
      </c>
      <c r="J146" s="37" t="str">
        <f ca="1"/>
        <v/>
      </c>
      <c r="K146" s="35" t="str">
        <f ca="1"/>
        <v>EUR</v>
      </c>
      <c r="L146" s="102">
        <f ca="1"/>
        <v>2012.9329172116072</v>
      </c>
      <c r="M146" s="102">
        <f ca="1"/>
        <v>2012.9329172116072</v>
      </c>
      <c r="N146" s="19" t="str">
        <f ca="1"/>
        <v>#N/A Invalid Security</v>
      </c>
      <c r="Q146" s="20" t="s">
        <v>867</v>
      </c>
      <c r="R146" s="24"/>
      <c r="S146" s="25">
        <f ca="1"/>
        <v>105</v>
      </c>
      <c r="T146" s="19" t="str">
        <f ca="1"/>
        <v>ITXEU534_TRS1</v>
      </c>
      <c r="U146" s="25" t="str">
        <f ca="1"/>
        <v>ITXEU534_JP_2025-12-20</v>
      </c>
      <c r="V146" s="64">
        <f ca="1"/>
        <v>1500000</v>
      </c>
      <c r="W146" s="70">
        <f ca="1"/>
        <v>-2.86</v>
      </c>
      <c r="X146" s="71">
        <f ca="1"/>
        <v>0.85199999999999998</v>
      </c>
      <c r="Y146" s="71">
        <f ca="1"/>
        <v>0.98619552781410713</v>
      </c>
      <c r="Z146" s="57" t="str">
        <f ca="1"/>
        <v>TIGER</v>
      </c>
      <c r="AA146" s="57" t="str">
        <f ca="1"/>
        <v>CDS Index Swap</v>
      </c>
      <c r="AB146" s="56">
        <f ca="1"/>
        <v>2012.9329172116072</v>
      </c>
      <c r="AC146" s="56">
        <f ca="1">IFERROR(IF(ISBLANK(AB146),"-",AB146-_xlfn.XLOOKUP(T146,AI:AI,AJ:AJ)),"-")</f>
        <v>0</v>
      </c>
      <c r="AD146" s="56">
        <f ca="1">IFERROR(IF(ISBLANK(AB146),"-",AB146-_xlfn.XLOOKUP(T146,AO:AO,AP:AP)),"-")</f>
        <v>-273.7604086542583</v>
      </c>
      <c r="AE146" s="25"/>
      <c r="AF146" s="25"/>
      <c r="AG146" s="25"/>
      <c r="AH146" s="25"/>
      <c r="AI146" s="51" t="s">
        <v>228</v>
      </c>
      <c r="AJ146" s="80">
        <v>2012.9329172116072</v>
      </c>
      <c r="AK146" s="25"/>
      <c r="AL146" s="25"/>
      <c r="AM146" s="25"/>
      <c r="AN146" s="25"/>
      <c r="AO146" s="51" t="s">
        <v>228</v>
      </c>
      <c r="AP146" s="80">
        <v>2012.9329172116072</v>
      </c>
      <c r="AQ146" s="25"/>
      <c r="AR146" s="25"/>
      <c r="AS146" s="26"/>
      <c r="AT146" s="20" t="s">
        <v>867</v>
      </c>
      <c r="AW146" s="25"/>
      <c r="AX146" s="25"/>
      <c r="AY146" s="37"/>
      <c r="AZ146" s="25"/>
      <c r="BA146" s="35"/>
      <c r="BB146" s="25"/>
      <c r="BC146" s="25"/>
      <c r="BD146" s="25"/>
      <c r="BE146" s="25"/>
      <c r="BF146" s="25"/>
      <c r="BG146" s="25"/>
      <c r="BH146" s="25"/>
      <c r="BI146" s="37"/>
      <c r="BJ146" s="25"/>
      <c r="BK146" s="25"/>
    </row>
    <row r="147" spans="3:63" x14ac:dyDescent="0.35">
      <c r="C147" s="25" t="str">
        <f ca="1"/>
        <v>ITXES534_TRS1</v>
      </c>
      <c r="D147" s="25" t="str">
        <f ca="1"/>
        <v>TIGER</v>
      </c>
      <c r="E147" s="35">
        <f ca="1"/>
        <v>-1.889</v>
      </c>
      <c r="F147" s="102"/>
      <c r="G147" s="102">
        <f ca="1"/>
        <v>-3000000</v>
      </c>
      <c r="H147" s="25">
        <f ca="1"/>
        <v>-1692.2364273979663</v>
      </c>
      <c r="I147" s="37">
        <f ca="1"/>
        <v>0</v>
      </c>
      <c r="J147" s="37" t="str">
        <f ca="1"/>
        <v/>
      </c>
      <c r="K147" s="35" t="str">
        <f ca="1"/>
        <v>EUR</v>
      </c>
      <c r="L147" s="102">
        <f ca="1"/>
        <v>-1692.2364273979663</v>
      </c>
      <c r="M147" s="102">
        <f ca="1"/>
        <v>-1692.2364273979663</v>
      </c>
      <c r="N147" s="19" t="str">
        <f ca="1"/>
        <v>#N/A Invalid Security</v>
      </c>
      <c r="Q147" s="20" t="s">
        <v>867</v>
      </c>
      <c r="R147" s="24"/>
      <c r="S147" s="25">
        <f ca="1"/>
        <v>106</v>
      </c>
      <c r="T147" s="19" t="str">
        <f ca="1"/>
        <v>ITXES534_TRS1</v>
      </c>
      <c r="U147" s="25" t="str">
        <f ca="1"/>
        <v>ITXES534_JP_2025-12-20</v>
      </c>
      <c r="V147" s="64">
        <f ca="1"/>
        <v>-3000000</v>
      </c>
      <c r="W147" s="70">
        <f ca="1"/>
        <v>3.18</v>
      </c>
      <c r="X147" s="71">
        <f ca="1"/>
        <v>-1.889</v>
      </c>
      <c r="Y147" s="71">
        <f ca="1"/>
        <v>-1.8325921190867345</v>
      </c>
      <c r="Z147" s="57" t="str">
        <f ca="1"/>
        <v>TIGER</v>
      </c>
      <c r="AA147" s="57" t="str">
        <f ca="1"/>
        <v>CDS Index Swap</v>
      </c>
      <c r="AB147" s="56">
        <f ca="1"/>
        <v>-1692.2364273979663</v>
      </c>
      <c r="AC147" s="56">
        <f ca="1">IFERROR(IF(ISBLANK(AB147),"-",AB147-_xlfn.XLOOKUP(T147,AI:AI,AJ:AJ)),"-")</f>
        <v>0</v>
      </c>
      <c r="AD147" s="56">
        <f ca="1">IFERROR(IF(ISBLANK(AB147),"-",AB147-_xlfn.XLOOKUP(T147,AO:AO,AP:AP)),"-")</f>
        <v>244.93355598804055</v>
      </c>
      <c r="AE147" s="25"/>
      <c r="AF147" s="25"/>
      <c r="AG147" s="25"/>
      <c r="AH147" s="25"/>
      <c r="AI147" s="51" t="s">
        <v>231</v>
      </c>
      <c r="AJ147" s="80">
        <v>-1692.2364273979663</v>
      </c>
      <c r="AK147" s="25"/>
      <c r="AL147" s="25"/>
      <c r="AM147" s="25"/>
      <c r="AN147" s="25"/>
      <c r="AO147" s="51" t="s">
        <v>231</v>
      </c>
      <c r="AP147" s="80">
        <v>-1692.2364273979663</v>
      </c>
      <c r="AQ147" s="25"/>
      <c r="AR147" s="25"/>
      <c r="AS147" s="26"/>
      <c r="AT147" s="20" t="s">
        <v>867</v>
      </c>
      <c r="AW147" s="25"/>
      <c r="AX147" s="25"/>
      <c r="AY147" s="37"/>
      <c r="AZ147" s="25"/>
      <c r="BA147" s="35"/>
      <c r="BB147" s="25"/>
      <c r="BC147" s="25"/>
      <c r="BD147" s="25"/>
      <c r="BE147" s="25"/>
      <c r="BF147" s="25"/>
      <c r="BG147" s="25"/>
      <c r="BH147" s="25"/>
      <c r="BI147" s="37"/>
      <c r="BJ147" s="25"/>
      <c r="BK147" s="25"/>
    </row>
    <row r="148" spans="3:63" x14ac:dyDescent="0.35">
      <c r="C148" s="25" t="str">
        <f ca="1"/>
        <v>RXZ0</v>
      </c>
      <c r="D148" s="25" t="str">
        <f ca="1"/>
        <v>TIGER</v>
      </c>
      <c r="E148" s="35">
        <f ca="1"/>
        <v>174.93</v>
      </c>
      <c r="F148" s="102"/>
      <c r="G148" s="102">
        <f ca="1"/>
        <v>-4</v>
      </c>
      <c r="H148" s="25">
        <f ca="1"/>
        <v>-1159.9999999999682</v>
      </c>
      <c r="I148" s="37">
        <f ca="1"/>
        <v>0</v>
      </c>
      <c r="J148" s="37" t="str">
        <f ca="1"/>
        <v>EX</v>
      </c>
      <c r="K148" s="35" t="str">
        <f ca="1"/>
        <v>EUR</v>
      </c>
      <c r="L148" s="102">
        <f ca="1"/>
        <v>-1159.9999999999682</v>
      </c>
      <c r="M148" s="102">
        <f ca="1"/>
        <v>-1159.9999999999682</v>
      </c>
      <c r="N148" s="19" t="str">
        <f ca="1"/>
        <v>#N/A Invalid Security</v>
      </c>
      <c r="Q148" s="20" t="s">
        <v>867</v>
      </c>
      <c r="R148" s="24"/>
      <c r="S148" s="25">
        <f ca="1"/>
        <v>107</v>
      </c>
      <c r="T148" s="19" t="str">
        <f ca="1"/>
        <v>RXZ0</v>
      </c>
      <c r="U148" s="25" t="str">
        <f ca="1"/>
        <v>RXZ0 Comdty</v>
      </c>
      <c r="V148" s="64">
        <f ca="1"/>
        <v>-4</v>
      </c>
      <c r="W148" s="70">
        <f ca="1"/>
        <v>0</v>
      </c>
      <c r="X148" s="71">
        <f ca="1"/>
        <v>174.93</v>
      </c>
      <c r="Y148" s="71">
        <f ca="1"/>
        <v>175.22</v>
      </c>
      <c r="Z148" s="57" t="str">
        <f ca="1"/>
        <v>TIGER</v>
      </c>
      <c r="AA148" s="57" t="str">
        <f ca="1"/>
        <v>Future</v>
      </c>
      <c r="AB148" s="56">
        <f ca="1"/>
        <v>-1159.9999999999682</v>
      </c>
      <c r="AC148" s="56">
        <f ca="1">IFERROR(IF(ISBLANK(AB148),"-",AB148-_xlfn.XLOOKUP(T148,AI:AI,AJ:AJ)),"-")</f>
        <v>19540.00000000008</v>
      </c>
      <c r="AD148" s="56">
        <f ca="1">IFERROR(IF(ISBLANK(AB148),"-",AB148-_xlfn.XLOOKUP(T148,AO:AO,AP:AP)),"-")</f>
        <v>23089.999999998865</v>
      </c>
      <c r="AE148" s="25"/>
      <c r="AF148" s="25"/>
      <c r="AG148" s="25"/>
      <c r="AH148" s="25"/>
      <c r="AI148" s="51" t="s">
        <v>11</v>
      </c>
      <c r="AJ148" s="80">
        <v>-1159.9999999999682</v>
      </c>
      <c r="AK148" s="25"/>
      <c r="AL148" s="25"/>
      <c r="AM148" s="25"/>
      <c r="AN148" s="25"/>
      <c r="AO148" s="51" t="s">
        <v>11</v>
      </c>
      <c r="AP148" s="80">
        <v>-879.99999999999545</v>
      </c>
      <c r="AQ148" s="25"/>
      <c r="AR148" s="25"/>
      <c r="AS148" s="26"/>
      <c r="AT148" s="20" t="s">
        <v>867</v>
      </c>
      <c r="AW148" s="25"/>
      <c r="AX148" s="25"/>
      <c r="AY148" s="37"/>
      <c r="AZ148" s="25"/>
      <c r="BA148" s="35"/>
      <c r="BB148" s="25"/>
      <c r="BC148" s="25"/>
      <c r="BD148" s="25"/>
      <c r="BE148" s="25"/>
      <c r="BF148" s="25"/>
      <c r="BG148" s="25"/>
      <c r="BH148" s="25"/>
      <c r="BI148" s="37"/>
      <c r="BJ148" s="25"/>
      <c r="BK148" s="25"/>
    </row>
    <row r="149" spans="3:63" x14ac:dyDescent="0.35">
      <c r="C149" s="25" t="str">
        <f ca="1"/>
        <v>OEZ0</v>
      </c>
      <c r="D149" s="25" t="str">
        <f ca="1"/>
        <v>TIGER</v>
      </c>
      <c r="E149" s="35">
        <f ca="1"/>
        <v>135.30000000000001</v>
      </c>
      <c r="F149" s="102"/>
      <c r="G149" s="102">
        <f ca="1"/>
        <v>-2</v>
      </c>
      <c r="H149" s="25">
        <f ca="1"/>
        <v>-159.99999999996817</v>
      </c>
      <c r="I149" s="37">
        <f ca="1"/>
        <v>0</v>
      </c>
      <c r="J149" s="37" t="str">
        <f ca="1"/>
        <v>EX</v>
      </c>
      <c r="K149" s="35" t="str">
        <f ca="1"/>
        <v>EUR</v>
      </c>
      <c r="L149" s="102">
        <f ca="1"/>
        <v>-159.99999999996817</v>
      </c>
      <c r="M149" s="102">
        <f ca="1"/>
        <v>-159.99999999996817</v>
      </c>
      <c r="N149" s="19" t="str">
        <f ca="1"/>
        <v>#N/A Invalid Security</v>
      </c>
      <c r="Q149" s="20" t="s">
        <v>867</v>
      </c>
      <c r="R149" s="24"/>
      <c r="S149" s="25">
        <f ca="1"/>
        <v>108</v>
      </c>
      <c r="T149" s="19" t="str">
        <f ca="1"/>
        <v>OEZ0</v>
      </c>
      <c r="U149" s="25" t="str">
        <f ca="1"/>
        <v>OEZ0 Comdty</v>
      </c>
      <c r="V149" s="64">
        <f ca="1"/>
        <v>-2</v>
      </c>
      <c r="W149" s="70">
        <f ca="1"/>
        <v>0</v>
      </c>
      <c r="X149" s="71">
        <f ca="1"/>
        <v>135.30000000000001</v>
      </c>
      <c r="Y149" s="71">
        <f ca="1"/>
        <v>135.38</v>
      </c>
      <c r="Z149" s="57" t="str">
        <f ca="1"/>
        <v>TIGER</v>
      </c>
      <c r="AA149" s="57" t="str">
        <f ca="1"/>
        <v>Future</v>
      </c>
      <c r="AB149" s="56">
        <f ca="1"/>
        <v>-159.99999999996817</v>
      </c>
      <c r="AC149" s="56">
        <f ca="1">IFERROR(IF(ISBLANK(AB149),"-",AB149-_xlfn.XLOOKUP(T149,AI:AI,AJ:AJ)),"-")</f>
        <v>2129.9999999992847</v>
      </c>
      <c r="AD149" s="56">
        <f ca="1">IFERROR(IF(ISBLANK(AB149),"-",AB149-_xlfn.XLOOKUP(T149,AO:AO,AP:AP)),"-")</f>
        <v>3730.0000000001037</v>
      </c>
      <c r="AE149" s="25"/>
      <c r="AF149" s="25"/>
      <c r="AG149" s="25"/>
      <c r="AH149" s="25"/>
      <c r="AI149" s="51" t="s">
        <v>16</v>
      </c>
      <c r="AJ149" s="80">
        <v>-159.99999999996817</v>
      </c>
      <c r="AK149" s="25"/>
      <c r="AL149" s="25"/>
      <c r="AM149" s="25"/>
      <c r="AN149" s="25"/>
      <c r="AO149" s="51" t="s">
        <v>16</v>
      </c>
      <c r="AP149" s="80">
        <v>-79.999999999984084</v>
      </c>
      <c r="AQ149" s="25"/>
      <c r="AR149" s="25"/>
      <c r="AS149" s="26"/>
      <c r="AT149" s="20" t="s">
        <v>867</v>
      </c>
      <c r="AW149" s="25"/>
      <c r="AX149" s="25"/>
      <c r="AY149" s="37"/>
      <c r="AZ149" s="25"/>
      <c r="BA149" s="35"/>
      <c r="BB149" s="25"/>
      <c r="BC149" s="25"/>
      <c r="BD149" s="25"/>
      <c r="BE149" s="25"/>
      <c r="BF149" s="25"/>
      <c r="BG149" s="25"/>
      <c r="BH149" s="25"/>
      <c r="BI149" s="37"/>
      <c r="BJ149" s="25"/>
      <c r="BK149" s="25"/>
    </row>
    <row r="150" spans="3:63" x14ac:dyDescent="0.35">
      <c r="C150" s="25" t="str">
        <f ca="1"/>
        <v>UBZ0</v>
      </c>
      <c r="D150" s="25" t="str">
        <f ca="1"/>
        <v>TIGER</v>
      </c>
      <c r="E150" s="35">
        <f ca="1"/>
        <v>224.94</v>
      </c>
      <c r="F150" s="102"/>
      <c r="G150" s="102">
        <f ca="1"/>
        <v>0</v>
      </c>
      <c r="H150" s="25">
        <f ca="1"/>
        <v>0</v>
      </c>
      <c r="I150" s="37">
        <f ca="1"/>
        <v>0</v>
      </c>
      <c r="J150" s="37" t="str">
        <f ca="1"/>
        <v>EX</v>
      </c>
      <c r="K150" s="35" t="str">
        <f ca="1"/>
        <v>EUR</v>
      </c>
      <c r="L150" s="102">
        <f ca="1"/>
        <v>0</v>
      </c>
      <c r="M150" s="102">
        <f ca="1"/>
        <v>0</v>
      </c>
      <c r="N150" s="19" t="str">
        <f ca="1"/>
        <v>#N/A Invalid Security</v>
      </c>
      <c r="Q150" s="20" t="s">
        <v>867</v>
      </c>
      <c r="R150" s="24"/>
      <c r="S150" s="25">
        <f ca="1"/>
        <v>109</v>
      </c>
      <c r="T150" s="19" t="str">
        <f ca="1"/>
        <v>UBZ0</v>
      </c>
      <c r="U150" s="25" t="str">
        <f ca="1"/>
        <v>UBZ0 Comdty</v>
      </c>
      <c r="V150" s="64">
        <f ca="1"/>
        <v>0</v>
      </c>
      <c r="W150" s="70">
        <f ca="1"/>
        <v>0</v>
      </c>
      <c r="X150" s="71">
        <f ca="1"/>
        <v>224.94</v>
      </c>
      <c r="Y150" s="71">
        <f ca="1"/>
        <v>226.14</v>
      </c>
      <c r="Z150" s="57" t="str">
        <f ca="1"/>
        <v>TIGER</v>
      </c>
      <c r="AA150" s="57" t="str">
        <f ca="1"/>
        <v>Future</v>
      </c>
      <c r="AB150" s="56">
        <f ca="1"/>
        <v>0</v>
      </c>
      <c r="AC150" s="56">
        <f ca="1">IFERROR(IF(ISBLANK(AB150),"-",AB150-_xlfn.XLOOKUP(T150,AI:AI,AJ:AJ)),"-")</f>
        <v>14240.000000000264</v>
      </c>
      <c r="AD150" s="56">
        <f ca="1">IFERROR(IF(ISBLANK(AB150),"-",AB150-_xlfn.XLOOKUP(T150,AO:AO,AP:AP)),"-")</f>
        <v>16300.000000000236</v>
      </c>
      <c r="AE150" s="25"/>
      <c r="AF150" s="25"/>
      <c r="AG150" s="25"/>
      <c r="AH150" s="25"/>
      <c r="AI150" s="51" t="s">
        <v>25</v>
      </c>
      <c r="AJ150" s="80">
        <v>0</v>
      </c>
      <c r="AK150" s="25"/>
      <c r="AL150" s="25"/>
      <c r="AM150" s="25"/>
      <c r="AN150" s="25"/>
      <c r="AO150" s="51" t="s">
        <v>25</v>
      </c>
      <c r="AP150" s="80">
        <v>0</v>
      </c>
      <c r="AQ150" s="25"/>
      <c r="AR150" s="25"/>
      <c r="AS150" s="26"/>
      <c r="AT150" s="20" t="s">
        <v>867</v>
      </c>
      <c r="AW150" s="25"/>
      <c r="AX150" s="25"/>
      <c r="AY150" s="37"/>
      <c r="AZ150" s="25"/>
      <c r="BA150" s="35"/>
      <c r="BB150" s="25"/>
      <c r="BC150" s="25"/>
      <c r="BD150" s="25"/>
      <c r="BE150" s="25"/>
      <c r="BF150" s="25"/>
      <c r="BG150" s="25"/>
      <c r="BH150" s="25"/>
      <c r="BI150" s="37"/>
      <c r="BJ150" s="25"/>
      <c r="BK150" s="25"/>
    </row>
    <row r="151" spans="3:63" x14ac:dyDescent="0.35">
      <c r="C151" s="25" t="str">
        <f ca="1"/>
        <v>USX10001AA78</v>
      </c>
      <c r="D151" s="25" t="str">
        <f ca="1"/>
        <v>TIGER</v>
      </c>
      <c r="E151" s="35">
        <f ca="1"/>
        <v>100.7</v>
      </c>
      <c r="F151" s="102"/>
      <c r="G151" s="102">
        <f ca="1"/>
        <v>0</v>
      </c>
      <c r="H151" s="25">
        <f ca="1"/>
        <v>0</v>
      </c>
      <c r="I151" s="37">
        <f ca="1"/>
        <v>0</v>
      </c>
      <c r="J151" s="37" t="str">
        <f ca="1"/>
        <v>TRAC</v>
      </c>
      <c r="K151" s="35" t="str">
        <f ca="1"/>
        <v>USD</v>
      </c>
      <c r="L151" s="102">
        <f ca="1"/>
        <v>0</v>
      </c>
      <c r="M151" s="102">
        <f ca="1"/>
        <v>0</v>
      </c>
      <c r="N151" s="19">
        <f ca="1"/>
        <v>100.6</v>
      </c>
      <c r="Q151" s="20" t="s">
        <v>867</v>
      </c>
      <c r="R151" s="24"/>
      <c r="S151" s="25">
        <f ca="1"/>
        <v>110</v>
      </c>
      <c r="T151" s="19" t="str">
        <f ca="1"/>
        <v>USX10001AA78</v>
      </c>
      <c r="U151" s="25" t="str">
        <f ca="1"/>
        <v>ALVGR 3 1/2 PERP</v>
      </c>
      <c r="V151" s="64">
        <f ca="1"/>
        <v>0</v>
      </c>
      <c r="W151" s="70">
        <f ca="1"/>
        <v>0</v>
      </c>
      <c r="X151" s="71">
        <f ca="1"/>
        <v>100.7</v>
      </c>
      <c r="Y151" s="71">
        <f ca="1"/>
        <v>100.6</v>
      </c>
      <c r="Z151" s="57" t="str">
        <f ca="1"/>
        <v>TIGER</v>
      </c>
      <c r="AA151" s="57" t="str">
        <f ca="1"/>
        <v>Bond Corporate</v>
      </c>
      <c r="AB151" s="56">
        <f ca="1"/>
        <v>0</v>
      </c>
      <c r="AC151" s="56">
        <f ca="1">IFERROR(IF(ISBLANK(AB151),"-",AB151-_xlfn.XLOOKUP(T151,AI:AI,AJ:AJ)),"-")</f>
        <v>0</v>
      </c>
      <c r="AD151" s="56">
        <f ca="1">IFERROR(IF(ISBLANK(AB151),"-",AB151-_xlfn.XLOOKUP(T151,AO:AO,AP:AP)),"-")</f>
        <v>0</v>
      </c>
      <c r="AE151" s="25"/>
      <c r="AF151" s="25"/>
      <c r="AG151" s="25"/>
      <c r="AH151" s="25"/>
      <c r="AI151" s="51" t="s">
        <v>1484</v>
      </c>
      <c r="AJ151" s="80">
        <v>0</v>
      </c>
      <c r="AK151" s="25"/>
      <c r="AL151" s="25"/>
      <c r="AM151" s="25"/>
      <c r="AN151" s="25"/>
      <c r="AO151" s="51" t="s">
        <v>1484</v>
      </c>
      <c r="AP151" s="80">
        <v>0</v>
      </c>
      <c r="AQ151" s="25"/>
      <c r="AR151" s="25"/>
      <c r="AS151" s="26"/>
      <c r="AT151" s="20" t="s">
        <v>867</v>
      </c>
      <c r="AW151" s="25"/>
      <c r="AX151" s="25"/>
      <c r="AY151" s="37"/>
      <c r="AZ151" s="25"/>
      <c r="BA151" s="35"/>
      <c r="BB151" s="25"/>
      <c r="BC151" s="25"/>
      <c r="BD151" s="25"/>
      <c r="BE151" s="25"/>
      <c r="BF151" s="25"/>
      <c r="BG151" s="25"/>
      <c r="BH151" s="25"/>
      <c r="BI151" s="37"/>
      <c r="BJ151" s="25"/>
      <c r="BK151" s="25"/>
    </row>
    <row r="152" spans="3:63" x14ac:dyDescent="0.35">
      <c r="C152" s="25" t="str">
        <f ca="1"/>
        <v>DE000A289FK7</v>
      </c>
      <c r="D152" s="25" t="str">
        <f ca="1"/>
        <v>TIGER</v>
      </c>
      <c r="E152" s="35">
        <f ca="1"/>
        <v>100</v>
      </c>
      <c r="F152" s="102"/>
      <c r="G152" s="102">
        <f ca="1"/>
        <v>0</v>
      </c>
      <c r="H152" s="25" t="str">
        <f ca="1"/>
        <v>-</v>
      </c>
      <c r="I152" s="37">
        <f ca="1"/>
        <v>0</v>
      </c>
      <c r="J152" s="37" t="str">
        <f ca="1"/>
        <v/>
      </c>
      <c r="K152" s="35" t="str">
        <f ca="1"/>
        <v>EUR</v>
      </c>
      <c r="L152" s="102" t="str">
        <f ca="1"/>
        <v>-</v>
      </c>
      <c r="M152" s="102" t="str">
        <f ca="1"/>
        <v>-</v>
      </c>
      <c r="N152" s="19" t="str">
        <f ca="1"/>
        <v>#N/A Invalid Security</v>
      </c>
      <c r="Q152" s="20" t="s">
        <v>867</v>
      </c>
      <c r="R152" s="24"/>
      <c r="S152" s="25">
        <f ca="1"/>
        <v>111</v>
      </c>
      <c r="T152" s="19" t="str">
        <f ca="1"/>
        <v>DE000A289FK7</v>
      </c>
      <c r="U152" s="25" t="str">
        <f ca="1"/>
        <v>ALVGR 2 5/8 PERP</v>
      </c>
      <c r="V152" s="64">
        <f ca="1"/>
        <v>0</v>
      </c>
      <c r="W152" s="70">
        <f ca="1"/>
        <v>0</v>
      </c>
      <c r="X152" s="71">
        <f ca="1"/>
        <v>100</v>
      </c>
      <c r="Y152" s="71" t="str">
        <f ca="1"/>
        <v>-</v>
      </c>
      <c r="Z152" s="57" t="str">
        <f ca="1"/>
        <v>TIGER</v>
      </c>
      <c r="AA152" s="57" t="str">
        <f ca="1"/>
        <v>Bond Corporate</v>
      </c>
      <c r="AB152" s="56" t="str">
        <f ca="1"/>
        <v>-</v>
      </c>
      <c r="AC152" s="56" t="str">
        <f ca="1">IFERROR(IF(ISBLANK(AB152),"-",AB152-_xlfn.XLOOKUP(T152,AI:AI,AJ:AJ)),"-")</f>
        <v>-</v>
      </c>
      <c r="AD152" s="56" t="str">
        <f ca="1">IFERROR(IF(ISBLANK(AB152),"-",AB152-_xlfn.XLOOKUP(T152,AO:AO,AP:AP)),"-")</f>
        <v>-</v>
      </c>
      <c r="AE152" s="25"/>
      <c r="AF152" s="25"/>
      <c r="AG152" s="25"/>
      <c r="AH152" s="25"/>
      <c r="AI152" s="51" t="s">
        <v>1489</v>
      </c>
      <c r="AJ152" s="80" t="s">
        <v>1181</v>
      </c>
      <c r="AK152" s="25"/>
      <c r="AL152" s="25"/>
      <c r="AM152" s="25"/>
      <c r="AN152" s="25"/>
      <c r="AO152" s="51" t="s">
        <v>1489</v>
      </c>
      <c r="AP152" s="80" t="s">
        <v>1181</v>
      </c>
      <c r="AQ152" s="25"/>
      <c r="AR152" s="25"/>
      <c r="AS152" s="26"/>
      <c r="AT152" s="20" t="s">
        <v>867</v>
      </c>
      <c r="AW152" s="25"/>
      <c r="AX152" s="25"/>
      <c r="AY152" s="37"/>
      <c r="AZ152" s="25"/>
      <c r="BA152" s="35"/>
      <c r="BB152" s="25"/>
      <c r="BC152" s="25"/>
      <c r="BD152" s="25"/>
      <c r="BE152" s="25"/>
      <c r="BF152" s="25"/>
      <c r="BG152" s="25"/>
      <c r="BH152" s="25"/>
      <c r="BI152" s="37"/>
      <c r="BJ152" s="25"/>
      <c r="BK152" s="25"/>
    </row>
    <row r="153" spans="3:63" x14ac:dyDescent="0.35">
      <c r="C153" s="25" t="str">
        <f ca="1"/>
        <v>XS1615079974</v>
      </c>
      <c r="D153" s="25" t="str">
        <f ca="1"/>
        <v>TIGER</v>
      </c>
      <c r="E153" s="35">
        <f ca="1"/>
        <v>108.85899999999999</v>
      </c>
      <c r="F153" s="102"/>
      <c r="G153" s="102">
        <f ca="1"/>
        <v>1000000</v>
      </c>
      <c r="H153" s="25">
        <f ca="1"/>
        <v>829.99999999998408</v>
      </c>
      <c r="I153" s="37">
        <f ca="1"/>
        <v>0</v>
      </c>
      <c r="J153" s="37" t="str">
        <f ca="1"/>
        <v>BGN</v>
      </c>
      <c r="K153" s="35" t="str">
        <f ca="1"/>
        <v>EUR</v>
      </c>
      <c r="L153" s="102">
        <f ca="1"/>
        <v>829.99999999998408</v>
      </c>
      <c r="M153" s="102">
        <f ca="1"/>
        <v>829.99999999998408</v>
      </c>
      <c r="N153" s="19">
        <f ca="1"/>
        <v>108.94199999999999</v>
      </c>
      <c r="Q153" s="20" t="s">
        <v>867</v>
      </c>
      <c r="R153" s="24"/>
      <c r="S153" s="25">
        <f ca="1"/>
        <v>112</v>
      </c>
      <c r="T153" s="19" t="str">
        <f ca="1"/>
        <v>XS1615079974</v>
      </c>
      <c r="U153" s="25" t="str">
        <f ca="1"/>
        <v>JPM 1.638 05/18/28</v>
      </c>
      <c r="V153" s="64">
        <f ca="1"/>
        <v>1000000</v>
      </c>
      <c r="W153" s="70">
        <f ca="1"/>
        <v>1.41</v>
      </c>
      <c r="X153" s="71">
        <f ca="1"/>
        <v>108.85899999999999</v>
      </c>
      <c r="Y153" s="71">
        <f ca="1"/>
        <v>108.94199999999999</v>
      </c>
      <c r="Z153" s="57" t="str">
        <f ca="1"/>
        <v>TIGER</v>
      </c>
      <c r="AA153" s="57" t="str">
        <f ca="1"/>
        <v>Bond Corporate</v>
      </c>
      <c r="AB153" s="56">
        <f ca="1"/>
        <v>829.99999999998408</v>
      </c>
      <c r="AC153" s="56">
        <f ca="1">IFERROR(IF(ISBLANK(AB153),"-",AB153-_xlfn.XLOOKUP(T153,AI:AI,AJ:AJ)),"-")</f>
        <v>9.9999999999056399</v>
      </c>
      <c r="AD153" s="56">
        <f ca="1">IFERROR(IF(ISBLANK(AB153),"-",AB153-_xlfn.XLOOKUP(T153,AO:AO,AP:AP)),"-")</f>
        <v>129.99999999991019</v>
      </c>
      <c r="AE153" s="25"/>
      <c r="AF153" s="25"/>
      <c r="AG153" s="25"/>
      <c r="AH153" s="25"/>
      <c r="AI153" s="51" t="s">
        <v>239</v>
      </c>
      <c r="AJ153" s="80">
        <v>829.99999999998408</v>
      </c>
      <c r="AK153" s="25"/>
      <c r="AL153" s="25"/>
      <c r="AM153" s="25"/>
      <c r="AN153" s="25"/>
      <c r="AO153" s="51" t="s">
        <v>239</v>
      </c>
      <c r="AP153" s="80">
        <v>820.00000000007844</v>
      </c>
      <c r="AQ153" s="25"/>
      <c r="AR153" s="25"/>
      <c r="AS153" s="26"/>
      <c r="AT153" s="20" t="s">
        <v>867</v>
      </c>
      <c r="AW153" s="25"/>
      <c r="AX153" s="25"/>
      <c r="AY153" s="37"/>
      <c r="AZ153" s="25"/>
      <c r="BA153" s="35"/>
      <c r="BB153" s="25"/>
      <c r="BC153" s="25"/>
      <c r="BD153" s="25"/>
      <c r="BE153" s="25"/>
      <c r="BF153" s="25"/>
      <c r="BG153" s="25"/>
      <c r="BH153" s="25"/>
      <c r="BI153" s="37"/>
      <c r="BJ153" s="25"/>
      <c r="BK153" s="25"/>
    </row>
    <row r="154" spans="3:63" x14ac:dyDescent="0.35">
      <c r="C154" s="25" t="str">
        <f ca="1"/>
        <v>CT413383_251220_TRS1</v>
      </c>
      <c r="D154" s="25" t="str">
        <f ca="1"/>
        <v>TIGER</v>
      </c>
      <c r="E154" s="35">
        <f ca="1"/>
        <v>-1.9370000000000001</v>
      </c>
      <c r="F154" s="102"/>
      <c r="G154" s="102">
        <f ca="1"/>
        <v>1750000</v>
      </c>
      <c r="H154" s="25" t="str">
        <f ca="1"/>
        <v>-</v>
      </c>
      <c r="I154" s="37">
        <f ca="1"/>
        <v>0</v>
      </c>
      <c r="J154" s="37" t="str">
        <f ca="1"/>
        <v/>
      </c>
      <c r="K154" s="35" t="str">
        <f ca="1"/>
        <v>EUR</v>
      </c>
      <c r="L154" s="102" t="str">
        <f ca="1"/>
        <v>-</v>
      </c>
      <c r="M154" s="102" t="str">
        <f ca="1"/>
        <v>-</v>
      </c>
      <c r="N154" s="19" t="str">
        <f ca="1"/>
        <v>#N/A Invalid Security</v>
      </c>
      <c r="Q154" s="20" t="s">
        <v>867</v>
      </c>
      <c r="R154" s="24"/>
      <c r="S154" s="25">
        <f ca="1"/>
        <v>113</v>
      </c>
      <c r="T154" s="19" t="str">
        <f ca="1"/>
        <v>CT413383_251220_TRS1</v>
      </c>
      <c r="U154" s="25" t="str">
        <f ca="1"/>
        <v>RBS_JP_2025-12-20</v>
      </c>
      <c r="V154" s="64">
        <f ca="1"/>
        <v>1750000</v>
      </c>
      <c r="W154" s="70">
        <f ca="1"/>
        <v>-1.81</v>
      </c>
      <c r="X154" s="71">
        <f ca="1"/>
        <v>-1.9370000000000001</v>
      </c>
      <c r="Y154" s="71" t="str">
        <f ca="1"/>
        <v>-</v>
      </c>
      <c r="Z154" s="57" t="str">
        <f ca="1"/>
        <v>TIGER</v>
      </c>
      <c r="AA154" s="57" t="str">
        <f ca="1"/>
        <v>Credit Default Swap</v>
      </c>
      <c r="AB154" s="56" t="str">
        <f ca="1"/>
        <v>-</v>
      </c>
      <c r="AC154" s="56" t="str">
        <f ca="1">IFERROR(IF(ISBLANK(AB154),"-",AB154-_xlfn.XLOOKUP(T154,AI:AI,AJ:AJ)),"-")</f>
        <v>-</v>
      </c>
      <c r="AD154" s="56" t="str">
        <f ca="1">IFERROR(IF(ISBLANK(AB154),"-",AB154-_xlfn.XLOOKUP(T154,AO:AO,AP:AP)),"-")</f>
        <v>-</v>
      </c>
      <c r="AE154" s="25"/>
      <c r="AF154" s="25"/>
      <c r="AG154" s="25"/>
      <c r="AH154" s="25"/>
      <c r="AI154" s="51" t="s">
        <v>242</v>
      </c>
      <c r="AJ154" s="80" t="s">
        <v>1181</v>
      </c>
      <c r="AK154" s="25"/>
      <c r="AL154" s="25"/>
      <c r="AM154" s="25"/>
      <c r="AN154" s="25"/>
      <c r="AO154" s="51" t="s">
        <v>242</v>
      </c>
      <c r="AP154" s="80" t="s">
        <v>1181</v>
      </c>
      <c r="AQ154" s="25"/>
      <c r="AR154" s="25"/>
      <c r="AS154" s="26"/>
      <c r="AT154" s="20" t="s">
        <v>867</v>
      </c>
      <c r="AW154" s="25"/>
      <c r="AX154" s="25"/>
      <c r="AY154" s="37"/>
      <c r="AZ154" s="25"/>
      <c r="BA154" s="35"/>
      <c r="BB154" s="25"/>
      <c r="BC154" s="25"/>
      <c r="BD154" s="25"/>
      <c r="BE154" s="25"/>
      <c r="BF154" s="25"/>
      <c r="BG154" s="25"/>
      <c r="BH154" s="25"/>
      <c r="BI154" s="37"/>
      <c r="BJ154" s="25"/>
      <c r="BK154" s="25"/>
    </row>
    <row r="155" spans="3:63" x14ac:dyDescent="0.35">
      <c r="C155" s="25" t="str">
        <f ca="1"/>
        <v>XS2247936342</v>
      </c>
      <c r="D155" s="25" t="str">
        <f ca="1"/>
        <v>TIGER</v>
      </c>
      <c r="E155" s="35">
        <f ca="1"/>
        <v>101.988</v>
      </c>
      <c r="F155" s="102"/>
      <c r="G155" s="102">
        <f ca="1"/>
        <v>0</v>
      </c>
      <c r="H155" s="25">
        <f ca="1"/>
        <v>0</v>
      </c>
      <c r="I155" s="37">
        <f ca="1"/>
        <v>0</v>
      </c>
      <c r="J155" s="37" t="str">
        <f ca="1"/>
        <v>BGN</v>
      </c>
      <c r="K155" s="35" t="str">
        <f ca="1"/>
        <v>EUR</v>
      </c>
      <c r="L155" s="102">
        <f ca="1"/>
        <v>0</v>
      </c>
      <c r="M155" s="102">
        <f ca="1"/>
        <v>0</v>
      </c>
      <c r="N155" s="19">
        <f ca="1"/>
        <v>103.26900000000001</v>
      </c>
      <c r="Q155" s="20" t="s">
        <v>867</v>
      </c>
      <c r="R155" s="24"/>
      <c r="S155" s="25">
        <f ca="1"/>
        <v>114</v>
      </c>
      <c r="T155" s="19" t="str">
        <f ca="1"/>
        <v>XS2247936342</v>
      </c>
      <c r="U155" s="25" t="str">
        <f ca="1"/>
        <v>SANTAN 1 5/8 10/22/30</v>
      </c>
      <c r="V155" s="64">
        <f ca="1"/>
        <v>0</v>
      </c>
      <c r="W155" s="70">
        <f ca="1"/>
        <v>0</v>
      </c>
      <c r="X155" s="71">
        <f ca="1"/>
        <v>101.988</v>
      </c>
      <c r="Y155" s="71">
        <f ca="1"/>
        <v>103.26900000000001</v>
      </c>
      <c r="Z155" s="57" t="str">
        <f ca="1"/>
        <v>TIGER</v>
      </c>
      <c r="AA155" s="57" t="str">
        <f ca="1"/>
        <v>Bond Corporate</v>
      </c>
      <c r="AB155" s="56">
        <f ca="1"/>
        <v>0</v>
      </c>
      <c r="AC155" s="56">
        <f ca="1">IFERROR(IF(ISBLANK(AB155),"-",AB155-_xlfn.XLOOKUP(T155,AI:AI,AJ:AJ)),"-")</f>
        <v>0</v>
      </c>
      <c r="AD155" s="56">
        <f ca="1">IFERROR(IF(ISBLANK(AB155),"-",AB155-_xlfn.XLOOKUP(T155,AO:AO,AP:AP)),"-")</f>
        <v>0</v>
      </c>
      <c r="AE155" s="25"/>
      <c r="AF155" s="25"/>
      <c r="AG155" s="25"/>
      <c r="AH155" s="25"/>
      <c r="AI155" s="51" t="s">
        <v>247</v>
      </c>
      <c r="AJ155" s="80">
        <v>0</v>
      </c>
      <c r="AK155" s="25"/>
      <c r="AL155" s="25"/>
      <c r="AM155" s="25"/>
      <c r="AN155" s="25"/>
      <c r="AO155" s="51" t="s">
        <v>247</v>
      </c>
      <c r="AP155" s="80">
        <v>0</v>
      </c>
      <c r="AQ155" s="25"/>
      <c r="AR155" s="25"/>
      <c r="AS155" s="26"/>
      <c r="AT155" s="20" t="s">
        <v>867</v>
      </c>
      <c r="AW155" s="25"/>
      <c r="AX155" s="25"/>
      <c r="AY155" s="37"/>
      <c r="AZ155" s="25"/>
      <c r="BA155" s="35"/>
      <c r="BB155" s="25"/>
      <c r="BC155" s="25"/>
      <c r="BD155" s="25"/>
      <c r="BE155" s="25"/>
      <c r="BF155" s="25"/>
      <c r="BG155" s="25"/>
      <c r="BH155" s="25"/>
      <c r="BI155" s="37"/>
      <c r="BJ155" s="25"/>
      <c r="BK155" s="25"/>
    </row>
    <row r="156" spans="3:63" x14ac:dyDescent="0.35">
      <c r="C156" s="25" t="str">
        <f ca="1"/>
        <v>ITXEB534_TRS1</v>
      </c>
      <c r="D156" s="25" t="str">
        <f ca="1"/>
        <v>SEMINARA</v>
      </c>
      <c r="E156" s="35">
        <f ca="1"/>
        <v>-2.5779999999999998</v>
      </c>
      <c r="F156" s="102"/>
      <c r="G156" s="102">
        <f ca="1"/>
        <v>5000000</v>
      </c>
      <c r="H156" s="25">
        <f ca="1"/>
        <v>1405.0591653327338</v>
      </c>
      <c r="I156" s="37">
        <f ca="1"/>
        <v>0</v>
      </c>
      <c r="J156" s="37" t="str">
        <f ca="1"/>
        <v/>
      </c>
      <c r="K156" s="35" t="str">
        <f ca="1"/>
        <v>EUR</v>
      </c>
      <c r="L156" s="102">
        <f ca="1"/>
        <v>1405.0591653327338</v>
      </c>
      <c r="M156" s="102">
        <f ca="1"/>
        <v>1405.0591653327338</v>
      </c>
      <c r="N156" s="19" t="str">
        <f ca="1"/>
        <v>#N/A Invalid Security</v>
      </c>
      <c r="Q156" s="20" t="s">
        <v>867</v>
      </c>
      <c r="R156" s="24"/>
      <c r="S156" s="25">
        <f ca="1"/>
        <v>115</v>
      </c>
      <c r="T156" s="19" t="str">
        <f ca="1"/>
        <v>ITXEB534_TRS1</v>
      </c>
      <c r="U156" s="25" t="str">
        <f ca="1"/>
        <v>ITXEB534_JP_2025-12-20</v>
      </c>
      <c r="V156" s="64">
        <f ca="1"/>
        <v>5000000</v>
      </c>
      <c r="W156" s="70">
        <f ca="1"/>
        <v>-4.21</v>
      </c>
      <c r="X156" s="71">
        <f ca="1"/>
        <v>-2.5779999999999998</v>
      </c>
      <c r="Y156" s="71">
        <f ca="1"/>
        <v>-2.5498988166933452</v>
      </c>
      <c r="Z156" s="57" t="str">
        <f ca="1"/>
        <v>SEMINARA</v>
      </c>
      <c r="AA156" s="57" t="str">
        <f ca="1"/>
        <v>CDS Index Swap</v>
      </c>
      <c r="AB156" s="56">
        <f ca="1"/>
        <v>1405.0591653327338</v>
      </c>
      <c r="AC156" s="56">
        <f ca="1">IFERROR(IF(ISBLANK(AB156),"-",AB156-_xlfn.XLOOKUP(T156,AI:AI,AJ:AJ)),"-")</f>
        <v>-4215.1774959982013</v>
      </c>
      <c r="AD156" s="56">
        <f ca="1">IFERROR(IF(ISBLANK(AB156),"-",AB156-_xlfn.XLOOKUP(T156,AO:AO,AP:AP)),"-")</f>
        <v>-4827.9805102240834</v>
      </c>
      <c r="AE156" s="25"/>
      <c r="AF156" s="25"/>
      <c r="AG156" s="25"/>
      <c r="AH156" s="25"/>
      <c r="AI156" s="51" t="s">
        <v>2</v>
      </c>
      <c r="AJ156" s="80">
        <v>1405.0591653327338</v>
      </c>
      <c r="AK156" s="25"/>
      <c r="AL156" s="25"/>
      <c r="AM156" s="25"/>
      <c r="AN156" s="25"/>
      <c r="AO156" s="51" t="s">
        <v>2</v>
      </c>
      <c r="AP156" s="80">
        <v>1405.0591653327338</v>
      </c>
      <c r="AQ156" s="25"/>
      <c r="AR156" s="25"/>
      <c r="AS156" s="26"/>
      <c r="AT156" s="20" t="s">
        <v>867</v>
      </c>
      <c r="AW156" s="25"/>
      <c r="AX156" s="25"/>
      <c r="AY156" s="37"/>
      <c r="AZ156" s="25"/>
      <c r="BA156" s="35"/>
      <c r="BB156" s="25"/>
      <c r="BC156" s="25"/>
      <c r="BD156" s="25"/>
      <c r="BE156" s="25"/>
      <c r="BF156" s="25"/>
      <c r="BG156" s="25"/>
      <c r="BH156" s="25"/>
      <c r="BI156" s="37"/>
      <c r="BJ156" s="25"/>
      <c r="BK156" s="25"/>
    </row>
    <row r="157" spans="3:63" x14ac:dyDescent="0.35">
      <c r="C157" s="25" t="str">
        <f ca="1"/>
        <v>ITXEX534_TRS1</v>
      </c>
      <c r="D157" s="25" t="str">
        <f ca="1"/>
        <v>SEMINARA</v>
      </c>
      <c r="E157" s="35">
        <f ca="1"/>
        <v>-10.013</v>
      </c>
      <c r="F157" s="102"/>
      <c r="G157" s="102">
        <f ca="1"/>
        <v>4000000</v>
      </c>
      <c r="H157" s="25">
        <f ca="1"/>
        <v>6259.2403895961015</v>
      </c>
      <c r="I157" s="37">
        <f ca="1"/>
        <v>0</v>
      </c>
      <c r="J157" s="37" t="str">
        <f ca="1"/>
        <v/>
      </c>
      <c r="K157" s="35" t="str">
        <f ca="1"/>
        <v>EUR</v>
      </c>
      <c r="L157" s="102">
        <f ca="1"/>
        <v>6259.2403895961015</v>
      </c>
      <c r="M157" s="102">
        <f ca="1"/>
        <v>6259.2403895961015</v>
      </c>
      <c r="N157" s="19" t="str">
        <f ca="1"/>
        <v>#N/A Invalid Security</v>
      </c>
      <c r="Q157" s="20" t="s">
        <v>867</v>
      </c>
      <c r="R157" s="24"/>
      <c r="S157" s="25">
        <f ca="1"/>
        <v>116</v>
      </c>
      <c r="T157" s="19" t="str">
        <f ca="1"/>
        <v>ITXEX534_TRS1</v>
      </c>
      <c r="U157" s="25" t="str">
        <f ca="1"/>
        <v>ITXEX534_JP_2025-12-20</v>
      </c>
      <c r="V157" s="64">
        <f ca="1"/>
        <v>0</v>
      </c>
      <c r="W157" s="70">
        <f ca="1"/>
        <v>0</v>
      </c>
      <c r="X157" s="71">
        <f ca="1"/>
        <v>-10.013</v>
      </c>
      <c r="Y157" s="71">
        <f ca="1"/>
        <v>-9.8565189902600974</v>
      </c>
      <c r="Z157" s="57" t="str">
        <f ca="1"/>
        <v>SEMINARA</v>
      </c>
      <c r="AA157" s="57" t="str">
        <f ca="1"/>
        <v>CDS Index Swap</v>
      </c>
      <c r="AB157" s="56">
        <f ca="1"/>
        <v>6259.2403895961015</v>
      </c>
      <c r="AC157" s="56">
        <f ca="1">IFERROR(IF(ISBLANK(AB157),"-",AB157-_xlfn.XLOOKUP(T157,AI:AI,AJ:AJ)),"-")</f>
        <v>0</v>
      </c>
      <c r="AD157" s="56">
        <f ca="1">IFERROR(IF(ISBLANK(AB157),"-",AB157-_xlfn.XLOOKUP(T157,AO:AO,AP:AP)),"-")</f>
        <v>587.84217167442421</v>
      </c>
      <c r="AE157" s="25"/>
      <c r="AF157" s="25"/>
      <c r="AG157" s="25"/>
      <c r="AH157" s="25"/>
      <c r="AI157" s="51" t="s">
        <v>254</v>
      </c>
      <c r="AJ157" s="80">
        <v>6259.2403895961015</v>
      </c>
      <c r="AK157" s="25"/>
      <c r="AL157" s="25"/>
      <c r="AM157" s="25"/>
      <c r="AN157" s="25"/>
      <c r="AO157" s="51" t="s">
        <v>254</v>
      </c>
      <c r="AP157" s="80">
        <v>6259.2403895961015</v>
      </c>
      <c r="AQ157" s="25"/>
      <c r="AR157" s="25"/>
      <c r="AS157" s="26"/>
      <c r="AT157" s="20" t="s">
        <v>867</v>
      </c>
      <c r="AW157" s="25"/>
      <c r="AX157" s="25"/>
      <c r="AY157" s="37"/>
      <c r="AZ157" s="25"/>
      <c r="BA157" s="35"/>
      <c r="BB157" s="25"/>
      <c r="BC157" s="25"/>
      <c r="BD157" s="25"/>
      <c r="BE157" s="25"/>
      <c r="BF157" s="25"/>
      <c r="BG157" s="25"/>
      <c r="BH157" s="25"/>
      <c r="BI157" s="37"/>
      <c r="BJ157" s="25"/>
      <c r="BK157" s="25"/>
    </row>
    <row r="158" spans="3:63" x14ac:dyDescent="0.35">
      <c r="C158" s="25" t="str">
        <f ca="1"/>
        <v>FR0013457157</v>
      </c>
      <c r="D158" s="25" t="str">
        <f ca="1"/>
        <v>SEMINARA</v>
      </c>
      <c r="E158" s="35">
        <f ca="1"/>
        <v>91.158000000000001</v>
      </c>
      <c r="F158" s="102"/>
      <c r="G158" s="102">
        <f ca="1"/>
        <v>-700000</v>
      </c>
      <c r="H158" s="25">
        <f ca="1"/>
        <v>-882.00000000003342</v>
      </c>
      <c r="I158" s="37">
        <f ca="1"/>
        <v>0</v>
      </c>
      <c r="J158" s="37" t="str">
        <f ca="1"/>
        <v>BGN</v>
      </c>
      <c r="K158" s="35" t="str">
        <f ca="1"/>
        <v>EUR</v>
      </c>
      <c r="L158" s="102">
        <f ca="1"/>
        <v>-882.00000000003342</v>
      </c>
      <c r="M158" s="102">
        <f ca="1"/>
        <v>-882.00000000003342</v>
      </c>
      <c r="N158" s="19">
        <f ca="1"/>
        <v>91.284000000000006</v>
      </c>
      <c r="Q158" s="20" t="s">
        <v>867</v>
      </c>
      <c r="R158" s="24"/>
      <c r="S158" s="25">
        <f ca="1"/>
        <v>117</v>
      </c>
      <c r="T158" s="19" t="str">
        <f ca="1"/>
        <v>FR0013457157</v>
      </c>
      <c r="U158" s="25" t="str">
        <f ca="1"/>
        <v>ACFP 2 5/8 PERP</v>
      </c>
      <c r="V158" s="64">
        <f ca="1"/>
        <v>-700000</v>
      </c>
      <c r="W158" s="70">
        <f ca="1"/>
        <v>-4.3499999999999996</v>
      </c>
      <c r="X158" s="71">
        <f ca="1"/>
        <v>91.158000000000001</v>
      </c>
      <c r="Y158" s="71">
        <f ca="1"/>
        <v>91.284000000000006</v>
      </c>
      <c r="Z158" s="57" t="str">
        <f ca="1"/>
        <v>SEMINARA</v>
      </c>
      <c r="AA158" s="57" t="str">
        <f ca="1"/>
        <v>Bond Corporate</v>
      </c>
      <c r="AB158" s="56">
        <f ca="1"/>
        <v>-882.00000000003342</v>
      </c>
      <c r="AC158" s="56">
        <f ca="1">IFERROR(IF(ISBLANK(AB158),"-",AB158-_xlfn.XLOOKUP(T158,AI:AI,AJ:AJ)),"-")</f>
        <v>0</v>
      </c>
      <c r="AD158" s="56">
        <f ca="1">IFERROR(IF(ISBLANK(AB158),"-",AB158-_xlfn.XLOOKUP(T158,AO:AO,AP:AP)),"-")</f>
        <v>-294.00000000001114</v>
      </c>
      <c r="AE158" s="25"/>
      <c r="AF158" s="25"/>
      <c r="AG158" s="25"/>
      <c r="AH158" s="25"/>
      <c r="AI158" s="51" t="s">
        <v>1366</v>
      </c>
      <c r="AJ158" s="80">
        <v>-882.00000000003342</v>
      </c>
      <c r="AK158" s="25"/>
      <c r="AL158" s="25"/>
      <c r="AM158" s="25"/>
      <c r="AN158" s="25"/>
      <c r="AO158" s="51" t="s">
        <v>1366</v>
      </c>
      <c r="AP158" s="80">
        <v>-882.00000000003342</v>
      </c>
      <c r="AQ158" s="25"/>
      <c r="AR158" s="25"/>
      <c r="AS158" s="26"/>
      <c r="AT158" s="20" t="s">
        <v>867</v>
      </c>
      <c r="AW158" s="25"/>
      <c r="AX158" s="25"/>
      <c r="AY158" s="37"/>
      <c r="AZ158" s="25"/>
      <c r="BA158" s="35"/>
      <c r="BB158" s="25"/>
      <c r="BC158" s="25"/>
      <c r="BD158" s="25"/>
      <c r="BE158" s="25"/>
      <c r="BF158" s="25"/>
      <c r="BG158" s="25"/>
      <c r="BH158" s="25"/>
      <c r="BI158" s="37"/>
      <c r="BJ158" s="25"/>
      <c r="BK158" s="25"/>
    </row>
    <row r="159" spans="3:63" x14ac:dyDescent="0.35">
      <c r="C159" s="25" t="str">
        <f ca="1"/>
        <v>FR0013425170</v>
      </c>
      <c r="D159" s="25" t="str">
        <f ca="1"/>
        <v>SEMINARA</v>
      </c>
      <c r="E159" s="35">
        <f ca="1"/>
        <v>105.089</v>
      </c>
      <c r="F159" s="102"/>
      <c r="G159" s="102">
        <f ca="1"/>
        <v>-400000</v>
      </c>
      <c r="H159" s="25">
        <f ca="1"/>
        <v>-463.99999999999864</v>
      </c>
      <c r="I159" s="37">
        <f ca="1"/>
        <v>0</v>
      </c>
      <c r="J159" s="37" t="str">
        <f ca="1"/>
        <v>BGN</v>
      </c>
      <c r="K159" s="35" t="str">
        <f ca="1"/>
        <v>EUR</v>
      </c>
      <c r="L159" s="102">
        <f ca="1"/>
        <v>-463.99999999999864</v>
      </c>
      <c r="M159" s="102">
        <f ca="1"/>
        <v>-463.99999999999864</v>
      </c>
      <c r="N159" s="19">
        <f ca="1"/>
        <v>105.205</v>
      </c>
      <c r="Q159" s="20" t="s">
        <v>867</v>
      </c>
      <c r="R159" s="24"/>
      <c r="S159" s="25">
        <f ca="1"/>
        <v>118</v>
      </c>
      <c r="T159" s="19" t="str">
        <f ca="1"/>
        <v>FR0013425170</v>
      </c>
      <c r="U159" s="25" t="str">
        <f ca="1"/>
        <v>AKEFP 2 3/4 PERP</v>
      </c>
      <c r="V159" s="64">
        <f ca="1"/>
        <v>-400000</v>
      </c>
      <c r="W159" s="70">
        <f ca="1"/>
        <v>-0.82</v>
      </c>
      <c r="X159" s="71">
        <f ca="1"/>
        <v>105.089</v>
      </c>
      <c r="Y159" s="71">
        <f ca="1"/>
        <v>105.205</v>
      </c>
      <c r="Z159" s="57" t="str">
        <f ca="1"/>
        <v>SEMINARA</v>
      </c>
      <c r="AA159" s="57" t="str">
        <f ca="1"/>
        <v>Bond Corporate</v>
      </c>
      <c r="AB159" s="56">
        <f ca="1"/>
        <v>-463.99999999999864</v>
      </c>
      <c r="AC159" s="56">
        <f ca="1">IFERROR(IF(ISBLANK(AB159),"-",AB159-_xlfn.XLOOKUP(T159,AI:AI,AJ:AJ)),"-")</f>
        <v>0</v>
      </c>
      <c r="AD159" s="56">
        <f ca="1">IFERROR(IF(ISBLANK(AB159),"-",AB159-_xlfn.XLOOKUP(T159,AO:AO,AP:AP)),"-")</f>
        <v>-24.000000000000909</v>
      </c>
      <c r="AE159" s="25"/>
      <c r="AF159" s="25"/>
      <c r="AG159" s="25"/>
      <c r="AH159" s="25"/>
      <c r="AI159" s="51" t="s">
        <v>1237</v>
      </c>
      <c r="AJ159" s="80">
        <v>-463.99999999999864</v>
      </c>
      <c r="AK159" s="25"/>
      <c r="AL159" s="25"/>
      <c r="AM159" s="25"/>
      <c r="AN159" s="25"/>
      <c r="AO159" s="51" t="s">
        <v>1237</v>
      </c>
      <c r="AP159" s="80">
        <v>-463.99999999999864</v>
      </c>
      <c r="AQ159" s="25"/>
      <c r="AR159" s="25"/>
      <c r="AS159" s="26"/>
      <c r="AT159" s="20" t="s">
        <v>867</v>
      </c>
      <c r="AW159" s="25"/>
      <c r="AX159" s="25"/>
      <c r="AY159" s="37"/>
      <c r="AZ159" s="25"/>
      <c r="BA159" s="35"/>
      <c r="BB159" s="25"/>
      <c r="BC159" s="25"/>
      <c r="BD159" s="25"/>
      <c r="BE159" s="25"/>
      <c r="BF159" s="25"/>
      <c r="BG159" s="25"/>
      <c r="BH159" s="25"/>
      <c r="BI159" s="37"/>
      <c r="BJ159" s="25"/>
      <c r="BK159" s="25"/>
    </row>
    <row r="160" spans="3:63" x14ac:dyDescent="0.35">
      <c r="C160" s="25" t="str">
        <f ca="1"/>
        <v>XS1788973573</v>
      </c>
      <c r="D160" s="25" t="str">
        <f ca="1"/>
        <v>SEMINARA</v>
      </c>
      <c r="E160" s="35">
        <f ca="1"/>
        <v>105.297</v>
      </c>
      <c r="F160" s="102"/>
      <c r="G160" s="102">
        <f ca="1"/>
        <v>945000</v>
      </c>
      <c r="H160" s="25">
        <f ca="1"/>
        <v>774.9000000000741</v>
      </c>
      <c r="I160" s="37">
        <f ca="1"/>
        <v>0</v>
      </c>
      <c r="J160" s="37" t="str">
        <f ca="1"/>
        <v>BGN</v>
      </c>
      <c r="K160" s="35" t="str">
        <f ca="1"/>
        <v>EUR</v>
      </c>
      <c r="L160" s="102">
        <f ca="1"/>
        <v>774.9000000000741</v>
      </c>
      <c r="M160" s="102">
        <f ca="1"/>
        <v>774.9000000000741</v>
      </c>
      <c r="N160" s="19">
        <f ca="1"/>
        <v>105.379</v>
      </c>
      <c r="Q160" s="20" t="s">
        <v>867</v>
      </c>
      <c r="R160" s="24"/>
      <c r="S160" s="25">
        <f ca="1"/>
        <v>119</v>
      </c>
      <c r="T160" s="19" t="str">
        <f ca="1"/>
        <v>XS1788973573</v>
      </c>
      <c r="U160" s="25" t="str">
        <f ca="1"/>
        <v>AKFAST 3 7/8 10/05/78</v>
      </c>
      <c r="V160" s="64">
        <f ca="1"/>
        <v>945000</v>
      </c>
      <c r="W160" s="70">
        <f ca="1"/>
        <v>1.85</v>
      </c>
      <c r="X160" s="71">
        <f ca="1"/>
        <v>105.297</v>
      </c>
      <c r="Y160" s="71">
        <f ca="1"/>
        <v>105.379</v>
      </c>
      <c r="Z160" s="57" t="str">
        <f ca="1"/>
        <v>SEMINARA</v>
      </c>
      <c r="AA160" s="57" t="str">
        <f ca="1"/>
        <v>Bond Corporate</v>
      </c>
      <c r="AB160" s="56">
        <f ca="1"/>
        <v>774.9000000000741</v>
      </c>
      <c r="AC160" s="56">
        <f ca="1">IFERROR(IF(ISBLANK(AB160),"-",AB160-_xlfn.XLOOKUP(T160,AI:AI,AJ:AJ)),"-")</f>
        <v>0</v>
      </c>
      <c r="AD160" s="56">
        <f ca="1">IFERROR(IF(ISBLANK(AB160),"-",AB160-_xlfn.XLOOKUP(T160,AO:AO,AP:AP)),"-")</f>
        <v>0</v>
      </c>
      <c r="AE160" s="25"/>
      <c r="AF160" s="25"/>
      <c r="AG160" s="25"/>
      <c r="AH160" s="25"/>
      <c r="AI160" s="51" t="s">
        <v>257</v>
      </c>
      <c r="AJ160" s="80">
        <v>774.9000000000741</v>
      </c>
      <c r="AK160" s="25"/>
      <c r="AL160" s="25"/>
      <c r="AM160" s="25"/>
      <c r="AN160" s="25"/>
      <c r="AO160" s="51" t="s">
        <v>257</v>
      </c>
      <c r="AP160" s="80">
        <v>774.9000000000741</v>
      </c>
      <c r="AQ160" s="25"/>
      <c r="AR160" s="25"/>
      <c r="AS160" s="26"/>
      <c r="AT160" s="20" t="s">
        <v>867</v>
      </c>
      <c r="AW160" s="25"/>
      <c r="AX160" s="25"/>
      <c r="AY160" s="37"/>
      <c r="AZ160" s="25"/>
      <c r="BA160" s="35"/>
      <c r="BB160" s="25"/>
      <c r="BC160" s="25"/>
      <c r="BD160" s="25"/>
      <c r="BE160" s="25"/>
      <c r="BF160" s="25"/>
      <c r="BG160" s="25"/>
      <c r="BH160" s="25"/>
      <c r="BI160" s="37"/>
      <c r="BJ160" s="25"/>
      <c r="BK160" s="25"/>
    </row>
    <row r="161" spans="3:63" x14ac:dyDescent="0.35">
      <c r="C161" s="25" t="str">
        <f ca="1"/>
        <v>XS1677911825</v>
      </c>
      <c r="D161" s="25" t="str">
        <f ca="1"/>
        <v>SEMINARA</v>
      </c>
      <c r="E161" s="35">
        <f ca="1"/>
        <v>100.264</v>
      </c>
      <c r="F161" s="102"/>
      <c r="G161" s="102">
        <f ca="1"/>
        <v>177000</v>
      </c>
      <c r="H161" s="25">
        <f ca="1"/>
        <v>56.640000000018915</v>
      </c>
      <c r="I161" s="37">
        <f ca="1"/>
        <v>0</v>
      </c>
      <c r="J161" s="37" t="str">
        <f ca="1"/>
        <v>BGN</v>
      </c>
      <c r="K161" s="35" t="str">
        <f ca="1"/>
        <v>EUR</v>
      </c>
      <c r="L161" s="102">
        <f ca="1"/>
        <v>56.640000000018915</v>
      </c>
      <c r="M161" s="102">
        <f ca="1"/>
        <v>56.640000000018915</v>
      </c>
      <c r="N161" s="19">
        <f ca="1"/>
        <v>100.29600000000001</v>
      </c>
      <c r="Q161" s="20" t="s">
        <v>867</v>
      </c>
      <c r="R161" s="24"/>
      <c r="S161" s="25">
        <f ca="1"/>
        <v>120</v>
      </c>
      <c r="T161" s="19" t="str">
        <f ca="1"/>
        <v>XS1677911825</v>
      </c>
      <c r="U161" s="25" t="str">
        <f ca="1"/>
        <v>BALDER 3 03/07/78</v>
      </c>
      <c r="V161" s="64">
        <f ca="1"/>
        <v>177000</v>
      </c>
      <c r="W161" s="70">
        <f ca="1"/>
        <v>0.43</v>
      </c>
      <c r="X161" s="71">
        <f ca="1"/>
        <v>100.264</v>
      </c>
      <c r="Y161" s="71">
        <f ca="1"/>
        <v>100.29600000000001</v>
      </c>
      <c r="Z161" s="57" t="str">
        <f ca="1"/>
        <v>SEMINARA</v>
      </c>
      <c r="AA161" s="57" t="str">
        <f ca="1"/>
        <v>Bond Corporate</v>
      </c>
      <c r="AB161" s="56">
        <f ca="1"/>
        <v>56.640000000018915</v>
      </c>
      <c r="AC161" s="56">
        <f ca="1">IFERROR(IF(ISBLANK(AB161),"-",AB161-_xlfn.XLOOKUP(T161,AI:AI,AJ:AJ)),"-")</f>
        <v>0</v>
      </c>
      <c r="AD161" s="56">
        <f ca="1">IFERROR(IF(ISBLANK(AB161),"-",AB161-_xlfn.XLOOKUP(T161,AO:AO,AP:AP)),"-")</f>
        <v>-23.009999999984103</v>
      </c>
      <c r="AE161" s="25"/>
      <c r="AF161" s="25"/>
      <c r="AG161" s="25"/>
      <c r="AH161" s="25"/>
      <c r="AI161" s="51" t="s">
        <v>267</v>
      </c>
      <c r="AJ161" s="80">
        <v>56.640000000018915</v>
      </c>
      <c r="AK161" s="25"/>
      <c r="AL161" s="25"/>
      <c r="AM161" s="25"/>
      <c r="AN161" s="25"/>
      <c r="AO161" s="51" t="s">
        <v>267</v>
      </c>
      <c r="AP161" s="80">
        <v>56.640000000018915</v>
      </c>
      <c r="AQ161" s="25"/>
      <c r="AR161" s="25"/>
      <c r="AS161" s="26"/>
      <c r="AT161" s="20" t="s">
        <v>867</v>
      </c>
      <c r="AW161" s="25"/>
      <c r="AX161" s="25"/>
      <c r="AY161" s="37"/>
      <c r="AZ161" s="25"/>
      <c r="BA161" s="35"/>
      <c r="BB161" s="25"/>
      <c r="BC161" s="25"/>
      <c r="BD161" s="25"/>
      <c r="BE161" s="25"/>
      <c r="BF161" s="25"/>
      <c r="BG161" s="25"/>
      <c r="BH161" s="25"/>
      <c r="BI161" s="37"/>
      <c r="BJ161" s="25"/>
      <c r="BK161" s="25"/>
    </row>
    <row r="162" spans="3:63" x14ac:dyDescent="0.35">
      <c r="C162" s="25" t="str">
        <f ca="1"/>
        <v>XS2077670342</v>
      </c>
      <c r="D162" s="25" t="str">
        <f ca="1"/>
        <v>SEMINARA</v>
      </c>
      <c r="E162" s="35">
        <f ca="1"/>
        <v>101.98</v>
      </c>
      <c r="F162" s="102"/>
      <c r="G162" s="102">
        <f ca="1"/>
        <v>0</v>
      </c>
      <c r="H162" s="25">
        <f ca="1"/>
        <v>0</v>
      </c>
      <c r="I162" s="37">
        <f ca="1"/>
        <v>0</v>
      </c>
      <c r="J162" s="37" t="str">
        <f ca="1"/>
        <v>BGN</v>
      </c>
      <c r="K162" s="35" t="str">
        <f ca="1"/>
        <v>EUR</v>
      </c>
      <c r="L162" s="102">
        <f ca="1"/>
        <v>0</v>
      </c>
      <c r="M162" s="102">
        <f ca="1"/>
        <v>0</v>
      </c>
      <c r="N162" s="19">
        <f ca="1"/>
        <v>102.35599999999999</v>
      </c>
      <c r="Q162" s="20" t="s">
        <v>867</v>
      </c>
      <c r="R162" s="24"/>
      <c r="S162" s="25">
        <f ca="1"/>
        <v>121</v>
      </c>
      <c r="T162" s="19" t="str">
        <f ca="1"/>
        <v>XS2077670342</v>
      </c>
      <c r="U162" s="25" t="str">
        <f ca="1"/>
        <v>BAYNGR 3 1/8 11/12/79</v>
      </c>
      <c r="V162" s="64">
        <f ca="1"/>
        <v>0</v>
      </c>
      <c r="W162" s="70">
        <f ca="1"/>
        <v>0</v>
      </c>
      <c r="X162" s="71">
        <f ca="1"/>
        <v>101.98</v>
      </c>
      <c r="Y162" s="71">
        <f ca="1"/>
        <v>102.35599999999999</v>
      </c>
      <c r="Z162" s="57" t="str">
        <f ca="1"/>
        <v>SEMINARA</v>
      </c>
      <c r="AA162" s="57" t="str">
        <f ca="1"/>
        <v>Bond Corporate</v>
      </c>
      <c r="AB162" s="56">
        <f ca="1"/>
        <v>0</v>
      </c>
      <c r="AC162" s="56">
        <f ca="1">IFERROR(IF(ISBLANK(AB162),"-",AB162-_xlfn.XLOOKUP(T162,AI:AI,AJ:AJ)),"-")</f>
        <v>0</v>
      </c>
      <c r="AD162" s="56">
        <f ca="1">IFERROR(IF(ISBLANK(AB162),"-",AB162-_xlfn.XLOOKUP(T162,AO:AO,AP:AP)),"-")</f>
        <v>0</v>
      </c>
      <c r="AE162" s="25"/>
      <c r="AF162" s="25"/>
      <c r="AG162" s="25"/>
      <c r="AH162" s="25"/>
      <c r="AI162" s="51" t="s">
        <v>270</v>
      </c>
      <c r="AJ162" s="80">
        <v>0</v>
      </c>
      <c r="AK162" s="25"/>
      <c r="AL162" s="25"/>
      <c r="AM162" s="25"/>
      <c r="AN162" s="25"/>
      <c r="AO162" s="51" t="s">
        <v>270</v>
      </c>
      <c r="AP162" s="80">
        <v>0</v>
      </c>
      <c r="AQ162" s="25"/>
      <c r="AR162" s="25"/>
      <c r="AS162" s="26"/>
      <c r="AT162" s="20" t="s">
        <v>867</v>
      </c>
      <c r="AW162" s="25"/>
      <c r="AX162" s="25"/>
      <c r="AY162" s="37"/>
      <c r="AZ162" s="25"/>
      <c r="BA162" s="35"/>
      <c r="BB162" s="25"/>
      <c r="BC162" s="25"/>
      <c r="BD162" s="25"/>
      <c r="BE162" s="25"/>
      <c r="BF162" s="25"/>
      <c r="BG162" s="25"/>
      <c r="BH162" s="25"/>
      <c r="BI162" s="37"/>
      <c r="BJ162" s="25"/>
      <c r="BK162" s="25"/>
    </row>
    <row r="163" spans="3:63" x14ac:dyDescent="0.35">
      <c r="C163" s="25" t="str">
        <f ca="1"/>
        <v>XS2077670003</v>
      </c>
      <c r="D163" s="25" t="str">
        <f ca="1"/>
        <v>SEMINARA</v>
      </c>
      <c r="E163" s="35">
        <f ca="1"/>
        <v>100.292</v>
      </c>
      <c r="F163" s="102"/>
      <c r="G163" s="102">
        <f ca="1"/>
        <v>1700000</v>
      </c>
      <c r="H163" s="25">
        <f ca="1"/>
        <v>900.99999999995362</v>
      </c>
      <c r="I163" s="37">
        <f ca="1"/>
        <v>0</v>
      </c>
      <c r="J163" s="37" t="str">
        <f ca="1"/>
        <v>BGN</v>
      </c>
      <c r="K163" s="35" t="str">
        <f ca="1"/>
        <v>EUR</v>
      </c>
      <c r="L163" s="102">
        <f ca="1"/>
        <v>900.99999999995362</v>
      </c>
      <c r="M163" s="102">
        <f ca="1"/>
        <v>900.99999999995362</v>
      </c>
      <c r="N163" s="19">
        <f ca="1"/>
        <v>100.345</v>
      </c>
      <c r="Q163" s="20" t="s">
        <v>867</v>
      </c>
      <c r="R163" s="24"/>
      <c r="S163" s="25">
        <f ca="1"/>
        <v>122</v>
      </c>
      <c r="T163" s="19" t="str">
        <f ca="1"/>
        <v>XS2077670003</v>
      </c>
      <c r="U163" s="25" t="str">
        <f ca="1"/>
        <v>BAYNGR 2 3/8 11/12/79</v>
      </c>
      <c r="V163" s="64">
        <f ca="1"/>
        <v>1700000</v>
      </c>
      <c r="W163" s="70">
        <f ca="1"/>
        <v>6.12</v>
      </c>
      <c r="X163" s="71">
        <f ca="1"/>
        <v>100.292</v>
      </c>
      <c r="Y163" s="71">
        <f ca="1"/>
        <v>100.345</v>
      </c>
      <c r="Z163" s="57" t="str">
        <f ca="1"/>
        <v>SEMINARA</v>
      </c>
      <c r="AA163" s="57" t="str">
        <f ca="1"/>
        <v>Bond Corporate</v>
      </c>
      <c r="AB163" s="56">
        <f ca="1"/>
        <v>900.99999999995362</v>
      </c>
      <c r="AC163" s="56">
        <f ca="1">IFERROR(IF(ISBLANK(AB163),"-",AB163-_xlfn.XLOOKUP(T163,AI:AI,AJ:AJ)),"-")</f>
        <v>0</v>
      </c>
      <c r="AD163" s="56">
        <f ca="1">IFERROR(IF(ISBLANK(AB163),"-",AB163-_xlfn.XLOOKUP(T163,AO:AO,AP:AP)),"-")</f>
        <v>-323.00000000009277</v>
      </c>
      <c r="AE163" s="25"/>
      <c r="AF163" s="25"/>
      <c r="AG163" s="25"/>
      <c r="AH163" s="25"/>
      <c r="AI163" s="51" t="s">
        <v>273</v>
      </c>
      <c r="AJ163" s="80">
        <v>900.99999999995362</v>
      </c>
      <c r="AK163" s="25"/>
      <c r="AL163" s="25"/>
      <c r="AM163" s="25"/>
      <c r="AN163" s="25"/>
      <c r="AO163" s="51" t="s">
        <v>273</v>
      </c>
      <c r="AP163" s="80">
        <v>900.99999999995362</v>
      </c>
      <c r="AQ163" s="25"/>
      <c r="AR163" s="25"/>
      <c r="AS163" s="26"/>
      <c r="AT163" s="20" t="s">
        <v>867</v>
      </c>
      <c r="AW163" s="25"/>
      <c r="AX163" s="25"/>
      <c r="AY163" s="37"/>
      <c r="AZ163" s="25"/>
      <c r="BA163" s="35"/>
      <c r="BB163" s="25"/>
      <c r="BC163" s="25"/>
      <c r="BD163" s="25"/>
      <c r="BE163" s="25"/>
      <c r="BF163" s="25"/>
      <c r="BG163" s="25"/>
      <c r="BH163" s="25"/>
      <c r="BI163" s="37"/>
      <c r="BJ163" s="25"/>
      <c r="BK163" s="25"/>
    </row>
    <row r="164" spans="3:63" x14ac:dyDescent="0.35">
      <c r="C164" s="25" t="str">
        <f ca="1"/>
        <v>US05565QDV77</v>
      </c>
      <c r="D164" s="25" t="str">
        <f ca="1"/>
        <v>SEMINARA</v>
      </c>
      <c r="E164" s="35">
        <f ca="1"/>
        <v>109.313</v>
      </c>
      <c r="F164" s="102"/>
      <c r="G164" s="102">
        <f ca="1"/>
        <v>-5000000</v>
      </c>
      <c r="H164" s="25">
        <f ca="1"/>
        <v>-10249.999999999915</v>
      </c>
      <c r="I164" s="37">
        <f ca="1"/>
        <v>0</v>
      </c>
      <c r="J164" s="37" t="str">
        <f ca="1"/>
        <v>BGN</v>
      </c>
      <c r="K164" s="35" t="str">
        <f ca="1"/>
        <v>USD</v>
      </c>
      <c r="L164" s="102">
        <f ca="1"/>
        <v>-10249.999999999915</v>
      </c>
      <c r="M164" s="102">
        <f ca="1"/>
        <v>-8638.699999999928</v>
      </c>
      <c r="N164" s="19">
        <f ca="1"/>
        <v>109.518</v>
      </c>
      <c r="Q164" s="20" t="s">
        <v>867</v>
      </c>
      <c r="R164" s="24"/>
      <c r="S164" s="25">
        <f ca="1"/>
        <v>123</v>
      </c>
      <c r="T164" s="19" t="str">
        <f ca="1"/>
        <v>US05565QDV77</v>
      </c>
      <c r="U164" s="25" t="str">
        <f ca="1"/>
        <v>BPLN 4 7/8 PERP</v>
      </c>
      <c r="V164" s="64">
        <f ca="1"/>
        <v>-5000000</v>
      </c>
      <c r="W164" s="70">
        <f ca="1"/>
        <v>-32.86</v>
      </c>
      <c r="X164" s="71">
        <f ca="1"/>
        <v>109.313</v>
      </c>
      <c r="Y164" s="71">
        <f ca="1"/>
        <v>109.518</v>
      </c>
      <c r="Z164" s="57" t="str">
        <f ca="1"/>
        <v>SEMINARA</v>
      </c>
      <c r="AA164" s="57" t="str">
        <f ca="1"/>
        <v>Bond Corporate</v>
      </c>
      <c r="AB164" s="56">
        <f ca="1"/>
        <v>-8638.699999999928</v>
      </c>
      <c r="AC164" s="56">
        <f ca="1">IFERROR(IF(ISBLANK(AB164),"-",AB164-_xlfn.XLOOKUP(T164,AI:AI,AJ:AJ)),"-")</f>
        <v>-840.94999999983156</v>
      </c>
      <c r="AD164" s="56">
        <f ca="1">IFERROR(IF(ISBLANK(AB164),"-",AB164-_xlfn.XLOOKUP(T164,AO:AO,AP:AP)),"-")</f>
        <v>84.279999999804204</v>
      </c>
      <c r="AE164" s="25"/>
      <c r="AF164" s="25"/>
      <c r="AG164" s="25"/>
      <c r="AH164" s="25"/>
      <c r="AI164" s="51" t="s">
        <v>1400</v>
      </c>
      <c r="AJ164" s="80">
        <v>-8638.699999999928</v>
      </c>
      <c r="AK164" s="25"/>
      <c r="AL164" s="25"/>
      <c r="AM164" s="25"/>
      <c r="AN164" s="25"/>
      <c r="AO164" s="51" t="s">
        <v>1400</v>
      </c>
      <c r="AP164" s="80">
        <v>-7797.7500000000964</v>
      </c>
      <c r="AQ164" s="25"/>
      <c r="AR164" s="25"/>
      <c r="AS164" s="26"/>
      <c r="AT164" s="20" t="s">
        <v>867</v>
      </c>
      <c r="AW164" s="25"/>
      <c r="AX164" s="25"/>
      <c r="AY164" s="37"/>
      <c r="AZ164" s="25"/>
      <c r="BA164" s="35"/>
      <c r="BB164" s="25"/>
      <c r="BC164" s="25"/>
      <c r="BD164" s="25"/>
      <c r="BE164" s="25"/>
      <c r="BF164" s="25"/>
      <c r="BG164" s="25"/>
      <c r="BH164" s="25"/>
      <c r="BI164" s="37"/>
      <c r="BJ164" s="25"/>
      <c r="BK164" s="25"/>
    </row>
    <row r="165" spans="3:63" x14ac:dyDescent="0.35">
      <c r="C165" s="25" t="str">
        <f ca="1"/>
        <v>XS2193662728</v>
      </c>
      <c r="D165" s="25" t="str">
        <f ca="1"/>
        <v>SEMINARA</v>
      </c>
      <c r="E165" s="35">
        <f ca="1"/>
        <v>106.977</v>
      </c>
      <c r="F165" s="102"/>
      <c r="G165" s="102">
        <f ca="1"/>
        <v>-127000</v>
      </c>
      <c r="H165" s="25">
        <f ca="1"/>
        <v>-149.85999999999365</v>
      </c>
      <c r="I165" s="37">
        <f ca="1"/>
        <v>-38.100000000001444</v>
      </c>
      <c r="J165" s="37" t="str">
        <f ca="1"/>
        <v>BGN</v>
      </c>
      <c r="K165" s="35" t="str">
        <f ca="1"/>
        <v>EUR</v>
      </c>
      <c r="L165" s="102">
        <f ca="1"/>
        <v>-187.95999999999509</v>
      </c>
      <c r="M165" s="102">
        <f ca="1"/>
        <v>-187.95999999999509</v>
      </c>
      <c r="N165" s="19">
        <f ca="1"/>
        <v>107.095</v>
      </c>
      <c r="Q165" s="20" t="s">
        <v>867</v>
      </c>
      <c r="R165" s="24"/>
      <c r="S165" s="25">
        <f ca="1"/>
        <v>124</v>
      </c>
      <c r="T165" s="19" t="str">
        <f ca="1"/>
        <v>XS2193662728</v>
      </c>
      <c r="U165" s="25" t="str">
        <f ca="1"/>
        <v>BPLN 3 5/8 PERP</v>
      </c>
      <c r="V165" s="64">
        <f ca="1"/>
        <v>0</v>
      </c>
      <c r="W165" s="70">
        <f ca="1"/>
        <v>0</v>
      </c>
      <c r="X165" s="71">
        <f ca="1"/>
        <v>106.977</v>
      </c>
      <c r="Y165" s="71">
        <f ca="1"/>
        <v>107.095</v>
      </c>
      <c r="Z165" s="57" t="str">
        <f ca="1"/>
        <v>SEMINARA</v>
      </c>
      <c r="AA165" s="57" t="str">
        <f ca="1"/>
        <v>Bond Corporate</v>
      </c>
      <c r="AB165" s="56">
        <f ca="1"/>
        <v>-187.95999999999509</v>
      </c>
      <c r="AC165" s="56">
        <f ca="1">IFERROR(IF(ISBLANK(AB165),"-",AB165-_xlfn.XLOOKUP(T165,AI:AI,AJ:AJ)),"-")</f>
        <v>0</v>
      </c>
      <c r="AD165" s="56">
        <f ca="1">IFERROR(IF(ISBLANK(AB165),"-",AB165-_xlfn.XLOOKUP(T165,AO:AO,AP:AP)),"-")</f>
        <v>-153.66999999999379</v>
      </c>
      <c r="AE165" s="25"/>
      <c r="AF165" s="25"/>
      <c r="AG165" s="25"/>
      <c r="AH165" s="25"/>
      <c r="AI165" s="51" t="s">
        <v>596</v>
      </c>
      <c r="AJ165" s="80">
        <v>-187.95999999999509</v>
      </c>
      <c r="AK165" s="25"/>
      <c r="AL165" s="25"/>
      <c r="AM165" s="25"/>
      <c r="AN165" s="25"/>
      <c r="AO165" s="51" t="s">
        <v>596</v>
      </c>
      <c r="AP165" s="80">
        <v>-187.95999999999509</v>
      </c>
      <c r="AQ165" s="25"/>
      <c r="AR165" s="25"/>
      <c r="AS165" s="26"/>
      <c r="AT165" s="20" t="s">
        <v>867</v>
      </c>
      <c r="AW165" s="25"/>
      <c r="AX165" s="25"/>
      <c r="AY165" s="37"/>
      <c r="AZ165" s="25"/>
      <c r="BA165" s="35"/>
      <c r="BB165" s="25"/>
      <c r="BC165" s="25"/>
      <c r="BD165" s="25"/>
      <c r="BE165" s="25"/>
      <c r="BF165" s="25"/>
      <c r="BG165" s="25"/>
      <c r="BH165" s="25"/>
      <c r="BI165" s="37"/>
      <c r="BJ165" s="25"/>
      <c r="BK165" s="25"/>
    </row>
    <row r="166" spans="3:63" x14ac:dyDescent="0.35">
      <c r="C166" s="25" t="str">
        <f ca="1"/>
        <v>XS2193663619</v>
      </c>
      <c r="D166" s="25" t="str">
        <f ca="1"/>
        <v>SEMINARA</v>
      </c>
      <c r="E166" s="35">
        <f ca="1"/>
        <v>105.986</v>
      </c>
      <c r="F166" s="102"/>
      <c r="G166" s="102">
        <f ca="1"/>
        <v>0</v>
      </c>
      <c r="H166" s="25">
        <f ca="1"/>
        <v>0</v>
      </c>
      <c r="I166" s="37">
        <f ca="1"/>
        <v>-709.99999999997954</v>
      </c>
      <c r="J166" s="37" t="str">
        <f ca="1"/>
        <v>BGN</v>
      </c>
      <c r="K166" s="35" t="str">
        <f ca="1"/>
        <v>GBP</v>
      </c>
      <c r="L166" s="102">
        <f ca="1"/>
        <v>-709.99999999997954</v>
      </c>
      <c r="M166" s="102">
        <f ca="1"/>
        <v>-792.57299999997724</v>
      </c>
      <c r="N166" s="19">
        <f ca="1"/>
        <v>106.304</v>
      </c>
      <c r="Q166" s="20" t="s">
        <v>867</v>
      </c>
      <c r="R166" s="24"/>
      <c r="S166" s="25">
        <f ca="1"/>
        <v>125</v>
      </c>
      <c r="T166" s="19" t="str">
        <f ca="1"/>
        <v>XS2193663619</v>
      </c>
      <c r="U166" s="25" t="str">
        <f ca="1"/>
        <v>BPLN 4 1/4 PERP</v>
      </c>
      <c r="V166" s="64">
        <f ca="1"/>
        <v>1000000</v>
      </c>
      <c r="W166" s="70">
        <f ca="1"/>
        <v>6.03</v>
      </c>
      <c r="X166" s="71">
        <f ca="1"/>
        <v>105.986</v>
      </c>
      <c r="Y166" s="71">
        <f ca="1"/>
        <v>106.304</v>
      </c>
      <c r="Z166" s="57" t="str">
        <f ca="1"/>
        <v>SEMINARA</v>
      </c>
      <c r="AA166" s="57" t="str">
        <f ca="1"/>
        <v>Bond Corporate</v>
      </c>
      <c r="AB166" s="56">
        <f ca="1"/>
        <v>-792.57299999997724</v>
      </c>
      <c r="AC166" s="56">
        <f ca="1">IFERROR(IF(ISBLANK(AB166),"-",AB166-_xlfn.XLOOKUP(T166,AI:AI,AJ:AJ)),"-")</f>
        <v>0.21299999999996544</v>
      </c>
      <c r="AD166" s="56">
        <f ca="1">IFERROR(IF(ISBLANK(AB166),"-",AB166-_xlfn.XLOOKUP(T166,AO:AO,AP:AP)),"-")</f>
        <v>201.46800000000758</v>
      </c>
      <c r="AE166" s="25"/>
      <c r="AF166" s="25"/>
      <c r="AG166" s="25"/>
      <c r="AH166" s="25"/>
      <c r="AI166" s="51" t="s">
        <v>1760</v>
      </c>
      <c r="AJ166" s="80">
        <v>-792.57299999997724</v>
      </c>
      <c r="AK166" s="25"/>
      <c r="AL166" s="25"/>
      <c r="AM166" s="25"/>
      <c r="AN166" s="25"/>
      <c r="AO166" s="51" t="s">
        <v>1760</v>
      </c>
      <c r="AP166" s="80">
        <v>-792.78599999997721</v>
      </c>
      <c r="AQ166" s="25"/>
      <c r="AR166" s="25"/>
      <c r="AS166" s="26"/>
      <c r="AT166" s="20" t="s">
        <v>867</v>
      </c>
      <c r="AW166" s="25"/>
      <c r="AX166" s="25"/>
      <c r="AY166" s="37"/>
      <c r="AZ166" s="25"/>
      <c r="BA166" s="35"/>
      <c r="BB166" s="25"/>
      <c r="BC166" s="25"/>
      <c r="BD166" s="25"/>
      <c r="BE166" s="25"/>
      <c r="BF166" s="25"/>
      <c r="BG166" s="25"/>
      <c r="BH166" s="25"/>
      <c r="BI166" s="37"/>
      <c r="BJ166" s="25"/>
      <c r="BK166" s="25"/>
    </row>
    <row r="167" spans="3:63" x14ac:dyDescent="0.35">
      <c r="C167" s="25" t="str">
        <f ca="1"/>
        <v>US05565QDU94</v>
      </c>
      <c r="D167" s="25" t="str">
        <f ca="1"/>
        <v>SEMINARA</v>
      </c>
      <c r="E167" s="35">
        <f ca="1"/>
        <v>106.434</v>
      </c>
      <c r="F167" s="102"/>
      <c r="G167" s="102">
        <f ca="1"/>
        <v>4000000</v>
      </c>
      <c r="H167" s="25">
        <f ca="1"/>
        <v>3720.000000000141</v>
      </c>
      <c r="I167" s="37">
        <f ca="1"/>
        <v>2940.0000000001114</v>
      </c>
      <c r="J167" s="37" t="str">
        <f ca="1"/>
        <v>BGN</v>
      </c>
      <c r="K167" s="35" t="str">
        <f ca="1"/>
        <v>USD</v>
      </c>
      <c r="L167" s="102">
        <f ca="1"/>
        <v>6660.0000000002528</v>
      </c>
      <c r="M167" s="102">
        <f ca="1"/>
        <v>5613.0480000002126</v>
      </c>
      <c r="N167" s="19">
        <f ca="1"/>
        <v>106.527</v>
      </c>
      <c r="Q167" s="20" t="s">
        <v>867</v>
      </c>
      <c r="R167" s="24"/>
      <c r="S167" s="25">
        <f ca="1"/>
        <v>126</v>
      </c>
      <c r="T167" s="19" t="str">
        <f ca="1"/>
        <v>US05565QDU94</v>
      </c>
      <c r="U167" s="25" t="str">
        <f ca="1"/>
        <v>BPLN 4 3/8 PERP</v>
      </c>
      <c r="V167" s="64">
        <f ca="1"/>
        <v>11000000</v>
      </c>
      <c r="W167" s="70">
        <f ca="1"/>
        <v>32.880000000000003</v>
      </c>
      <c r="X167" s="71">
        <f ca="1"/>
        <v>106.434</v>
      </c>
      <c r="Y167" s="71">
        <f ca="1"/>
        <v>106.527</v>
      </c>
      <c r="Z167" s="57" t="str">
        <f ca="1"/>
        <v>SEMINARA</v>
      </c>
      <c r="AA167" s="57" t="str">
        <f ca="1"/>
        <v>Bond Corporate</v>
      </c>
      <c r="AB167" s="56">
        <f ca="1"/>
        <v>5613.0480000002126</v>
      </c>
      <c r="AC167" s="56">
        <f ca="1">IFERROR(IF(ISBLANK(AB167),"-",AB167-_xlfn.XLOOKUP(T167,AI:AI,AJ:AJ)),"-")</f>
        <v>-279.52200000000994</v>
      </c>
      <c r="AD167" s="56">
        <f ca="1">IFERROR(IF(ISBLANK(AB167),"-",AB167-_xlfn.XLOOKUP(T167,AO:AO,AP:AP)),"-")</f>
        <v>-1854.1599999996306</v>
      </c>
      <c r="AE167" s="25"/>
      <c r="AF167" s="25"/>
      <c r="AG167" s="25"/>
      <c r="AH167" s="25"/>
      <c r="AI167" s="51" t="s">
        <v>1638</v>
      </c>
      <c r="AJ167" s="80">
        <v>5613.0480000002126</v>
      </c>
      <c r="AK167" s="25"/>
      <c r="AL167" s="25"/>
      <c r="AM167" s="25"/>
      <c r="AN167" s="25"/>
      <c r="AO167" s="51" t="s">
        <v>1638</v>
      </c>
      <c r="AP167" s="80">
        <v>5892.5700000002225</v>
      </c>
      <c r="AQ167" s="25"/>
      <c r="AR167" s="25"/>
      <c r="AS167" s="26"/>
      <c r="AT167" s="20" t="s">
        <v>867</v>
      </c>
      <c r="AW167" s="25"/>
      <c r="AX167" s="25"/>
      <c r="AY167" s="37"/>
      <c r="AZ167" s="25"/>
      <c r="BA167" s="35"/>
      <c r="BB167" s="25"/>
      <c r="BC167" s="25"/>
      <c r="BD167" s="25"/>
      <c r="BE167" s="25"/>
      <c r="BF167" s="25"/>
      <c r="BG167" s="25"/>
      <c r="BH167" s="25"/>
      <c r="BI167" s="37"/>
      <c r="BJ167" s="25"/>
      <c r="BK167" s="25"/>
    </row>
    <row r="168" spans="3:63" x14ac:dyDescent="0.35">
      <c r="C168" s="25" t="str">
        <f ca="1"/>
        <v>XS1216019585</v>
      </c>
      <c r="D168" s="25" t="str">
        <f ca="1"/>
        <v>SEMINARA</v>
      </c>
      <c r="E168" s="35">
        <f ca="1"/>
        <v>106.592</v>
      </c>
      <c r="F168" s="102"/>
      <c r="G168" s="102">
        <f ca="1"/>
        <v>-9960000</v>
      </c>
      <c r="H168" s="25">
        <f ca="1"/>
        <v>-10856.399999999467</v>
      </c>
      <c r="I168" s="37">
        <f ca="1"/>
        <v>0</v>
      </c>
      <c r="J168" s="37" t="str">
        <f ca="1"/>
        <v>BGN</v>
      </c>
      <c r="K168" s="35" t="str">
        <f ca="1"/>
        <v>GBP</v>
      </c>
      <c r="L168" s="102">
        <f ca="1"/>
        <v>-10856.399999999467</v>
      </c>
      <c r="M168" s="102">
        <f ca="1"/>
        <v>-12118.999319999406</v>
      </c>
      <c r="N168" s="19">
        <f ca="1"/>
        <v>106.70099999999999</v>
      </c>
      <c r="Q168" s="20" t="s">
        <v>867</v>
      </c>
      <c r="R168" s="24"/>
      <c r="S168" s="25">
        <f ca="1"/>
        <v>127</v>
      </c>
      <c r="T168" s="19" t="str">
        <f ca="1"/>
        <v>XS1216019585</v>
      </c>
      <c r="U168" s="25" t="str">
        <f ca="1"/>
        <v>CNALN 5 1/4 04/10/75</v>
      </c>
      <c r="V168" s="64">
        <f ca="1"/>
        <v>-9960000</v>
      </c>
      <c r="W168" s="70">
        <f ca="1"/>
        <v>-51.26</v>
      </c>
      <c r="X168" s="71">
        <f ca="1"/>
        <v>106.592</v>
      </c>
      <c r="Y168" s="71">
        <f ca="1"/>
        <v>106.70099999999999</v>
      </c>
      <c r="Z168" s="57" t="str">
        <f ca="1"/>
        <v>SEMINARA</v>
      </c>
      <c r="AA168" s="57" t="str">
        <f ca="1"/>
        <v>Bond Corporate</v>
      </c>
      <c r="AB168" s="56">
        <f ca="1"/>
        <v>-12118.999319999406</v>
      </c>
      <c r="AC168" s="56">
        <f ca="1">IFERROR(IF(ISBLANK(AB168),"-",AB168-_xlfn.XLOOKUP(T168,AI:AI,AJ:AJ)),"-")</f>
        <v>892.96380000108911</v>
      </c>
      <c r="AD168" s="56">
        <f ca="1">IFERROR(IF(ISBLANK(AB168),"-",AB168-_xlfn.XLOOKUP(T168,AO:AO,AP:AP)),"-")</f>
        <v>4345.0002000001659</v>
      </c>
      <c r="AE168" s="25"/>
      <c r="AF168" s="25"/>
      <c r="AG168" s="25"/>
      <c r="AH168" s="25"/>
      <c r="AI168" s="51" t="s">
        <v>280</v>
      </c>
      <c r="AJ168" s="80">
        <v>-12118.999319999406</v>
      </c>
      <c r="AK168" s="25"/>
      <c r="AL168" s="25"/>
      <c r="AM168" s="25"/>
      <c r="AN168" s="25"/>
      <c r="AO168" s="51" t="s">
        <v>280</v>
      </c>
      <c r="AP168" s="80">
        <v>-13011.963120000495</v>
      </c>
      <c r="AQ168" s="25"/>
      <c r="AR168" s="25"/>
      <c r="AS168" s="26"/>
      <c r="AT168" s="20" t="s">
        <v>867</v>
      </c>
      <c r="AW168" s="25"/>
      <c r="AX168" s="25"/>
      <c r="AY168" s="37"/>
      <c r="AZ168" s="25"/>
      <c r="BA168" s="35"/>
      <c r="BB168" s="25"/>
      <c r="BC168" s="25"/>
      <c r="BD168" s="25"/>
      <c r="BE168" s="25"/>
      <c r="BF168" s="25"/>
      <c r="BG168" s="25"/>
      <c r="BH168" s="25"/>
      <c r="BI168" s="37"/>
      <c r="BJ168" s="25"/>
      <c r="BK168" s="25"/>
    </row>
    <row r="169" spans="3:63" x14ac:dyDescent="0.35">
      <c r="C169" s="25" t="str">
        <f ca="1"/>
        <v>XS1216020161</v>
      </c>
      <c r="D169" s="25" t="str">
        <f ca="1"/>
        <v>SEMINARA</v>
      </c>
      <c r="E169" s="35">
        <f ca="1"/>
        <v>100.664</v>
      </c>
      <c r="F169" s="102"/>
      <c r="G169" s="102">
        <f ca="1"/>
        <v>16558000</v>
      </c>
      <c r="H169" s="25">
        <f ca="1"/>
        <v>-1324.6399999992657</v>
      </c>
      <c r="I169" s="37">
        <f ca="1"/>
        <v>0</v>
      </c>
      <c r="J169" s="37" t="str">
        <f ca="1"/>
        <v>BGN</v>
      </c>
      <c r="K169" s="35" t="str">
        <f ca="1"/>
        <v>EUR</v>
      </c>
      <c r="L169" s="102">
        <f ca="1"/>
        <v>-1324.6399999992657</v>
      </c>
      <c r="M169" s="102">
        <f ca="1"/>
        <v>-1324.6399999992657</v>
      </c>
      <c r="N169" s="19">
        <f ca="1"/>
        <v>100.65600000000001</v>
      </c>
      <c r="Q169" s="20" t="s">
        <v>867</v>
      </c>
      <c r="R169" s="24"/>
      <c r="S169" s="25">
        <f ca="1"/>
        <v>128</v>
      </c>
      <c r="T169" s="19" t="str">
        <f ca="1"/>
        <v>XS1216020161</v>
      </c>
      <c r="U169" s="25" t="str">
        <f ca="1"/>
        <v>CNALN 3 04/10/76</v>
      </c>
      <c r="V169" s="64">
        <f ca="1"/>
        <v>16558000</v>
      </c>
      <c r="W169" s="70">
        <f ca="1"/>
        <v>3.78</v>
      </c>
      <c r="X169" s="71">
        <f ca="1"/>
        <v>100.664</v>
      </c>
      <c r="Y169" s="71">
        <f ca="1"/>
        <v>100.65600000000001</v>
      </c>
      <c r="Z169" s="57" t="str">
        <f ca="1"/>
        <v>SEMINARA</v>
      </c>
      <c r="AA169" s="57" t="str">
        <f ca="1"/>
        <v>Bond Corporate</v>
      </c>
      <c r="AB169" s="56">
        <f ca="1"/>
        <v>-1324.6399999992657</v>
      </c>
      <c r="AC169" s="56">
        <f ca="1">IFERROR(IF(ISBLANK(AB169),"-",AB169-_xlfn.XLOOKUP(T169,AI:AI,AJ:AJ)),"-")</f>
        <v>1324.640000001619</v>
      </c>
      <c r="AD169" s="56">
        <f ca="1">IFERROR(IF(ISBLANK(AB169),"-",AB169-_xlfn.XLOOKUP(T169,AO:AO,AP:AP)),"-")</f>
        <v>-3642.7599999985696</v>
      </c>
      <c r="AE169" s="25"/>
      <c r="AF169" s="25"/>
      <c r="AG169" s="25"/>
      <c r="AH169" s="25"/>
      <c r="AI169" s="51" t="s">
        <v>284</v>
      </c>
      <c r="AJ169" s="80">
        <v>-1324.6399999992657</v>
      </c>
      <c r="AK169" s="25"/>
      <c r="AL169" s="25"/>
      <c r="AM169" s="25"/>
      <c r="AN169" s="25"/>
      <c r="AO169" s="51" t="s">
        <v>284</v>
      </c>
      <c r="AP169" s="80">
        <v>-2649.2800000008847</v>
      </c>
      <c r="AQ169" s="25"/>
      <c r="AR169" s="25"/>
      <c r="AS169" s="26"/>
      <c r="AT169" s="20" t="s">
        <v>867</v>
      </c>
      <c r="AW169" s="25"/>
      <c r="AX169" s="25"/>
      <c r="AY169" s="37"/>
      <c r="AZ169" s="25"/>
      <c r="BA169" s="35"/>
      <c r="BB169" s="25"/>
      <c r="BC169" s="25"/>
      <c r="BD169" s="25"/>
      <c r="BE169" s="25"/>
      <c r="BF169" s="25"/>
      <c r="BG169" s="25"/>
      <c r="BH169" s="25"/>
      <c r="BI169" s="37"/>
      <c r="BJ169" s="25"/>
      <c r="BK169" s="25"/>
    </row>
    <row r="170" spans="3:63" x14ac:dyDescent="0.35">
      <c r="C170" s="25" t="str">
        <f ca="1"/>
        <v>XS2231191748</v>
      </c>
      <c r="D170" s="25" t="str">
        <f ca="1"/>
        <v>SEMINARA</v>
      </c>
      <c r="E170" s="35">
        <f ca="1"/>
        <v>99.209000000000003</v>
      </c>
      <c r="F170" s="102"/>
      <c r="G170" s="102">
        <f ca="1"/>
        <v>2194000</v>
      </c>
      <c r="H170" s="25">
        <f ca="1"/>
        <v>5090.0799999999845</v>
      </c>
      <c r="I170" s="37">
        <f ca="1"/>
        <v>1294.459999999945</v>
      </c>
      <c r="J170" s="37" t="str">
        <f ca="1"/>
        <v>BGN</v>
      </c>
      <c r="K170" s="35" t="str">
        <f ca="1"/>
        <v>EUR</v>
      </c>
      <c r="L170" s="102">
        <f ca="1"/>
        <v>6384.5399999999299</v>
      </c>
      <c r="M170" s="102">
        <f ca="1"/>
        <v>6384.5399999999299</v>
      </c>
      <c r="N170" s="19">
        <f ca="1"/>
        <v>99.441000000000003</v>
      </c>
      <c r="Q170" s="20" t="s">
        <v>867</v>
      </c>
      <c r="R170" s="24"/>
      <c r="S170" s="25">
        <f ca="1"/>
        <v>129</v>
      </c>
      <c r="T170" s="19" t="str">
        <f ca="1"/>
        <v>XS2231191748</v>
      </c>
      <c r="U170" s="25" t="str">
        <f ca="1"/>
        <v>CPIPGR 4 7/8 PERP</v>
      </c>
      <c r="V170" s="64">
        <f ca="1"/>
        <v>0</v>
      </c>
      <c r="W170" s="70">
        <f ca="1"/>
        <v>0</v>
      </c>
      <c r="X170" s="71">
        <f ca="1"/>
        <v>99.209000000000003</v>
      </c>
      <c r="Y170" s="71">
        <f ca="1"/>
        <v>99.441000000000003</v>
      </c>
      <c r="Z170" s="57" t="str">
        <f ca="1"/>
        <v>SEMINARA</v>
      </c>
      <c r="AA170" s="57" t="str">
        <f ca="1"/>
        <v>Bond Corporate</v>
      </c>
      <c r="AB170" s="56">
        <f ca="1"/>
        <v>6384.5399999999299</v>
      </c>
      <c r="AC170" s="56">
        <f ca="1">IFERROR(IF(ISBLANK(AB170),"-",AB170-_xlfn.XLOOKUP(T170,AI:AI,AJ:AJ)),"-")</f>
        <v>0</v>
      </c>
      <c r="AD170" s="56">
        <f ca="1">IFERROR(IF(ISBLANK(AB170),"-",AB170-_xlfn.XLOOKUP(T170,AO:AO,AP:AP)),"-")</f>
        <v>1426.0999999999494</v>
      </c>
      <c r="AE170" s="25"/>
      <c r="AF170" s="25"/>
      <c r="AG170" s="25"/>
      <c r="AH170" s="25"/>
      <c r="AI170" s="51" t="s">
        <v>598</v>
      </c>
      <c r="AJ170" s="80">
        <v>6384.5399999999299</v>
      </c>
      <c r="AK170" s="25"/>
      <c r="AL170" s="25"/>
      <c r="AM170" s="25"/>
      <c r="AN170" s="25"/>
      <c r="AO170" s="51" t="s">
        <v>598</v>
      </c>
      <c r="AP170" s="80">
        <v>6384.5399999999299</v>
      </c>
      <c r="AQ170" s="25"/>
      <c r="AR170" s="25"/>
      <c r="AS170" s="26"/>
      <c r="AT170" s="20" t="s">
        <v>867</v>
      </c>
      <c r="AW170" s="25"/>
      <c r="AX170" s="25"/>
      <c r="AY170" s="37"/>
      <c r="AZ170" s="25"/>
      <c r="BA170" s="35"/>
      <c r="BB170" s="25"/>
      <c r="BC170" s="25"/>
      <c r="BD170" s="25"/>
      <c r="BE170" s="25"/>
      <c r="BF170" s="25"/>
      <c r="BG170" s="25"/>
      <c r="BH170" s="25"/>
      <c r="BI170" s="37"/>
      <c r="BJ170" s="25"/>
      <c r="BK170" s="25"/>
    </row>
    <row r="171" spans="3:63" x14ac:dyDescent="0.35">
      <c r="C171" s="25" t="str">
        <f ca="1"/>
        <v>XS1982704824</v>
      </c>
      <c r="D171" s="25" t="str">
        <f ca="1"/>
        <v>SEMINARA</v>
      </c>
      <c r="E171" s="35">
        <f ca="1"/>
        <v>100.741</v>
      </c>
      <c r="F171" s="102"/>
      <c r="G171" s="102">
        <f ca="1"/>
        <v>-2916000</v>
      </c>
      <c r="H171" s="25">
        <f ca="1"/>
        <v>-6240.2399999999607</v>
      </c>
      <c r="I171" s="37">
        <f ca="1"/>
        <v>0</v>
      </c>
      <c r="J171" s="37" t="str">
        <f ca="1"/>
        <v>BGN</v>
      </c>
      <c r="K171" s="35" t="str">
        <f ca="1"/>
        <v>EUR</v>
      </c>
      <c r="L171" s="102">
        <f ca="1"/>
        <v>-6240.2399999999607</v>
      </c>
      <c r="M171" s="102">
        <f ca="1"/>
        <v>-6240.2399999999607</v>
      </c>
      <c r="N171" s="19">
        <f ca="1"/>
        <v>100.955</v>
      </c>
      <c r="Q171" s="20" t="s">
        <v>867</v>
      </c>
      <c r="R171" s="24"/>
      <c r="S171" s="25">
        <f ca="1"/>
        <v>130</v>
      </c>
      <c r="T171" s="19" t="str">
        <f ca="1"/>
        <v>XS1982704824</v>
      </c>
      <c r="U171" s="25" t="str">
        <f ca="1"/>
        <v>CPIPGR 4 7/8 PERP</v>
      </c>
      <c r="V171" s="64">
        <f ca="1"/>
        <v>-2916000</v>
      </c>
      <c r="W171" s="70">
        <f ca="1"/>
        <v>-20.03</v>
      </c>
      <c r="X171" s="71">
        <f ca="1"/>
        <v>100.741</v>
      </c>
      <c r="Y171" s="71">
        <f ca="1"/>
        <v>100.955</v>
      </c>
      <c r="Z171" s="57" t="str">
        <f ca="1"/>
        <v>SEMINARA</v>
      </c>
      <c r="AA171" s="57" t="str">
        <f ca="1"/>
        <v>Bond Corporate</v>
      </c>
      <c r="AB171" s="56">
        <f ca="1"/>
        <v>-6240.2399999999607</v>
      </c>
      <c r="AC171" s="56">
        <f ca="1">IFERROR(IF(ISBLANK(AB171),"-",AB171-_xlfn.XLOOKUP(T171,AI:AI,AJ:AJ)),"-")</f>
        <v>-174.96000000000731</v>
      </c>
      <c r="AD171" s="56">
        <f ca="1">IFERROR(IF(ISBLANK(AB171),"-",AB171-_xlfn.XLOOKUP(T171,AO:AO,AP:AP)),"-")</f>
        <v>-903.95999999975811</v>
      </c>
      <c r="AE171" s="25"/>
      <c r="AF171" s="25"/>
      <c r="AG171" s="25"/>
      <c r="AH171" s="25"/>
      <c r="AI171" s="51" t="s">
        <v>601</v>
      </c>
      <c r="AJ171" s="80">
        <v>-6240.2399999999607</v>
      </c>
      <c r="AK171" s="25"/>
      <c r="AL171" s="25"/>
      <c r="AM171" s="25"/>
      <c r="AN171" s="25"/>
      <c r="AO171" s="51" t="s">
        <v>601</v>
      </c>
      <c r="AP171" s="80">
        <v>-6065.2799999999534</v>
      </c>
      <c r="AQ171" s="25"/>
      <c r="AR171" s="25"/>
      <c r="AS171" s="26"/>
      <c r="AT171" s="20" t="s">
        <v>867</v>
      </c>
      <c r="AW171" s="25"/>
      <c r="AX171" s="25"/>
      <c r="AY171" s="37"/>
      <c r="AZ171" s="25"/>
      <c r="BA171" s="35"/>
      <c r="BB171" s="25"/>
      <c r="BC171" s="25"/>
      <c r="BD171" s="25"/>
      <c r="BE171" s="25"/>
      <c r="BF171" s="25"/>
      <c r="BG171" s="25"/>
      <c r="BH171" s="25"/>
      <c r="BI171" s="37"/>
      <c r="BJ171" s="25"/>
      <c r="BK171" s="25"/>
    </row>
    <row r="172" spans="3:63" x14ac:dyDescent="0.35">
      <c r="C172" s="25" t="str">
        <f ca="1"/>
        <v>XS2010039548</v>
      </c>
      <c r="D172" s="25" t="str">
        <f ca="1"/>
        <v>SEMINARA</v>
      </c>
      <c r="E172" s="35">
        <f ca="1"/>
        <v>101.994</v>
      </c>
      <c r="F172" s="102"/>
      <c r="G172" s="102">
        <f ca="1"/>
        <v>-1300000</v>
      </c>
      <c r="H172" s="25">
        <f ca="1"/>
        <v>-1234.9999999999852</v>
      </c>
      <c r="I172" s="37">
        <f ca="1"/>
        <v>0</v>
      </c>
      <c r="J172" s="37" t="str">
        <f ca="1"/>
        <v>BGN</v>
      </c>
      <c r="K172" s="35" t="str">
        <f ca="1"/>
        <v>EUR</v>
      </c>
      <c r="L172" s="102">
        <f ca="1"/>
        <v>-1234.9999999999852</v>
      </c>
      <c r="M172" s="102">
        <f ca="1"/>
        <v>-1234.9999999999852</v>
      </c>
      <c r="N172" s="19">
        <f ca="1"/>
        <v>102.089</v>
      </c>
      <c r="Q172" s="20" t="s">
        <v>867</v>
      </c>
      <c r="R172" s="24"/>
      <c r="S172" s="25">
        <f ca="1"/>
        <v>131</v>
      </c>
      <c r="T172" s="19" t="str">
        <f ca="1"/>
        <v>XS2010039548</v>
      </c>
      <c r="U172" s="25" t="str">
        <f ca="1"/>
        <v>DBHNGR 1.6 PERP</v>
      </c>
      <c r="V172" s="64">
        <f ca="1"/>
        <v>-1300000</v>
      </c>
      <c r="W172" s="70">
        <f ca="1"/>
        <v>-5.72</v>
      </c>
      <c r="X172" s="71">
        <f ca="1"/>
        <v>101.994</v>
      </c>
      <c r="Y172" s="71">
        <f ca="1"/>
        <v>102.089</v>
      </c>
      <c r="Z172" s="57" t="str">
        <f ca="1"/>
        <v>SEMINARA</v>
      </c>
      <c r="AA172" s="57" t="str">
        <f ca="1"/>
        <v>Bond Corporate</v>
      </c>
      <c r="AB172" s="56">
        <f ca="1"/>
        <v>-1234.9999999999852</v>
      </c>
      <c r="AC172" s="56">
        <f ca="1">IFERROR(IF(ISBLANK(AB172),"-",AB172-_xlfn.XLOOKUP(T172,AI:AI,AJ:AJ)),"-")</f>
        <v>0</v>
      </c>
      <c r="AD172" s="56">
        <f ca="1">IFERROR(IF(ISBLANK(AB172),"-",AB172-_xlfn.XLOOKUP(T172,AO:AO,AP:AP)),"-")</f>
        <v>-52.000000000063437</v>
      </c>
      <c r="AE172" s="25"/>
      <c r="AF172" s="25"/>
      <c r="AG172" s="25"/>
      <c r="AH172" s="25"/>
      <c r="AI172" s="51" t="s">
        <v>286</v>
      </c>
      <c r="AJ172" s="80">
        <v>-1234.9999999999852</v>
      </c>
      <c r="AK172" s="25"/>
      <c r="AL172" s="25"/>
      <c r="AM172" s="25"/>
      <c r="AN172" s="25"/>
      <c r="AO172" s="51" t="s">
        <v>286</v>
      </c>
      <c r="AP172" s="80">
        <v>-1234.9999999999852</v>
      </c>
      <c r="AQ172" s="25"/>
      <c r="AR172" s="25"/>
      <c r="AS172" s="26"/>
      <c r="AT172" s="20" t="s">
        <v>867</v>
      </c>
      <c r="AW172" s="25"/>
      <c r="AX172" s="25"/>
      <c r="AY172" s="37"/>
      <c r="AZ172" s="25"/>
      <c r="BA172" s="35"/>
      <c r="BB172" s="25"/>
      <c r="BC172" s="25"/>
      <c r="BD172" s="25"/>
      <c r="BE172" s="25"/>
      <c r="BF172" s="25"/>
      <c r="BG172" s="25"/>
      <c r="BH172" s="25"/>
      <c r="BI172" s="37"/>
      <c r="BJ172" s="25"/>
      <c r="BK172" s="25"/>
    </row>
    <row r="173" spans="3:63" x14ac:dyDescent="0.35">
      <c r="C173" s="25" t="str">
        <f ca="1"/>
        <v>DE000A289N78</v>
      </c>
      <c r="D173" s="25" t="str">
        <f ca="1"/>
        <v>SEMINARA</v>
      </c>
      <c r="E173" s="35">
        <f ca="1"/>
        <v>101.551</v>
      </c>
      <c r="F173" s="102"/>
      <c r="G173" s="102">
        <f ca="1"/>
        <v>-12600000</v>
      </c>
      <c r="H173" s="25">
        <f ca="1"/>
        <v>-4031.9999999995557</v>
      </c>
      <c r="I173" s="37">
        <f ca="1"/>
        <v>0</v>
      </c>
      <c r="J173" s="37" t="str">
        <f ca="1"/>
        <v>BGN</v>
      </c>
      <c r="K173" s="35" t="str">
        <f ca="1"/>
        <v>EUR</v>
      </c>
      <c r="L173" s="102">
        <f ca="1"/>
        <v>-4031.9999999995557</v>
      </c>
      <c r="M173" s="102">
        <f ca="1"/>
        <v>-4031.9999999995557</v>
      </c>
      <c r="N173" s="19">
        <f ca="1"/>
        <v>101.583</v>
      </c>
      <c r="Q173" s="20" t="s">
        <v>867</v>
      </c>
      <c r="R173" s="24"/>
      <c r="S173" s="25">
        <f ca="1"/>
        <v>132</v>
      </c>
      <c r="T173" s="19" t="str">
        <f ca="1"/>
        <v>DE000A289N78</v>
      </c>
      <c r="U173" s="25" t="str">
        <f ca="1"/>
        <v>DBOERS 1 1/4 06/16/47</v>
      </c>
      <c r="V173" s="64">
        <f ca="1"/>
        <v>-12600000</v>
      </c>
      <c r="W173" s="70">
        <f ca="1"/>
        <v>-35.1</v>
      </c>
      <c r="X173" s="71">
        <f ca="1"/>
        <v>101.551</v>
      </c>
      <c r="Y173" s="71">
        <f ca="1"/>
        <v>101.583</v>
      </c>
      <c r="Z173" s="57" t="str">
        <f ca="1"/>
        <v>SEMINARA</v>
      </c>
      <c r="AA173" s="57" t="str">
        <f ca="1"/>
        <v>Bond Corporate</v>
      </c>
      <c r="AB173" s="56">
        <f ca="1"/>
        <v>-4031.9999999995557</v>
      </c>
      <c r="AC173" s="56">
        <f ca="1">IFERROR(IF(ISBLANK(AB173),"-",AB173-_xlfn.XLOOKUP(T173,AI:AI,AJ:AJ)),"-")</f>
        <v>0</v>
      </c>
      <c r="AD173" s="56">
        <f ca="1">IFERROR(IF(ISBLANK(AB173),"-",AB173-_xlfn.XLOOKUP(T173,AO:AO,AP:AP)),"-")</f>
        <v>378.00000000001501</v>
      </c>
      <c r="AE173" s="25"/>
      <c r="AF173" s="25"/>
      <c r="AG173" s="25"/>
      <c r="AH173" s="25"/>
      <c r="AI173" s="51" t="s">
        <v>289</v>
      </c>
      <c r="AJ173" s="80">
        <v>-4031.9999999995557</v>
      </c>
      <c r="AK173" s="25"/>
      <c r="AL173" s="25"/>
      <c r="AM173" s="25"/>
      <c r="AN173" s="25"/>
      <c r="AO173" s="51" t="s">
        <v>289</v>
      </c>
      <c r="AP173" s="80">
        <v>-4031.9999999995557</v>
      </c>
      <c r="AQ173" s="25"/>
      <c r="AR173" s="25"/>
      <c r="AS173" s="26"/>
      <c r="AT173" s="20" t="s">
        <v>867</v>
      </c>
      <c r="AW173" s="25"/>
      <c r="AX173" s="25"/>
      <c r="AY173" s="37"/>
      <c r="AZ173" s="25"/>
      <c r="BA173" s="35"/>
      <c r="BB173" s="25"/>
      <c r="BC173" s="25"/>
      <c r="BD173" s="25"/>
      <c r="BE173" s="25"/>
      <c r="BF173" s="25"/>
      <c r="BG173" s="25"/>
      <c r="BH173" s="25"/>
      <c r="BI173" s="37"/>
      <c r="BJ173" s="25"/>
      <c r="BK173" s="25"/>
    </row>
    <row r="174" spans="3:63" x14ac:dyDescent="0.35">
      <c r="C174" s="25" t="str">
        <f ca="1"/>
        <v>FR0013534336</v>
      </c>
      <c r="D174" s="25" t="str">
        <f ca="1"/>
        <v>SEMINARA</v>
      </c>
      <c r="E174" s="35">
        <f ca="1"/>
        <v>101.745</v>
      </c>
      <c r="F174" s="102"/>
      <c r="G174" s="102">
        <f ca="1"/>
        <v>0</v>
      </c>
      <c r="H174" s="25">
        <f ca="1"/>
        <v>0</v>
      </c>
      <c r="I174" s="37">
        <f ca="1"/>
        <v>4619.9999999999754</v>
      </c>
      <c r="J174" s="37" t="str">
        <f ca="1"/>
        <v>BGN</v>
      </c>
      <c r="K174" s="35" t="str">
        <f ca="1"/>
        <v>EUR</v>
      </c>
      <c r="L174" s="102">
        <f ca="1"/>
        <v>4619.9999999999754</v>
      </c>
      <c r="M174" s="102">
        <f ca="1"/>
        <v>4619.9999999999754</v>
      </c>
      <c r="N174" s="19">
        <f ca="1"/>
        <v>104.735</v>
      </c>
      <c r="Q174" s="20" t="s">
        <v>867</v>
      </c>
      <c r="R174" s="24"/>
      <c r="S174" s="25">
        <f ca="1"/>
        <v>133</v>
      </c>
      <c r="T174" s="19" t="str">
        <f ca="1"/>
        <v>FR0013534336</v>
      </c>
      <c r="U174" s="25" t="str">
        <f ca="1"/>
        <v>EDF 3 3/8 PERP</v>
      </c>
      <c r="V174" s="64">
        <f ca="1"/>
        <v>4200000</v>
      </c>
      <c r="W174" s="70">
        <f ca="1"/>
        <v>35.86</v>
      </c>
      <c r="X174" s="71">
        <f ca="1"/>
        <v>101.745</v>
      </c>
      <c r="Y174" s="71">
        <f ca="1"/>
        <v>104.735</v>
      </c>
      <c r="Z174" s="57" t="str">
        <f ca="1"/>
        <v>SEMINARA</v>
      </c>
      <c r="AA174" s="57" t="str">
        <f ca="1"/>
        <v>Bond Corporate</v>
      </c>
      <c r="AB174" s="56">
        <f ca="1"/>
        <v>4619.9999999999754</v>
      </c>
      <c r="AC174" s="56">
        <f ca="1">IFERROR(IF(ISBLANK(AB174),"-",AB174-_xlfn.XLOOKUP(T174,AI:AI,AJ:AJ)),"-")</f>
        <v>0</v>
      </c>
      <c r="AD174" s="56">
        <f ca="1">IFERROR(IF(ISBLANK(AB174),"-",AB174-_xlfn.XLOOKUP(T174,AO:AO,AP:AP)),"-")</f>
        <v>-209.99999999980992</v>
      </c>
      <c r="AE174" s="25"/>
      <c r="AF174" s="25"/>
      <c r="AG174" s="25"/>
      <c r="AH174" s="25"/>
      <c r="AI174" s="51" t="s">
        <v>292</v>
      </c>
      <c r="AJ174" s="80">
        <v>4619.9999999999754</v>
      </c>
      <c r="AK174" s="25"/>
      <c r="AL174" s="25"/>
      <c r="AM174" s="25"/>
      <c r="AN174" s="25"/>
      <c r="AO174" s="51" t="s">
        <v>292</v>
      </c>
      <c r="AP174" s="80">
        <v>4619.9999999999754</v>
      </c>
      <c r="AQ174" s="25"/>
      <c r="AR174" s="25"/>
      <c r="AS174" s="26"/>
      <c r="AT174" s="20" t="s">
        <v>867</v>
      </c>
      <c r="AW174" s="25"/>
      <c r="AX174" s="25"/>
      <c r="AY174" s="37"/>
      <c r="AZ174" s="25"/>
      <c r="BA174" s="35"/>
      <c r="BB174" s="25"/>
      <c r="BC174" s="25"/>
      <c r="BD174" s="25"/>
      <c r="BE174" s="25"/>
      <c r="BF174" s="25"/>
      <c r="BG174" s="25"/>
      <c r="BH174" s="25"/>
      <c r="BI174" s="37"/>
      <c r="BJ174" s="25"/>
      <c r="BK174" s="25"/>
    </row>
    <row r="175" spans="3:63" x14ac:dyDescent="0.35">
      <c r="C175" s="25" t="str">
        <f ca="1"/>
        <v>FR0011700293</v>
      </c>
      <c r="D175" s="25" t="str">
        <f ca="1"/>
        <v>SEMINARA</v>
      </c>
      <c r="E175" s="35">
        <f ca="1"/>
        <v>112.55</v>
      </c>
      <c r="F175" s="102"/>
      <c r="G175" s="102">
        <f ca="1"/>
        <v>0</v>
      </c>
      <c r="H175" s="25">
        <f ca="1"/>
        <v>0</v>
      </c>
      <c r="I175" s="37">
        <f ca="1"/>
        <v>0</v>
      </c>
      <c r="J175" s="37" t="str">
        <f ca="1"/>
        <v>BGN</v>
      </c>
      <c r="K175" s="35" t="str">
        <f ca="1"/>
        <v>GBP</v>
      </c>
      <c r="L175" s="102">
        <f ca="1"/>
        <v>0</v>
      </c>
      <c r="M175" s="102">
        <f ca="1"/>
        <v>0</v>
      </c>
      <c r="N175" s="19">
        <f ca="1"/>
        <v>112.86799999999999</v>
      </c>
      <c r="Q175" s="20" t="s">
        <v>867</v>
      </c>
      <c r="R175" s="24"/>
      <c r="S175" s="25">
        <f ca="1"/>
        <v>134</v>
      </c>
      <c r="T175" s="19" t="str">
        <f ca="1"/>
        <v>FR0011700293</v>
      </c>
      <c r="U175" s="25" t="str">
        <f ca="1"/>
        <v>EDF 5 7/8 PERP</v>
      </c>
      <c r="V175" s="64">
        <f ca="1"/>
        <v>0</v>
      </c>
      <c r="W175" s="70">
        <f ca="1"/>
        <v>0</v>
      </c>
      <c r="X175" s="71">
        <f ca="1"/>
        <v>112.55</v>
      </c>
      <c r="Y175" s="71">
        <f ca="1"/>
        <v>112.86799999999999</v>
      </c>
      <c r="Z175" s="57" t="str">
        <f ca="1"/>
        <v>SEMINARA</v>
      </c>
      <c r="AA175" s="57" t="str">
        <f ca="1"/>
        <v>Bond Corporate</v>
      </c>
      <c r="AB175" s="56">
        <f ca="1"/>
        <v>0</v>
      </c>
      <c r="AC175" s="56">
        <f ca="1">IFERROR(IF(ISBLANK(AB175),"-",AB175-_xlfn.XLOOKUP(T175,AI:AI,AJ:AJ)),"-")</f>
        <v>0</v>
      </c>
      <c r="AD175" s="56">
        <f ca="1">IFERROR(IF(ISBLANK(AB175),"-",AB175-_xlfn.XLOOKUP(T175,AO:AO,AP:AP)),"-")</f>
        <v>0</v>
      </c>
      <c r="AE175" s="25"/>
      <c r="AF175" s="25"/>
      <c r="AG175" s="25"/>
      <c r="AH175" s="25"/>
      <c r="AI175" s="51" t="s">
        <v>606</v>
      </c>
      <c r="AJ175" s="80">
        <v>0</v>
      </c>
      <c r="AK175" s="25"/>
      <c r="AL175" s="25"/>
      <c r="AM175" s="25"/>
      <c r="AN175" s="25"/>
      <c r="AO175" s="51" t="s">
        <v>606</v>
      </c>
      <c r="AP175" s="80">
        <v>0</v>
      </c>
      <c r="AQ175" s="25"/>
      <c r="AR175" s="25"/>
      <c r="AS175" s="26"/>
      <c r="AT175" s="20" t="s">
        <v>867</v>
      </c>
      <c r="AW175" s="25"/>
      <c r="AX175" s="25"/>
      <c r="AY175" s="37"/>
      <c r="AZ175" s="25"/>
      <c r="BA175" s="35"/>
      <c r="BB175" s="25"/>
      <c r="BC175" s="25"/>
      <c r="BD175" s="25"/>
      <c r="BE175" s="25"/>
      <c r="BF175" s="25"/>
      <c r="BG175" s="25"/>
      <c r="BH175" s="25"/>
      <c r="BI175" s="37"/>
      <c r="BJ175" s="25"/>
      <c r="BK175" s="25"/>
    </row>
    <row r="176" spans="3:63" x14ac:dyDescent="0.35">
      <c r="C176" s="25" t="str">
        <f ca="1"/>
        <v>FR0013534351</v>
      </c>
      <c r="D176" s="25" t="str">
        <f ca="1"/>
        <v>SEMINARA</v>
      </c>
      <c r="E176" s="35">
        <f ca="1"/>
        <v>103.5</v>
      </c>
      <c r="F176" s="102"/>
      <c r="G176" s="102">
        <f ca="1"/>
        <v>3000000</v>
      </c>
      <c r="H176" s="25">
        <f ca="1"/>
        <v>5370.0000000000618</v>
      </c>
      <c r="I176" s="37">
        <f ca="1"/>
        <v>5111.9999999998527</v>
      </c>
      <c r="J176" s="37" t="str">
        <f ca="1"/>
        <v>BGN</v>
      </c>
      <c r="K176" s="35" t="str">
        <f ca="1"/>
        <v>EUR</v>
      </c>
      <c r="L176" s="102">
        <f ca="1"/>
        <v>10481.999999999915</v>
      </c>
      <c r="M176" s="102">
        <f ca="1"/>
        <v>10481.999999999915</v>
      </c>
      <c r="N176" s="19">
        <f ca="1"/>
        <v>103.679</v>
      </c>
      <c r="Q176" s="20" t="s">
        <v>867</v>
      </c>
      <c r="R176" s="24"/>
      <c r="S176" s="25">
        <f ca="1"/>
        <v>135</v>
      </c>
      <c r="T176" s="19" t="str">
        <f ca="1"/>
        <v>FR0013534351</v>
      </c>
      <c r="U176" s="25" t="str">
        <f ca="1"/>
        <v>EDF 2 7/8 PERP</v>
      </c>
      <c r="V176" s="64">
        <f ca="1"/>
        <v>-4200000</v>
      </c>
      <c r="W176" s="70">
        <f ca="1"/>
        <v>-20.71</v>
      </c>
      <c r="X176" s="71">
        <f ca="1"/>
        <v>103.5</v>
      </c>
      <c r="Y176" s="71">
        <f ca="1"/>
        <v>103.679</v>
      </c>
      <c r="Z176" s="57" t="str">
        <f ca="1"/>
        <v>SEMINARA</v>
      </c>
      <c r="AA176" s="57" t="str">
        <f ca="1"/>
        <v>Bond Corporate</v>
      </c>
      <c r="AB176" s="56">
        <f ca="1"/>
        <v>10481.999999999915</v>
      </c>
      <c r="AC176" s="56">
        <f ca="1">IFERROR(IF(ISBLANK(AB176),"-",AB176-_xlfn.XLOOKUP(T176,AI:AI,AJ:AJ)),"-")</f>
        <v>0</v>
      </c>
      <c r="AD176" s="56">
        <f ca="1">IFERROR(IF(ISBLANK(AB176),"-",AB176-_xlfn.XLOOKUP(T176,AO:AO,AP:AP)),"-")</f>
        <v>0</v>
      </c>
      <c r="AE176" s="25"/>
      <c r="AF176" s="25"/>
      <c r="AG176" s="25"/>
      <c r="AH176" s="25"/>
      <c r="AI176" s="51" t="s">
        <v>297</v>
      </c>
      <c r="AJ176" s="80">
        <v>10481.999999999915</v>
      </c>
      <c r="AK176" s="25"/>
      <c r="AL176" s="25"/>
      <c r="AM176" s="25"/>
      <c r="AN176" s="25"/>
      <c r="AO176" s="51" t="s">
        <v>297</v>
      </c>
      <c r="AP176" s="80">
        <v>10481.999999999915</v>
      </c>
      <c r="AQ176" s="25"/>
      <c r="AR176" s="25"/>
      <c r="AS176" s="26"/>
      <c r="AT176" s="20" t="s">
        <v>867</v>
      </c>
      <c r="AW176" s="25"/>
      <c r="AX176" s="25"/>
      <c r="AY176" s="37"/>
      <c r="AZ176" s="25"/>
      <c r="BA176" s="35"/>
      <c r="BB176" s="25"/>
      <c r="BC176" s="25"/>
      <c r="BD176" s="25"/>
      <c r="BE176" s="25"/>
      <c r="BF176" s="25"/>
      <c r="BG176" s="25"/>
      <c r="BH176" s="25"/>
      <c r="BI176" s="37"/>
      <c r="BJ176" s="25"/>
      <c r="BK176" s="25"/>
    </row>
    <row r="177" spans="3:63" x14ac:dyDescent="0.35">
      <c r="C177" s="25" t="str">
        <f ca="1"/>
        <v>FR0011401728</v>
      </c>
      <c r="D177" s="25" t="str">
        <f ca="1"/>
        <v>SEMINARA</v>
      </c>
      <c r="E177" s="35">
        <f ca="1"/>
        <v>112.224</v>
      </c>
      <c r="F177" s="102"/>
      <c r="G177" s="102">
        <f ca="1"/>
        <v>-4500000</v>
      </c>
      <c r="H177" s="25">
        <f ca="1"/>
        <v>-9359.9999999999272</v>
      </c>
      <c r="I177" s="37">
        <f ca="1"/>
        <v>-10034.999999999955</v>
      </c>
      <c r="J177" s="37" t="str">
        <f ca="1"/>
        <v>BGN</v>
      </c>
      <c r="K177" s="35" t="str">
        <f ca="1"/>
        <v>GBP</v>
      </c>
      <c r="L177" s="102">
        <f ca="1"/>
        <v>-19394.999999999884</v>
      </c>
      <c r="M177" s="102">
        <f ca="1"/>
        <v>-21650.63849999987</v>
      </c>
      <c r="N177" s="19">
        <f ca="1"/>
        <v>112.432</v>
      </c>
      <c r="Q177" s="20" t="s">
        <v>867</v>
      </c>
      <c r="R177" s="24"/>
      <c r="S177" s="25">
        <f ca="1"/>
        <v>136</v>
      </c>
      <c r="T177" s="19" t="str">
        <f ca="1"/>
        <v>FR0011401728</v>
      </c>
      <c r="U177" s="25" t="str">
        <f ca="1"/>
        <v>EDF 6 PERP</v>
      </c>
      <c r="V177" s="64">
        <f ca="1"/>
        <v>0</v>
      </c>
      <c r="W177" s="70">
        <f ca="1"/>
        <v>0</v>
      </c>
      <c r="X177" s="71">
        <f ca="1"/>
        <v>112.224</v>
      </c>
      <c r="Y177" s="71">
        <f ca="1"/>
        <v>112.432</v>
      </c>
      <c r="Z177" s="57" t="str">
        <f ca="1"/>
        <v>SEMINARA</v>
      </c>
      <c r="AA177" s="57" t="str">
        <f ca="1"/>
        <v>Bond Corporate</v>
      </c>
      <c r="AB177" s="56">
        <f ca="1"/>
        <v>-21650.63849999987</v>
      </c>
      <c r="AC177" s="56">
        <f ca="1">IFERROR(IF(ISBLANK(AB177),"-",AB177-_xlfn.XLOOKUP(T177,AI:AI,AJ:AJ)),"-")</f>
        <v>5.8185000000012224</v>
      </c>
      <c r="AD177" s="56">
        <f ca="1">IFERROR(IF(ISBLANK(AB177),"-",AB177-_xlfn.XLOOKUP(T177,AO:AO,AP:AP)),"-")</f>
        <v>-10442.54699999992</v>
      </c>
      <c r="AE177" s="25"/>
      <c r="AF177" s="25"/>
      <c r="AG177" s="25"/>
      <c r="AH177" s="25"/>
      <c r="AI177" s="51" t="s">
        <v>299</v>
      </c>
      <c r="AJ177" s="80">
        <v>-21650.63849999987</v>
      </c>
      <c r="AK177" s="25"/>
      <c r="AL177" s="25"/>
      <c r="AM177" s="25"/>
      <c r="AN177" s="25"/>
      <c r="AO177" s="51" t="s">
        <v>299</v>
      </c>
      <c r="AP177" s="80">
        <v>-21656.456999999871</v>
      </c>
      <c r="AQ177" s="25"/>
      <c r="AR177" s="25"/>
      <c r="AS177" s="26"/>
      <c r="AT177" s="20" t="s">
        <v>867</v>
      </c>
      <c r="AW177" s="25"/>
      <c r="AX177" s="25"/>
      <c r="AY177" s="37"/>
      <c r="AZ177" s="25"/>
      <c r="BA177" s="35"/>
      <c r="BB177" s="25"/>
      <c r="BC177" s="25"/>
      <c r="BD177" s="25"/>
      <c r="BE177" s="25"/>
      <c r="BF177" s="25"/>
      <c r="BG177" s="25"/>
      <c r="BH177" s="25"/>
      <c r="BI177" s="37"/>
      <c r="BJ177" s="25"/>
      <c r="BK177" s="25"/>
    </row>
    <row r="178" spans="3:63" x14ac:dyDescent="0.35">
      <c r="C178" s="25" t="str">
        <f ca="1"/>
        <v>FR0011697028</v>
      </c>
      <c r="D178" s="25" t="str">
        <f ca="1"/>
        <v>SEMINARA</v>
      </c>
      <c r="E178" s="35">
        <f ca="1"/>
        <v>113.629</v>
      </c>
      <c r="F178" s="102"/>
      <c r="G178" s="102">
        <f ca="1"/>
        <v>1200000</v>
      </c>
      <c r="H178" s="25">
        <f ca="1"/>
        <v>2231.9999999999141</v>
      </c>
      <c r="I178" s="37">
        <f ca="1"/>
        <v>0</v>
      </c>
      <c r="J178" s="37" t="str">
        <f ca="1"/>
        <v>BGN</v>
      </c>
      <c r="K178" s="35" t="str">
        <f ca="1"/>
        <v>EUR</v>
      </c>
      <c r="L178" s="102">
        <f ca="1"/>
        <v>2231.9999999999141</v>
      </c>
      <c r="M178" s="102">
        <f ca="1"/>
        <v>2231.9999999999141</v>
      </c>
      <c r="N178" s="19">
        <f ca="1"/>
        <v>113.815</v>
      </c>
      <c r="Q178" s="20" t="s">
        <v>867</v>
      </c>
      <c r="R178" s="24"/>
      <c r="S178" s="25">
        <f ca="1"/>
        <v>137</v>
      </c>
      <c r="T178" s="19" t="str">
        <f ca="1"/>
        <v>FR0011697028</v>
      </c>
      <c r="U178" s="25" t="str">
        <f ca="1"/>
        <v>EDF 5 PERP</v>
      </c>
      <c r="V178" s="64">
        <f ca="1"/>
        <v>1200000</v>
      </c>
      <c r="W178" s="70">
        <f ca="1"/>
        <v>5.34</v>
      </c>
      <c r="X178" s="71">
        <f ca="1"/>
        <v>113.629</v>
      </c>
      <c r="Y178" s="71">
        <f ca="1"/>
        <v>113.815</v>
      </c>
      <c r="Z178" s="57" t="str">
        <f ca="1"/>
        <v>SEMINARA</v>
      </c>
      <c r="AA178" s="57" t="str">
        <f ca="1"/>
        <v>Bond Corporate</v>
      </c>
      <c r="AB178" s="56">
        <f ca="1"/>
        <v>2231.9999999999141</v>
      </c>
      <c r="AC178" s="56">
        <f ca="1">IFERROR(IF(ISBLANK(AB178),"-",AB178-_xlfn.XLOOKUP(T178,AI:AI,AJ:AJ)),"-")</f>
        <v>0</v>
      </c>
      <c r="AD178" s="56">
        <f ca="1">IFERROR(IF(ISBLANK(AB178),"-",AB178-_xlfn.XLOOKUP(T178,AO:AO,AP:AP)),"-")</f>
        <v>767.99999999991542</v>
      </c>
      <c r="AE178" s="25"/>
      <c r="AF178" s="25"/>
      <c r="AG178" s="25"/>
      <c r="AH178" s="25"/>
      <c r="AI178" s="51" t="s">
        <v>1221</v>
      </c>
      <c r="AJ178" s="80">
        <v>2231.9999999999141</v>
      </c>
      <c r="AK178" s="25"/>
      <c r="AL178" s="25"/>
      <c r="AM178" s="25"/>
      <c r="AN178" s="25"/>
      <c r="AO178" s="51" t="s">
        <v>1221</v>
      </c>
      <c r="AP178" s="80">
        <v>2231.9999999999141</v>
      </c>
      <c r="AQ178" s="25"/>
      <c r="AR178" s="25"/>
      <c r="AS178" s="26"/>
      <c r="AT178" s="20" t="s">
        <v>867</v>
      </c>
      <c r="AW178" s="25"/>
      <c r="AX178" s="25"/>
      <c r="AY178" s="37"/>
      <c r="AZ178" s="25"/>
      <c r="BA178" s="35"/>
      <c r="BB178" s="25"/>
      <c r="BC178" s="25"/>
      <c r="BD178" s="25"/>
      <c r="BE178" s="25"/>
      <c r="BF178" s="25"/>
      <c r="BG178" s="25"/>
      <c r="BH178" s="25"/>
      <c r="BI178" s="37"/>
      <c r="BJ178" s="25"/>
      <c r="BK178" s="25"/>
    </row>
    <row r="179" spans="3:63" x14ac:dyDescent="0.35">
      <c r="C179" s="25" t="str">
        <f ca="1"/>
        <v>FR0011401751</v>
      </c>
      <c r="D179" s="25" t="str">
        <f ca="1"/>
        <v>SEMINARA</v>
      </c>
      <c r="E179" s="35">
        <f ca="1"/>
        <v>113.706</v>
      </c>
      <c r="F179" s="102"/>
      <c r="G179" s="102">
        <f ca="1"/>
        <v>-700000</v>
      </c>
      <c r="H179" s="25">
        <f ca="1"/>
        <v>-517.99999999998647</v>
      </c>
      <c r="I179" s="37">
        <f ca="1"/>
        <v>0</v>
      </c>
      <c r="J179" s="37" t="str">
        <f ca="1"/>
        <v>BGN</v>
      </c>
      <c r="K179" s="35" t="str">
        <f ca="1"/>
        <v>EUR</v>
      </c>
      <c r="L179" s="102">
        <f ca="1"/>
        <v>-517.99999999998647</v>
      </c>
      <c r="M179" s="102">
        <f ca="1"/>
        <v>-517.99999999998647</v>
      </c>
      <c r="N179" s="19">
        <f ca="1"/>
        <v>113.78</v>
      </c>
      <c r="Q179" s="20" t="s">
        <v>867</v>
      </c>
      <c r="R179" s="24"/>
      <c r="S179" s="25">
        <f ca="1"/>
        <v>138</v>
      </c>
      <c r="T179" s="19" t="str">
        <f ca="1"/>
        <v>FR0011401751</v>
      </c>
      <c r="U179" s="25" t="str">
        <f ca="1"/>
        <v>EDF 5 3/8 PERP</v>
      </c>
      <c r="V179" s="64">
        <f ca="1"/>
        <v>-700000</v>
      </c>
      <c r="W179" s="70">
        <f ca="1"/>
        <v>-2.38</v>
      </c>
      <c r="X179" s="71">
        <f ca="1"/>
        <v>113.706</v>
      </c>
      <c r="Y179" s="71">
        <f ca="1"/>
        <v>113.78</v>
      </c>
      <c r="Z179" s="57" t="str">
        <f ca="1"/>
        <v>SEMINARA</v>
      </c>
      <c r="AA179" s="57" t="str">
        <f ca="1"/>
        <v>Bond Corporate</v>
      </c>
      <c r="AB179" s="56">
        <f ca="1"/>
        <v>-517.99999999998647</v>
      </c>
      <c r="AC179" s="56">
        <f ca="1">IFERROR(IF(ISBLANK(AB179),"-",AB179-_xlfn.XLOOKUP(T179,AI:AI,AJ:AJ)),"-")</f>
        <v>0</v>
      </c>
      <c r="AD179" s="56">
        <f ca="1">IFERROR(IF(ISBLANK(AB179),"-",AB179-_xlfn.XLOOKUP(T179,AO:AO,AP:AP)),"-")</f>
        <v>664.99999999999193</v>
      </c>
      <c r="AE179" s="25"/>
      <c r="AF179" s="25"/>
      <c r="AG179" s="25"/>
      <c r="AH179" s="25"/>
      <c r="AI179" s="51" t="s">
        <v>301</v>
      </c>
      <c r="AJ179" s="80">
        <v>-517.99999999998647</v>
      </c>
      <c r="AK179" s="25"/>
      <c r="AL179" s="25"/>
      <c r="AM179" s="25"/>
      <c r="AN179" s="25"/>
      <c r="AO179" s="51" t="s">
        <v>301</v>
      </c>
      <c r="AP179" s="80">
        <v>-517.99999999998647</v>
      </c>
      <c r="AQ179" s="25"/>
      <c r="AR179" s="25"/>
      <c r="AS179" s="26"/>
      <c r="AT179" s="20" t="s">
        <v>867</v>
      </c>
      <c r="AW179" s="25"/>
      <c r="AX179" s="25"/>
      <c r="AY179" s="37"/>
      <c r="AZ179" s="25"/>
      <c r="BA179" s="35"/>
      <c r="BB179" s="25"/>
      <c r="BC179" s="25"/>
      <c r="BD179" s="25"/>
      <c r="BE179" s="25"/>
      <c r="BF179" s="25"/>
      <c r="BG179" s="25"/>
      <c r="BH179" s="25"/>
      <c r="BI179" s="37"/>
      <c r="BJ179" s="25"/>
      <c r="BK179" s="25"/>
    </row>
    <row r="180" spans="3:63" x14ac:dyDescent="0.35">
      <c r="C180" s="25" t="str">
        <f ca="1"/>
        <v>USF2893TAM83</v>
      </c>
      <c r="D180" s="25" t="str">
        <f ca="1"/>
        <v>SEMINARA</v>
      </c>
      <c r="E180" s="35">
        <f ca="1"/>
        <v>107.43300000000001</v>
      </c>
      <c r="F180" s="102"/>
      <c r="G180" s="102">
        <f ca="1"/>
        <v>-2275000</v>
      </c>
      <c r="H180" s="25">
        <f ca="1"/>
        <v>-2001.9999999998604</v>
      </c>
      <c r="I180" s="37">
        <f ca="1"/>
        <v>-631.99999999994816</v>
      </c>
      <c r="J180" s="37" t="str">
        <f ca="1"/>
        <v>BGN</v>
      </c>
      <c r="K180" s="35" t="str">
        <f ca="1"/>
        <v>USD</v>
      </c>
      <c r="L180" s="102">
        <f ca="1"/>
        <v>-2633.9999999998086</v>
      </c>
      <c r="M180" s="102">
        <f ca="1"/>
        <v>-2219.9351999998385</v>
      </c>
      <c r="N180" s="19">
        <f ca="1"/>
        <v>107.521</v>
      </c>
      <c r="Q180" s="20" t="s">
        <v>867</v>
      </c>
      <c r="R180" s="24"/>
      <c r="S180" s="25">
        <f ca="1"/>
        <v>139</v>
      </c>
      <c r="T180" s="19" t="str">
        <f ca="1"/>
        <v>USF2893TAM83</v>
      </c>
      <c r="U180" s="25" t="str">
        <f ca="1"/>
        <v>EDF 5 5/8 PERP</v>
      </c>
      <c r="V180" s="64">
        <f ca="1"/>
        <v>-1475000</v>
      </c>
      <c r="W180" s="70">
        <f ca="1"/>
        <v>-3.58</v>
      </c>
      <c r="X180" s="71">
        <f ca="1"/>
        <v>107.43300000000001</v>
      </c>
      <c r="Y180" s="71">
        <f ca="1"/>
        <v>107.521</v>
      </c>
      <c r="Z180" s="57" t="str">
        <f ca="1"/>
        <v>SEMINARA</v>
      </c>
      <c r="AA180" s="57" t="str">
        <f ca="1"/>
        <v>Bond Corporate</v>
      </c>
      <c r="AB180" s="56">
        <f ca="1"/>
        <v>-2219.9351999998385</v>
      </c>
      <c r="AC180" s="56">
        <f ca="1">IFERROR(IF(ISBLANK(AB180),"-",AB180-_xlfn.XLOOKUP(T180,AI:AI,AJ:AJ)),"-")</f>
        <v>0.52680000000009386</v>
      </c>
      <c r="AD180" s="56">
        <f ca="1">IFERROR(IF(ISBLANK(AB180),"-",AB180-_xlfn.XLOOKUP(T180,AO:AO,AP:AP)),"-")</f>
        <v>-124.31300000006331</v>
      </c>
      <c r="AE180" s="25"/>
      <c r="AF180" s="25"/>
      <c r="AG180" s="25"/>
      <c r="AH180" s="25"/>
      <c r="AI180" s="51" t="s">
        <v>1243</v>
      </c>
      <c r="AJ180" s="80">
        <v>-2219.9351999998385</v>
      </c>
      <c r="AK180" s="25"/>
      <c r="AL180" s="25"/>
      <c r="AM180" s="25"/>
      <c r="AN180" s="25"/>
      <c r="AO180" s="51" t="s">
        <v>1243</v>
      </c>
      <c r="AP180" s="80">
        <v>-2220.4619999998386</v>
      </c>
      <c r="AQ180" s="25"/>
      <c r="AR180" s="25"/>
      <c r="AS180" s="26"/>
      <c r="AT180" s="20" t="s">
        <v>867</v>
      </c>
      <c r="AW180" s="25"/>
      <c r="AX180" s="25"/>
      <c r="AY180" s="37"/>
      <c r="AZ180" s="25"/>
      <c r="BA180" s="35"/>
      <c r="BB180" s="25"/>
      <c r="BC180" s="25"/>
      <c r="BD180" s="25"/>
      <c r="BE180" s="25"/>
      <c r="BF180" s="25"/>
      <c r="BG180" s="25"/>
      <c r="BH180" s="25"/>
      <c r="BI180" s="37"/>
      <c r="BJ180" s="25"/>
      <c r="BK180" s="25"/>
    </row>
    <row r="181" spans="3:63" x14ac:dyDescent="0.35">
      <c r="C181" s="25" t="str">
        <f ca="1"/>
        <v>USF2893TAF33</v>
      </c>
      <c r="D181" s="25" t="str">
        <f ca="1"/>
        <v>SEMINARA</v>
      </c>
      <c r="E181" s="35">
        <f ca="1"/>
        <v>105.506</v>
      </c>
      <c r="F181" s="102"/>
      <c r="G181" s="102">
        <f ca="1"/>
        <v>3300000</v>
      </c>
      <c r="H181" s="25">
        <f ca="1"/>
        <v>726.00000000018383</v>
      </c>
      <c r="I181" s="37">
        <f ca="1"/>
        <v>1383.9999999999861</v>
      </c>
      <c r="J181" s="37" t="str">
        <f ca="1"/>
        <v>BGN</v>
      </c>
      <c r="K181" s="35" t="str">
        <f ca="1"/>
        <v>USD</v>
      </c>
      <c r="L181" s="102">
        <f ca="1"/>
        <v>2110.0000000001701</v>
      </c>
      <c r="M181" s="102">
        <f ca="1"/>
        <v>1778.3080000001432</v>
      </c>
      <c r="N181" s="19">
        <f ca="1"/>
        <v>105.52800000000001</v>
      </c>
      <c r="Q181" s="20" t="s">
        <v>867</v>
      </c>
      <c r="R181" s="24"/>
      <c r="S181" s="25">
        <f ca="1"/>
        <v>140</v>
      </c>
      <c r="T181" s="19" t="str">
        <f ca="1"/>
        <v>USF2893TAF33</v>
      </c>
      <c r="U181" s="25" t="str">
        <f ca="1"/>
        <v>EDF 5 1/4 PERP</v>
      </c>
      <c r="V181" s="64">
        <f ca="1"/>
        <v>3100000</v>
      </c>
      <c r="W181" s="70">
        <f ca="1"/>
        <v>4.45</v>
      </c>
      <c r="X181" s="71">
        <f ca="1"/>
        <v>105.506</v>
      </c>
      <c r="Y181" s="71">
        <f ca="1"/>
        <v>105.52800000000001</v>
      </c>
      <c r="Z181" s="57" t="str">
        <f ca="1"/>
        <v>SEMINARA</v>
      </c>
      <c r="AA181" s="57" t="str">
        <f ca="1"/>
        <v>Bond Corporate</v>
      </c>
      <c r="AB181" s="56">
        <f ca="1"/>
        <v>1778.3080000001432</v>
      </c>
      <c r="AC181" s="56">
        <f ca="1">IFERROR(IF(ISBLANK(AB181),"-",AB181-_xlfn.XLOOKUP(T181,AI:AI,AJ:AJ)),"-")</f>
        <v>-0.42200000000002547</v>
      </c>
      <c r="AD181" s="56">
        <f ca="1">IFERROR(IF(ISBLANK(AB181),"-",AB181-_xlfn.XLOOKUP(T181,AO:AO,AP:AP)),"-")</f>
        <v>-130.63399999988133</v>
      </c>
      <c r="AE181" s="25"/>
      <c r="AF181" s="25"/>
      <c r="AG181" s="25"/>
      <c r="AH181" s="25"/>
      <c r="AI181" s="51" t="s">
        <v>948</v>
      </c>
      <c r="AJ181" s="80">
        <v>1778.3080000001432</v>
      </c>
      <c r="AK181" s="25"/>
      <c r="AL181" s="25"/>
      <c r="AM181" s="25"/>
      <c r="AN181" s="25"/>
      <c r="AO181" s="51" t="s">
        <v>948</v>
      </c>
      <c r="AP181" s="80">
        <v>1778.7300000001433</v>
      </c>
      <c r="AQ181" s="25"/>
      <c r="AR181" s="25"/>
      <c r="AS181" s="26"/>
      <c r="AT181" s="20" t="s">
        <v>867</v>
      </c>
      <c r="AW181" s="25"/>
      <c r="AX181" s="25"/>
      <c r="AY181" s="37"/>
      <c r="AZ181" s="25"/>
      <c r="BA181" s="35"/>
      <c r="BB181" s="25"/>
      <c r="BC181" s="25"/>
      <c r="BD181" s="25"/>
      <c r="BE181" s="25"/>
      <c r="BF181" s="25"/>
      <c r="BG181" s="25"/>
      <c r="BH181" s="25"/>
      <c r="BI181" s="37"/>
      <c r="BJ181" s="25"/>
      <c r="BK181" s="25"/>
    </row>
    <row r="182" spans="3:63" x14ac:dyDescent="0.35">
      <c r="C182" s="25" t="str">
        <f ca="1"/>
        <v>PTEDPLOM0017</v>
      </c>
      <c r="D182" s="25" t="str">
        <f ca="1"/>
        <v>SEMINARA</v>
      </c>
      <c r="E182" s="35">
        <f ca="1"/>
        <v>99.221999999999994</v>
      </c>
      <c r="F182" s="102"/>
      <c r="G182" s="102">
        <f ca="1"/>
        <v>1000000</v>
      </c>
      <c r="H182" s="25">
        <f ca="1"/>
        <v>820.00000000007844</v>
      </c>
      <c r="I182" s="37">
        <f ca="1"/>
        <v>132.000000000005</v>
      </c>
      <c r="J182" s="37" t="str">
        <f ca="1"/>
        <v>BGN</v>
      </c>
      <c r="K182" s="35" t="str">
        <f ca="1"/>
        <v>EUR</v>
      </c>
      <c r="L182" s="102">
        <f ca="1"/>
        <v>952.00000000008345</v>
      </c>
      <c r="M182" s="102">
        <f ca="1"/>
        <v>952.00000000008345</v>
      </c>
      <c r="N182" s="19">
        <f ca="1"/>
        <v>99.304000000000002</v>
      </c>
      <c r="Q182" s="20" t="s">
        <v>867</v>
      </c>
      <c r="R182" s="24"/>
      <c r="S182" s="25">
        <f ca="1"/>
        <v>141</v>
      </c>
      <c r="T182" s="19" t="str">
        <f ca="1"/>
        <v>PTEDPLOM0017</v>
      </c>
      <c r="U182" s="25" t="str">
        <f ca="1"/>
        <v>EDPPL 1.7 07/20/80</v>
      </c>
      <c r="V182" s="64">
        <f ca="1"/>
        <v>800000</v>
      </c>
      <c r="W182" s="70">
        <f ca="1"/>
        <v>2.54</v>
      </c>
      <c r="X182" s="71">
        <f ca="1"/>
        <v>99.221999999999994</v>
      </c>
      <c r="Y182" s="71">
        <f ca="1"/>
        <v>99.304000000000002</v>
      </c>
      <c r="Z182" s="57" t="str">
        <f ca="1"/>
        <v>SEMINARA</v>
      </c>
      <c r="AA182" s="57" t="str">
        <f ca="1"/>
        <v>Bond Corporate</v>
      </c>
      <c r="AB182" s="56">
        <f ca="1"/>
        <v>952.00000000008345</v>
      </c>
      <c r="AC182" s="56">
        <f ca="1">IFERROR(IF(ISBLANK(AB182),"-",AB182-_xlfn.XLOOKUP(T182,AI:AI,AJ:AJ)),"-")</f>
        <v>0</v>
      </c>
      <c r="AD182" s="56">
        <f ca="1">IFERROR(IF(ISBLANK(AB182),"-",AB182-_xlfn.XLOOKUP(T182,AO:AO,AP:AP)),"-")</f>
        <v>392.00000000005275</v>
      </c>
      <c r="AE182" s="25"/>
      <c r="AF182" s="25"/>
      <c r="AG182" s="25"/>
      <c r="AH182" s="25"/>
      <c r="AI182" s="51" t="s">
        <v>305</v>
      </c>
      <c r="AJ182" s="80">
        <v>952.00000000008345</v>
      </c>
      <c r="AK182" s="25"/>
      <c r="AL182" s="25"/>
      <c r="AM182" s="25"/>
      <c r="AN182" s="25"/>
      <c r="AO182" s="51" t="s">
        <v>305</v>
      </c>
      <c r="AP182" s="80">
        <v>952.00000000008345</v>
      </c>
      <c r="AQ182" s="25"/>
      <c r="AR182" s="25"/>
      <c r="AS182" s="26"/>
      <c r="AT182" s="20" t="s">
        <v>867</v>
      </c>
      <c r="AW182" s="25"/>
      <c r="AX182" s="25"/>
      <c r="AY182" s="37"/>
      <c r="AZ182" s="25"/>
      <c r="BA182" s="35"/>
      <c r="BB182" s="25"/>
      <c r="BC182" s="25"/>
      <c r="BD182" s="25"/>
      <c r="BE182" s="25"/>
      <c r="BF182" s="25"/>
      <c r="BG182" s="25"/>
      <c r="BH182" s="25"/>
      <c r="BI182" s="37"/>
      <c r="BJ182" s="25"/>
      <c r="BK182" s="25"/>
    </row>
    <row r="183" spans="3:63" x14ac:dyDescent="0.35">
      <c r="C183" s="25" t="str">
        <f ca="1"/>
        <v>PTEDPKOM0034</v>
      </c>
      <c r="D183" s="25" t="str">
        <f ca="1"/>
        <v>SEMINARA</v>
      </c>
      <c r="E183" s="35">
        <f ca="1"/>
        <v>109.76600000000001</v>
      </c>
      <c r="F183" s="102"/>
      <c r="G183" s="102">
        <f ca="1"/>
        <v>2400000</v>
      </c>
      <c r="H183" s="25">
        <f ca="1"/>
        <v>335.99999999989899</v>
      </c>
      <c r="I183" s="37">
        <f ca="1"/>
        <v>0</v>
      </c>
      <c r="J183" s="37" t="str">
        <f ca="1"/>
        <v>BGN</v>
      </c>
      <c r="K183" s="35" t="str">
        <f ca="1"/>
        <v>EUR</v>
      </c>
      <c r="L183" s="102">
        <f ca="1"/>
        <v>335.99999999989899</v>
      </c>
      <c r="M183" s="102">
        <f ca="1"/>
        <v>335.99999999989899</v>
      </c>
      <c r="N183" s="19">
        <f ca="1"/>
        <v>109.78</v>
      </c>
      <c r="Q183" s="20" t="s">
        <v>867</v>
      </c>
      <c r="R183" s="24"/>
      <c r="S183" s="25">
        <f ca="1"/>
        <v>142</v>
      </c>
      <c r="T183" s="19" t="str">
        <f ca="1"/>
        <v>PTEDPKOM0034</v>
      </c>
      <c r="U183" s="25" t="str">
        <f ca="1"/>
        <v>EDPPL 4.496 04/30/79</v>
      </c>
      <c r="V183" s="64">
        <f ca="1"/>
        <v>2400000</v>
      </c>
      <c r="W183" s="70">
        <f ca="1"/>
        <v>4.78</v>
      </c>
      <c r="X183" s="71">
        <f ca="1"/>
        <v>109.76600000000001</v>
      </c>
      <c r="Y183" s="71">
        <f ca="1"/>
        <v>109.78</v>
      </c>
      <c r="Z183" s="57" t="str">
        <f ca="1"/>
        <v>SEMINARA</v>
      </c>
      <c r="AA183" s="57" t="str">
        <f ca="1"/>
        <v>Bond Corporate</v>
      </c>
      <c r="AB183" s="56">
        <f ca="1"/>
        <v>335.99999999989899</v>
      </c>
      <c r="AC183" s="56">
        <f ca="1">IFERROR(IF(ISBLANK(AB183),"-",AB183-_xlfn.XLOOKUP(T183,AI:AI,AJ:AJ)),"-")</f>
        <v>0</v>
      </c>
      <c r="AD183" s="56">
        <f ca="1">IFERROR(IF(ISBLANK(AB183),"-",AB183-_xlfn.XLOOKUP(T183,AO:AO,AP:AP)),"-")</f>
        <v>-47.999999999888189</v>
      </c>
      <c r="AE183" s="25"/>
      <c r="AF183" s="25"/>
      <c r="AG183" s="25"/>
      <c r="AH183" s="25"/>
      <c r="AI183" s="51" t="s">
        <v>307</v>
      </c>
      <c r="AJ183" s="80">
        <v>335.99999999989899</v>
      </c>
      <c r="AK183" s="25"/>
      <c r="AL183" s="25"/>
      <c r="AM183" s="25"/>
      <c r="AN183" s="25"/>
      <c r="AO183" s="51" t="s">
        <v>307</v>
      </c>
      <c r="AP183" s="80">
        <v>335.99999999989899</v>
      </c>
      <c r="AQ183" s="25"/>
      <c r="AR183" s="25"/>
      <c r="AS183" s="26"/>
      <c r="AT183" s="20" t="s">
        <v>867</v>
      </c>
      <c r="AW183" s="25"/>
      <c r="AX183" s="25"/>
      <c r="AY183" s="37"/>
      <c r="AZ183" s="25"/>
      <c r="BA183" s="35"/>
      <c r="BB183" s="25"/>
      <c r="BC183" s="25"/>
      <c r="BD183" s="25"/>
      <c r="BE183" s="25"/>
      <c r="BF183" s="25"/>
      <c r="BG183" s="25"/>
      <c r="BH183" s="25"/>
      <c r="BI183" s="37"/>
      <c r="BJ183" s="25"/>
      <c r="BK183" s="25"/>
    </row>
    <row r="184" spans="3:63" x14ac:dyDescent="0.35">
      <c r="C184" s="25" t="str">
        <f ca="1"/>
        <v>XS2035564629</v>
      </c>
      <c r="D184" s="25" t="str">
        <f ca="1"/>
        <v>SEMINARA</v>
      </c>
      <c r="E184" s="35">
        <f ca="1"/>
        <v>100.34</v>
      </c>
      <c r="F184" s="102"/>
      <c r="G184" s="102">
        <f ca="1"/>
        <v>0</v>
      </c>
      <c r="H184" s="25">
        <f ca="1"/>
        <v>0</v>
      </c>
      <c r="I184" s="37">
        <f ca="1"/>
        <v>0</v>
      </c>
      <c r="J184" s="37" t="str">
        <f ca="1"/>
        <v>BGN</v>
      </c>
      <c r="K184" s="35" t="str">
        <f ca="1"/>
        <v>EUR</v>
      </c>
      <c r="L184" s="102">
        <f ca="1"/>
        <v>0</v>
      </c>
      <c r="M184" s="102">
        <f ca="1"/>
        <v>0</v>
      </c>
      <c r="N184" s="19">
        <f ca="1"/>
        <v>100.42</v>
      </c>
      <c r="Q184" s="20" t="s">
        <v>867</v>
      </c>
      <c r="R184" s="24"/>
      <c r="S184" s="25">
        <f ca="1"/>
        <v>143</v>
      </c>
      <c r="T184" s="19" t="str">
        <f ca="1"/>
        <v>XS2035564629</v>
      </c>
      <c r="U184" s="25" t="str">
        <f ca="1"/>
        <v>ENBW 1 5/8 08/05/79</v>
      </c>
      <c r="V184" s="64">
        <f ca="1"/>
        <v>0</v>
      </c>
      <c r="W184" s="70">
        <f ca="1"/>
        <v>0</v>
      </c>
      <c r="X184" s="71">
        <f ca="1"/>
        <v>100.34</v>
      </c>
      <c r="Y184" s="71">
        <f ca="1"/>
        <v>100.42</v>
      </c>
      <c r="Z184" s="57" t="str">
        <f ca="1"/>
        <v>SEMINARA</v>
      </c>
      <c r="AA184" s="57" t="str">
        <f ca="1"/>
        <v>Bond Corporate</v>
      </c>
      <c r="AB184" s="56">
        <f ca="1"/>
        <v>0</v>
      </c>
      <c r="AC184" s="56">
        <f ca="1">IFERROR(IF(ISBLANK(AB184),"-",AB184-_xlfn.XLOOKUP(T184,AI:AI,AJ:AJ)),"-")</f>
        <v>0</v>
      </c>
      <c r="AD184" s="56">
        <f ca="1">IFERROR(IF(ISBLANK(AB184),"-",AB184-_xlfn.XLOOKUP(T184,AO:AO,AP:AP)),"-")</f>
        <v>0</v>
      </c>
      <c r="AE184" s="25"/>
      <c r="AF184" s="25"/>
      <c r="AG184" s="25"/>
      <c r="AH184" s="25"/>
      <c r="AI184" s="51" t="s">
        <v>1353</v>
      </c>
      <c r="AJ184" s="80">
        <v>0</v>
      </c>
      <c r="AK184" s="25"/>
      <c r="AL184" s="25"/>
      <c r="AM184" s="25"/>
      <c r="AN184" s="25"/>
      <c r="AO184" s="51" t="s">
        <v>1353</v>
      </c>
      <c r="AP184" s="80">
        <v>0</v>
      </c>
      <c r="AQ184" s="25"/>
      <c r="AR184" s="25"/>
      <c r="AS184" s="26"/>
      <c r="AT184" s="20" t="s">
        <v>867</v>
      </c>
      <c r="AW184" s="25"/>
      <c r="AX184" s="25"/>
      <c r="AY184" s="37"/>
      <c r="AZ184" s="25"/>
      <c r="BA184" s="35"/>
      <c r="BB184" s="25"/>
      <c r="BC184" s="25"/>
      <c r="BD184" s="25"/>
      <c r="BE184" s="25"/>
      <c r="BF184" s="25"/>
      <c r="BG184" s="25"/>
      <c r="BH184" s="25"/>
      <c r="BI184" s="37"/>
      <c r="BJ184" s="25"/>
      <c r="BK184" s="25"/>
    </row>
    <row r="185" spans="3:63" x14ac:dyDescent="0.35">
      <c r="C185" s="25" t="str">
        <f ca="1"/>
        <v>XS1498442521</v>
      </c>
      <c r="D185" s="25" t="str">
        <f ca="1"/>
        <v>SEMINARA</v>
      </c>
      <c r="E185" s="35">
        <f ca="1"/>
        <v>104.518</v>
      </c>
      <c r="F185" s="102"/>
      <c r="G185" s="102">
        <f ca="1"/>
        <v>850000</v>
      </c>
      <c r="H185" s="25">
        <f ca="1"/>
        <v>-34.000000000041553</v>
      </c>
      <c r="I185" s="37">
        <f ca="1"/>
        <v>0</v>
      </c>
      <c r="J185" s="37" t="str">
        <f ca="1"/>
        <v>BGN</v>
      </c>
      <c r="K185" s="35" t="str">
        <f ca="1"/>
        <v>USD</v>
      </c>
      <c r="L185" s="102">
        <f ca="1"/>
        <v>-34.000000000041553</v>
      </c>
      <c r="M185" s="102">
        <f ca="1"/>
        <v>-28.65520000003502</v>
      </c>
      <c r="N185" s="19">
        <f ca="1"/>
        <v>104.514</v>
      </c>
      <c r="Q185" s="20" t="s">
        <v>867</v>
      </c>
      <c r="R185" s="24"/>
      <c r="S185" s="25">
        <f ca="1"/>
        <v>144</v>
      </c>
      <c r="T185" s="19" t="str">
        <f ca="1"/>
        <v>XS1498442521</v>
      </c>
      <c r="U185" s="25" t="str">
        <f ca="1"/>
        <v>ENBW 5 1/8 04/05/77</v>
      </c>
      <c r="V185" s="64">
        <f ca="1"/>
        <v>850000</v>
      </c>
      <c r="W185" s="70">
        <f ca="1"/>
        <v>0.23</v>
      </c>
      <c r="X185" s="71">
        <f ca="1"/>
        <v>104.518</v>
      </c>
      <c r="Y185" s="71">
        <f ca="1"/>
        <v>104.514</v>
      </c>
      <c r="Z185" s="57" t="str">
        <f ca="1"/>
        <v>SEMINARA</v>
      </c>
      <c r="AA185" s="57" t="str">
        <f ca="1"/>
        <v>Bond Corporate</v>
      </c>
      <c r="AB185" s="56">
        <f ca="1"/>
        <v>-28.65520000003502</v>
      </c>
      <c r="AC185" s="56">
        <f ca="1">IFERROR(IF(ISBLANK(AB185),"-",AB185-_xlfn.XLOOKUP(T185,AI:AI,AJ:AJ)),"-")</f>
        <v>6.8000000000090211E-3</v>
      </c>
      <c r="AD185" s="56">
        <f ca="1">IFERROR(IF(ISBLANK(AB185),"-",AB185-_xlfn.XLOOKUP(T185,AO:AO,AP:AP)),"-")</f>
        <v>7.1637999999324045</v>
      </c>
      <c r="AE185" s="25"/>
      <c r="AF185" s="25"/>
      <c r="AG185" s="25"/>
      <c r="AH185" s="25"/>
      <c r="AI185" s="51" t="s">
        <v>311</v>
      </c>
      <c r="AJ185" s="80">
        <v>-28.65520000003502</v>
      </c>
      <c r="AK185" s="25"/>
      <c r="AL185" s="25"/>
      <c r="AM185" s="25"/>
      <c r="AN185" s="25"/>
      <c r="AO185" s="51" t="s">
        <v>311</v>
      </c>
      <c r="AP185" s="80">
        <v>-28.662000000035029</v>
      </c>
      <c r="AQ185" s="25"/>
      <c r="AR185" s="25"/>
      <c r="AS185" s="26"/>
      <c r="AT185" s="20" t="s">
        <v>867</v>
      </c>
      <c r="AW185" s="25"/>
      <c r="AX185" s="25"/>
      <c r="AY185" s="37"/>
      <c r="AZ185" s="25"/>
      <c r="BA185" s="35"/>
      <c r="BB185" s="25"/>
      <c r="BC185" s="25"/>
      <c r="BD185" s="25"/>
      <c r="BE185" s="25"/>
      <c r="BF185" s="25"/>
      <c r="BG185" s="25"/>
      <c r="BH185" s="25"/>
      <c r="BI185" s="37"/>
      <c r="BJ185" s="25"/>
      <c r="BK185" s="25"/>
    </row>
    <row r="186" spans="3:63" x14ac:dyDescent="0.35">
      <c r="C186" s="25" t="str">
        <f ca="1"/>
        <v>XS1044811591</v>
      </c>
      <c r="D186" s="25" t="str">
        <f ca="1"/>
        <v>SEMINARA</v>
      </c>
      <c r="E186" s="35">
        <f ca="1"/>
        <v>101.247</v>
      </c>
      <c r="F186" s="102"/>
      <c r="G186" s="102">
        <f ca="1"/>
        <v>1004000</v>
      </c>
      <c r="H186" s="25">
        <f ca="1"/>
        <v>-331.32000000001261</v>
      </c>
      <c r="I186" s="37">
        <f ca="1"/>
        <v>0</v>
      </c>
      <c r="J186" s="37" t="str">
        <f ca="1"/>
        <v>BGN</v>
      </c>
      <c r="K186" s="35" t="str">
        <f ca="1"/>
        <v>EUR</v>
      </c>
      <c r="L186" s="102">
        <f ca="1"/>
        <v>-331.32000000001261</v>
      </c>
      <c r="M186" s="102">
        <f ca="1"/>
        <v>-331.32000000001261</v>
      </c>
      <c r="N186" s="19">
        <f ca="1"/>
        <v>101.214</v>
      </c>
      <c r="Q186" s="20" t="s">
        <v>867</v>
      </c>
      <c r="R186" s="24"/>
      <c r="S186" s="25">
        <f ca="1"/>
        <v>145</v>
      </c>
      <c r="T186" s="19" t="str">
        <f ca="1"/>
        <v>XS1044811591</v>
      </c>
      <c r="U186" s="25" t="str">
        <f ca="1"/>
        <v>ENBW 3 5/8 04/02/76</v>
      </c>
      <c r="V186" s="64">
        <f ca="1"/>
        <v>1004000</v>
      </c>
      <c r="W186" s="70">
        <f ca="1"/>
        <v>0.1</v>
      </c>
      <c r="X186" s="71">
        <f ca="1"/>
        <v>101.247</v>
      </c>
      <c r="Y186" s="71">
        <f ca="1"/>
        <v>101.214</v>
      </c>
      <c r="Z186" s="57" t="str">
        <f ca="1"/>
        <v>SEMINARA</v>
      </c>
      <c r="AA186" s="57" t="str">
        <f ca="1"/>
        <v>Bond Corporate</v>
      </c>
      <c r="AB186" s="56">
        <f ca="1"/>
        <v>-331.32000000001261</v>
      </c>
      <c r="AC186" s="56">
        <f ca="1">IFERROR(IF(ISBLANK(AB186),"-",AB186-_xlfn.XLOOKUP(T186,AI:AI,AJ:AJ)),"-")</f>
        <v>0</v>
      </c>
      <c r="AD186" s="56">
        <f ca="1">IFERROR(IF(ISBLANK(AB186),"-",AB186-_xlfn.XLOOKUP(T186,AO:AO,AP:AP)),"-")</f>
        <v>-10.040000000047996</v>
      </c>
      <c r="AE186" s="25"/>
      <c r="AF186" s="25"/>
      <c r="AG186" s="25"/>
      <c r="AH186" s="25"/>
      <c r="AI186" s="51" t="s">
        <v>313</v>
      </c>
      <c r="AJ186" s="80">
        <v>-331.32000000001261</v>
      </c>
      <c r="AK186" s="25"/>
      <c r="AL186" s="25"/>
      <c r="AM186" s="25"/>
      <c r="AN186" s="25"/>
      <c r="AO186" s="51" t="s">
        <v>313</v>
      </c>
      <c r="AP186" s="80">
        <v>-331.32000000001261</v>
      </c>
      <c r="AQ186" s="25"/>
      <c r="AR186" s="25"/>
      <c r="AS186" s="26"/>
      <c r="AT186" s="20" t="s">
        <v>867</v>
      </c>
      <c r="AW186" s="25"/>
      <c r="AX186" s="25"/>
      <c r="AY186" s="37"/>
      <c r="AZ186" s="25"/>
      <c r="BA186" s="35"/>
      <c r="BB186" s="25"/>
      <c r="BC186" s="25"/>
      <c r="BD186" s="25"/>
      <c r="BE186" s="25"/>
      <c r="BF186" s="25"/>
      <c r="BG186" s="25"/>
      <c r="BH186" s="25"/>
      <c r="BI186" s="37"/>
      <c r="BJ186" s="25"/>
      <c r="BK186" s="25"/>
    </row>
    <row r="187" spans="3:63" x14ac:dyDescent="0.35">
      <c r="C187" s="25" t="str">
        <f ca="1"/>
        <v>XS1713463559</v>
      </c>
      <c r="D187" s="25" t="str">
        <f ca="1"/>
        <v>SEMINARA</v>
      </c>
      <c r="E187" s="35">
        <f ca="1"/>
        <v>109.227</v>
      </c>
      <c r="F187" s="102"/>
      <c r="G187" s="102">
        <f ca="1"/>
        <v>-1100000</v>
      </c>
      <c r="H187" s="25">
        <f ca="1"/>
        <v>-2738.9999999999477</v>
      </c>
      <c r="I187" s="37">
        <f ca="1"/>
        <v>0</v>
      </c>
      <c r="J187" s="37" t="str">
        <f ca="1"/>
        <v>BGN</v>
      </c>
      <c r="K187" s="35" t="str">
        <f ca="1"/>
        <v>EUR</v>
      </c>
      <c r="L187" s="102">
        <f ca="1"/>
        <v>-2738.9999999999477</v>
      </c>
      <c r="M187" s="102">
        <f ca="1"/>
        <v>-2738.9999999999477</v>
      </c>
      <c r="N187" s="19">
        <f ca="1"/>
        <v>109.476</v>
      </c>
      <c r="Q187" s="20" t="s">
        <v>867</v>
      </c>
      <c r="R187" s="24"/>
      <c r="S187" s="25">
        <f ca="1"/>
        <v>146</v>
      </c>
      <c r="T187" s="19" t="str">
        <f ca="1"/>
        <v>XS1713463559</v>
      </c>
      <c r="U187" s="25" t="str">
        <f ca="1"/>
        <v>ENELIM 3 3/8 11/24/81</v>
      </c>
      <c r="V187" s="64">
        <f ca="1"/>
        <v>-1100000</v>
      </c>
      <c r="W187" s="70">
        <f ca="1"/>
        <v>-4.26</v>
      </c>
      <c r="X187" s="71">
        <f ca="1"/>
        <v>109.227</v>
      </c>
      <c r="Y187" s="71">
        <f ca="1"/>
        <v>109.476</v>
      </c>
      <c r="Z187" s="57" t="str">
        <f ca="1"/>
        <v>SEMINARA</v>
      </c>
      <c r="AA187" s="57" t="str">
        <f ca="1"/>
        <v>Bond Corporate</v>
      </c>
      <c r="AB187" s="56">
        <f ca="1"/>
        <v>-2738.9999999999477</v>
      </c>
      <c r="AC187" s="56">
        <f ca="1">IFERROR(IF(ISBLANK(AB187),"-",AB187-_xlfn.XLOOKUP(T187,AI:AI,AJ:AJ)),"-")</f>
        <v>0</v>
      </c>
      <c r="AD187" s="56">
        <f ca="1">IFERROR(IF(ISBLANK(AB187),"-",AB187-_xlfn.XLOOKUP(T187,AO:AO,AP:AP)),"-")</f>
        <v>-1110.9999999999902</v>
      </c>
      <c r="AE187" s="25"/>
      <c r="AF187" s="25"/>
      <c r="AG187" s="25"/>
      <c r="AH187" s="25"/>
      <c r="AI187" s="51" t="s">
        <v>929</v>
      </c>
      <c r="AJ187" s="80">
        <v>-2738.9999999999477</v>
      </c>
      <c r="AK187" s="25"/>
      <c r="AL187" s="25"/>
      <c r="AM187" s="25"/>
      <c r="AN187" s="25"/>
      <c r="AO187" s="51" t="s">
        <v>929</v>
      </c>
      <c r="AP187" s="80">
        <v>-2738.9999999999477</v>
      </c>
      <c r="AQ187" s="25"/>
      <c r="AR187" s="25"/>
      <c r="AS187" s="26"/>
      <c r="AT187" s="20" t="s">
        <v>867</v>
      </c>
      <c r="AW187" s="25"/>
      <c r="AX187" s="25"/>
      <c r="AY187" s="37"/>
      <c r="AZ187" s="25"/>
      <c r="BA187" s="35"/>
      <c r="BB187" s="25"/>
      <c r="BC187" s="25"/>
      <c r="BD187" s="25"/>
      <c r="BE187" s="25"/>
      <c r="BF187" s="25"/>
      <c r="BG187" s="25"/>
      <c r="BH187" s="25"/>
      <c r="BI187" s="37"/>
      <c r="BJ187" s="25"/>
      <c r="BK187" s="25"/>
    </row>
    <row r="188" spans="3:63" x14ac:dyDescent="0.35">
      <c r="C188" s="25" t="str">
        <f ca="1"/>
        <v>XS0954675129</v>
      </c>
      <c r="D188" s="25" t="str">
        <f ca="1"/>
        <v>SEMINARA</v>
      </c>
      <c r="E188" s="35">
        <f ca="1"/>
        <v>112.28400000000001</v>
      </c>
      <c r="F188" s="102"/>
      <c r="G188" s="102">
        <f ca="1"/>
        <v>1419000</v>
      </c>
      <c r="H188" s="25">
        <f ca="1"/>
        <v>468.26999999981604</v>
      </c>
      <c r="I188" s="37">
        <f ca="1"/>
        <v>0</v>
      </c>
      <c r="J188" s="37" t="str">
        <f ca="1"/>
        <v>BGN</v>
      </c>
      <c r="K188" s="35" t="str">
        <f ca="1"/>
        <v>EUR</v>
      </c>
      <c r="L188" s="102">
        <f ca="1"/>
        <v>468.26999999981604</v>
      </c>
      <c r="M188" s="102">
        <f ca="1"/>
        <v>468.26999999981604</v>
      </c>
      <c r="N188" s="19">
        <f ca="1"/>
        <v>112.31699999999999</v>
      </c>
      <c r="Q188" s="20" t="s">
        <v>867</v>
      </c>
      <c r="R188" s="24"/>
      <c r="S188" s="25">
        <f ca="1"/>
        <v>147</v>
      </c>
      <c r="T188" s="19" t="str">
        <f ca="1"/>
        <v>XS0954675129</v>
      </c>
      <c r="U188" s="25" t="str">
        <f ca="1"/>
        <v>ENELIM 5.451 01/10/74</v>
      </c>
      <c r="V188" s="64">
        <f ca="1"/>
        <v>1419000</v>
      </c>
      <c r="W188" s="70">
        <f ca="1"/>
        <v>2.93</v>
      </c>
      <c r="X188" s="71">
        <f ca="1"/>
        <v>112.28400000000001</v>
      </c>
      <c r="Y188" s="71">
        <f ca="1"/>
        <v>112.31699999999999</v>
      </c>
      <c r="Z188" s="57" t="str">
        <f ca="1"/>
        <v>SEMINARA</v>
      </c>
      <c r="AA188" s="57" t="str">
        <f ca="1"/>
        <v>Bond Corporate</v>
      </c>
      <c r="AB188" s="56">
        <f ca="1"/>
        <v>468.26999999981604</v>
      </c>
      <c r="AC188" s="56">
        <f ca="1">IFERROR(IF(ISBLANK(AB188),"-",AB188-_xlfn.XLOOKUP(T188,AI:AI,AJ:AJ)),"-")</f>
        <v>0</v>
      </c>
      <c r="AD188" s="56">
        <f ca="1">IFERROR(IF(ISBLANK(AB188),"-",AB188-_xlfn.XLOOKUP(T188,AO:AO,AP:AP)),"-")</f>
        <v>28.37999999993383</v>
      </c>
      <c r="AE188" s="25"/>
      <c r="AF188" s="25"/>
      <c r="AG188" s="25"/>
      <c r="AH188" s="25"/>
      <c r="AI188" s="51" t="s">
        <v>317</v>
      </c>
      <c r="AJ188" s="80">
        <v>468.26999999981604</v>
      </c>
      <c r="AK188" s="25"/>
      <c r="AL188" s="25"/>
      <c r="AM188" s="25"/>
      <c r="AN188" s="25"/>
      <c r="AO188" s="51" t="s">
        <v>317</v>
      </c>
      <c r="AP188" s="80">
        <v>468.26999999981604</v>
      </c>
      <c r="AQ188" s="25"/>
      <c r="AR188" s="25"/>
      <c r="AS188" s="26"/>
      <c r="AT188" s="20" t="s">
        <v>867</v>
      </c>
      <c r="AW188" s="25"/>
      <c r="AX188" s="25"/>
      <c r="AY188" s="37"/>
      <c r="AZ188" s="25"/>
      <c r="BA188" s="35"/>
      <c r="BB188" s="25"/>
      <c r="BC188" s="25"/>
      <c r="BD188" s="25"/>
      <c r="BE188" s="25"/>
      <c r="BF188" s="25"/>
      <c r="BG188" s="25"/>
      <c r="BH188" s="25"/>
      <c r="BI188" s="37"/>
      <c r="BJ188" s="25"/>
      <c r="BK188" s="25"/>
    </row>
    <row r="189" spans="3:63" x14ac:dyDescent="0.35">
      <c r="C189" s="25" t="str">
        <f ca="1"/>
        <v>XS1713463716</v>
      </c>
      <c r="D189" s="25" t="str">
        <f ca="1"/>
        <v>SEMINARA</v>
      </c>
      <c r="E189" s="35">
        <f ca="1"/>
        <v>103.28</v>
      </c>
      <c r="F189" s="102"/>
      <c r="G189" s="102">
        <f ca="1"/>
        <v>0</v>
      </c>
      <c r="H189" s="25">
        <f ca="1"/>
        <v>0</v>
      </c>
      <c r="I189" s="37">
        <f ca="1"/>
        <v>0</v>
      </c>
      <c r="J189" s="37" t="str">
        <f ca="1"/>
        <v>BGN</v>
      </c>
      <c r="K189" s="35" t="str">
        <f ca="1"/>
        <v>EUR</v>
      </c>
      <c r="L189" s="102">
        <f ca="1"/>
        <v>0</v>
      </c>
      <c r="M189" s="102">
        <f ca="1"/>
        <v>0</v>
      </c>
      <c r="N189" s="19">
        <f ca="1"/>
        <v>103.377</v>
      </c>
      <c r="Q189" s="20" t="s">
        <v>867</v>
      </c>
      <c r="R189" s="24"/>
      <c r="S189" s="25">
        <f ca="1"/>
        <v>148</v>
      </c>
      <c r="T189" s="19" t="str">
        <f ca="1"/>
        <v>XS1713463716</v>
      </c>
      <c r="U189" s="25" t="str">
        <f ca="1"/>
        <v>ENELIM 2 1/2 11/24/78</v>
      </c>
      <c r="V189" s="64">
        <f ca="1"/>
        <v>0</v>
      </c>
      <c r="W189" s="70">
        <f ca="1"/>
        <v>0</v>
      </c>
      <c r="X189" s="71">
        <f ca="1"/>
        <v>103.28</v>
      </c>
      <c r="Y189" s="71">
        <f ca="1"/>
        <v>103.377</v>
      </c>
      <c r="Z189" s="57" t="str">
        <f ca="1"/>
        <v>SEMINARA</v>
      </c>
      <c r="AA189" s="57" t="str">
        <f ca="1"/>
        <v>Bond Corporate</v>
      </c>
      <c r="AB189" s="56">
        <f ca="1"/>
        <v>0</v>
      </c>
      <c r="AC189" s="56">
        <f ca="1">IFERROR(IF(ISBLANK(AB189),"-",AB189-_xlfn.XLOOKUP(T189,AI:AI,AJ:AJ)),"-")</f>
        <v>0</v>
      </c>
      <c r="AD189" s="56">
        <f ca="1">IFERROR(IF(ISBLANK(AB189),"-",AB189-_xlfn.XLOOKUP(T189,AO:AO,AP:AP)),"-")</f>
        <v>0</v>
      </c>
      <c r="AE189" s="25"/>
      <c r="AF189" s="25"/>
      <c r="AG189" s="25"/>
      <c r="AH189" s="25"/>
      <c r="AI189" s="51" t="s">
        <v>1363</v>
      </c>
      <c r="AJ189" s="80">
        <v>0</v>
      </c>
      <c r="AK189" s="25"/>
      <c r="AL189" s="25"/>
      <c r="AM189" s="25"/>
      <c r="AN189" s="25"/>
      <c r="AO189" s="51" t="s">
        <v>1363</v>
      </c>
      <c r="AP189" s="80">
        <v>0</v>
      </c>
      <c r="AQ189" s="25"/>
      <c r="AR189" s="25"/>
      <c r="AS189" s="26"/>
      <c r="AT189" s="20" t="s">
        <v>867</v>
      </c>
      <c r="AW189" s="25"/>
      <c r="AX189" s="25"/>
      <c r="AY189" s="37"/>
      <c r="AZ189" s="25"/>
      <c r="BA189" s="35"/>
      <c r="BB189" s="25"/>
      <c r="BC189" s="25"/>
      <c r="BD189" s="25"/>
      <c r="BE189" s="25"/>
      <c r="BF189" s="25"/>
      <c r="BG189" s="25"/>
      <c r="BH189" s="25"/>
      <c r="BI189" s="37"/>
      <c r="BJ189" s="25"/>
      <c r="BK189" s="25"/>
    </row>
    <row r="190" spans="3:63" x14ac:dyDescent="0.35">
      <c r="C190" s="25" t="str">
        <f ca="1"/>
        <v>XS1014987355</v>
      </c>
      <c r="D190" s="25" t="str">
        <f ca="1"/>
        <v>SEMINARA</v>
      </c>
      <c r="E190" s="35">
        <f ca="1"/>
        <v>104.361</v>
      </c>
      <c r="F190" s="102"/>
      <c r="G190" s="102">
        <f ca="1"/>
        <v>5394000</v>
      </c>
      <c r="H190" s="25">
        <f ca="1"/>
        <v>-107.8800000005151</v>
      </c>
      <c r="I190" s="37">
        <f ca="1"/>
        <v>0</v>
      </c>
      <c r="J190" s="37" t="str">
        <f ca="1"/>
        <v>BGN</v>
      </c>
      <c r="K190" s="35" t="str">
        <f ca="1"/>
        <v>GBP</v>
      </c>
      <c r="L190" s="102">
        <f ca="1"/>
        <v>-107.8800000005151</v>
      </c>
      <c r="M190" s="102">
        <f ca="1"/>
        <v>-120.426444000575</v>
      </c>
      <c r="N190" s="19">
        <f ca="1"/>
        <v>104.35899999999999</v>
      </c>
      <c r="Q190" s="20" t="s">
        <v>867</v>
      </c>
      <c r="R190" s="24"/>
      <c r="S190" s="25">
        <f ca="1"/>
        <v>149</v>
      </c>
      <c r="T190" s="19" t="str">
        <f ca="1"/>
        <v>XS1014987355</v>
      </c>
      <c r="U190" s="25" t="str">
        <f ca="1"/>
        <v>ENELIM 6 5/8 09/15/76</v>
      </c>
      <c r="V190" s="64">
        <f ca="1"/>
        <v>5394000</v>
      </c>
      <c r="W190" s="70">
        <f ca="1"/>
        <v>2.04</v>
      </c>
      <c r="X190" s="71">
        <f ca="1"/>
        <v>104.361</v>
      </c>
      <c r="Y190" s="71">
        <f ca="1"/>
        <v>104.35899999999999</v>
      </c>
      <c r="Z190" s="57" t="str">
        <f ca="1"/>
        <v>SEMINARA</v>
      </c>
      <c r="AA190" s="57" t="str">
        <f ca="1"/>
        <v>Bond Corporate</v>
      </c>
      <c r="AB190" s="56">
        <f ca="1"/>
        <v>-120.426444000575</v>
      </c>
      <c r="AC190" s="56">
        <f ca="1">IFERROR(IF(ISBLANK(AB190),"-",AB190-_xlfn.XLOOKUP(T190,AI:AI,AJ:AJ)),"-")</f>
        <v>3.2364000000157489E-2</v>
      </c>
      <c r="AD190" s="56">
        <f ca="1">IFERROR(IF(ISBLANK(AB190),"-",AB190-_xlfn.XLOOKUP(T190,AO:AO,AP:AP)),"-")</f>
        <v>6.4728000000314978E-2</v>
      </c>
      <c r="AE190" s="25"/>
      <c r="AF190" s="25"/>
      <c r="AG190" s="25"/>
      <c r="AH190" s="25"/>
      <c r="AI190" s="51" t="s">
        <v>319</v>
      </c>
      <c r="AJ190" s="80">
        <v>-120.426444000575</v>
      </c>
      <c r="AK190" s="25"/>
      <c r="AL190" s="25"/>
      <c r="AM190" s="25"/>
      <c r="AN190" s="25"/>
      <c r="AO190" s="51" t="s">
        <v>319</v>
      </c>
      <c r="AP190" s="80">
        <v>-120.45880800057516</v>
      </c>
      <c r="AQ190" s="25"/>
      <c r="AR190" s="25"/>
      <c r="AS190" s="26"/>
      <c r="AT190" s="20" t="s">
        <v>867</v>
      </c>
      <c r="AW190" s="25"/>
      <c r="AX190" s="25"/>
      <c r="AY190" s="37"/>
      <c r="AZ190" s="25"/>
      <c r="BA190" s="35"/>
      <c r="BB190" s="25"/>
      <c r="BC190" s="25"/>
      <c r="BD190" s="25"/>
      <c r="BE190" s="25"/>
      <c r="BF190" s="25"/>
      <c r="BG190" s="25"/>
      <c r="BH190" s="25"/>
      <c r="BI190" s="37"/>
      <c r="BJ190" s="25"/>
      <c r="BK190" s="25"/>
    </row>
    <row r="191" spans="3:63" x14ac:dyDescent="0.35">
      <c r="C191" s="25" t="str">
        <f ca="1"/>
        <v>FR0013431244</v>
      </c>
      <c r="D191" s="25" t="str">
        <f ca="1"/>
        <v>SEMINARA</v>
      </c>
      <c r="E191" s="35">
        <f ca="1"/>
        <v>101.23</v>
      </c>
      <c r="F191" s="102"/>
      <c r="G191" s="102">
        <f ca="1"/>
        <v>1400000</v>
      </c>
      <c r="H191" s="25">
        <f ca="1"/>
        <v>69.999999999936335</v>
      </c>
      <c r="I191" s="37">
        <f ca="1"/>
        <v>0</v>
      </c>
      <c r="J191" s="37" t="str">
        <f ca="1"/>
        <v>BGN</v>
      </c>
      <c r="K191" s="35" t="str">
        <f ca="1"/>
        <v>EUR</v>
      </c>
      <c r="L191" s="102">
        <f ca="1"/>
        <v>69.999999999936335</v>
      </c>
      <c r="M191" s="102">
        <f ca="1"/>
        <v>69.999999999936335</v>
      </c>
      <c r="N191" s="19">
        <f ca="1"/>
        <v>101.235</v>
      </c>
      <c r="Q191" s="20" t="s">
        <v>867</v>
      </c>
      <c r="R191" s="24"/>
      <c r="S191" s="25">
        <f ca="1"/>
        <v>150</v>
      </c>
      <c r="T191" s="19" t="str">
        <f ca="1"/>
        <v>FR0013431244</v>
      </c>
      <c r="U191" s="25" t="str">
        <f ca="1"/>
        <v>ENGIFP 1 5/8 PERP</v>
      </c>
      <c r="V191" s="64">
        <f ca="1"/>
        <v>1400000</v>
      </c>
      <c r="W191" s="70">
        <f ca="1"/>
        <v>3.5</v>
      </c>
      <c r="X191" s="71">
        <f ca="1"/>
        <v>101.23</v>
      </c>
      <c r="Y191" s="71">
        <f ca="1"/>
        <v>101.235</v>
      </c>
      <c r="Z191" s="57" t="str">
        <f ca="1"/>
        <v>SEMINARA</v>
      </c>
      <c r="AA191" s="57" t="str">
        <f ca="1"/>
        <v>Bond Corporate</v>
      </c>
      <c r="AB191" s="56">
        <f ca="1"/>
        <v>69.999999999936335</v>
      </c>
      <c r="AC191" s="56">
        <f ca="1">IFERROR(IF(ISBLANK(AB191),"-",AB191-_xlfn.XLOOKUP(T191,AI:AI,AJ:AJ)),"-")</f>
        <v>0</v>
      </c>
      <c r="AD191" s="56">
        <f ca="1">IFERROR(IF(ISBLANK(AB191),"-",AB191-_xlfn.XLOOKUP(T191,AO:AO,AP:AP)),"-")</f>
        <v>0</v>
      </c>
      <c r="AE191" s="25"/>
      <c r="AF191" s="25"/>
      <c r="AG191" s="25"/>
      <c r="AH191" s="25"/>
      <c r="AI191" s="51" t="s">
        <v>321</v>
      </c>
      <c r="AJ191" s="80">
        <v>69.999999999936335</v>
      </c>
      <c r="AK191" s="25"/>
      <c r="AL191" s="25"/>
      <c r="AM191" s="25"/>
      <c r="AN191" s="25"/>
      <c r="AO191" s="51" t="s">
        <v>321</v>
      </c>
      <c r="AP191" s="80">
        <v>69.999999999936335</v>
      </c>
      <c r="AQ191" s="25"/>
      <c r="AR191" s="25"/>
      <c r="AS191" s="26"/>
      <c r="AT191" s="20" t="s">
        <v>867</v>
      </c>
      <c r="AW191" s="25"/>
      <c r="AX191" s="25"/>
      <c r="AY191" s="37"/>
      <c r="AZ191" s="25"/>
      <c r="BA191" s="35"/>
      <c r="BB191" s="25"/>
      <c r="BC191" s="25"/>
      <c r="BD191" s="25"/>
      <c r="BE191" s="25"/>
      <c r="BF191" s="25"/>
      <c r="BG191" s="25"/>
      <c r="BH191" s="25"/>
      <c r="BI191" s="37"/>
      <c r="BJ191" s="25"/>
      <c r="BK191" s="25"/>
    </row>
    <row r="192" spans="3:63" x14ac:dyDescent="0.35">
      <c r="C192" s="25" t="str">
        <f ca="1"/>
        <v>FR0013398229</v>
      </c>
      <c r="D192" s="25" t="str">
        <f ca="1"/>
        <v>SEMINARA</v>
      </c>
      <c r="E192" s="35">
        <f ca="1"/>
        <v>108.46</v>
      </c>
      <c r="F192" s="102"/>
      <c r="G192" s="102">
        <f ca="1"/>
        <v>0</v>
      </c>
      <c r="H192" s="25">
        <f ca="1"/>
        <v>0</v>
      </c>
      <c r="I192" s="37">
        <f ca="1"/>
        <v>0</v>
      </c>
      <c r="J192" s="37" t="str">
        <f ca="1"/>
        <v>BGN</v>
      </c>
      <c r="K192" s="35" t="str">
        <f ca="1"/>
        <v>EUR</v>
      </c>
      <c r="L192" s="102">
        <f ca="1"/>
        <v>0</v>
      </c>
      <c r="M192" s="102">
        <f ca="1"/>
        <v>0</v>
      </c>
      <c r="N192" s="19">
        <f ca="1"/>
        <v>108.503</v>
      </c>
      <c r="Q192" s="20" t="s">
        <v>867</v>
      </c>
      <c r="R192" s="24"/>
      <c r="S192" s="25">
        <f ca="1"/>
        <v>151</v>
      </c>
      <c r="T192" s="19" t="str">
        <f ca="1"/>
        <v>FR0013398229</v>
      </c>
      <c r="U192" s="25" t="str">
        <f ca="1"/>
        <v>ENGIFP 3 1/4 PERP</v>
      </c>
      <c r="V192" s="64">
        <f ca="1"/>
        <v>0</v>
      </c>
      <c r="W192" s="70">
        <f ca="1"/>
        <v>0</v>
      </c>
      <c r="X192" s="71">
        <f ca="1"/>
        <v>108.46</v>
      </c>
      <c r="Y192" s="71">
        <f ca="1"/>
        <v>108.503</v>
      </c>
      <c r="Z192" s="57" t="str">
        <f ca="1"/>
        <v>SEMINARA</v>
      </c>
      <c r="AA192" s="57" t="str">
        <f ca="1"/>
        <v>Bond Corporate</v>
      </c>
      <c r="AB192" s="56">
        <f ca="1"/>
        <v>0</v>
      </c>
      <c r="AC192" s="56">
        <f ca="1">IFERROR(IF(ISBLANK(AB192),"-",AB192-_xlfn.XLOOKUP(T192,AI:AI,AJ:AJ)),"-")</f>
        <v>0</v>
      </c>
      <c r="AD192" s="56">
        <f ca="1">IFERROR(IF(ISBLANK(AB192),"-",AB192-_xlfn.XLOOKUP(T192,AO:AO,AP:AP)),"-")</f>
        <v>0</v>
      </c>
      <c r="AE192" s="25"/>
      <c r="AF192" s="25"/>
      <c r="AG192" s="25"/>
      <c r="AH192" s="25"/>
      <c r="AI192" s="51" t="s">
        <v>323</v>
      </c>
      <c r="AJ192" s="80">
        <v>0</v>
      </c>
      <c r="AK192" s="25"/>
      <c r="AL192" s="25"/>
      <c r="AM192" s="25"/>
      <c r="AN192" s="25"/>
      <c r="AO192" s="51" t="s">
        <v>323</v>
      </c>
      <c r="AP192" s="80">
        <v>0</v>
      </c>
      <c r="AQ192" s="25"/>
      <c r="AR192" s="25"/>
      <c r="AS192" s="26"/>
      <c r="AT192" s="20" t="s">
        <v>867</v>
      </c>
      <c r="AW192" s="25"/>
      <c r="AX192" s="25"/>
      <c r="AY192" s="37"/>
      <c r="AZ192" s="25"/>
      <c r="BA192" s="35"/>
      <c r="BB192" s="25"/>
      <c r="BC192" s="25"/>
      <c r="BD192" s="25"/>
      <c r="BE192" s="25"/>
      <c r="BF192" s="25"/>
      <c r="BG192" s="25"/>
      <c r="BH192" s="25"/>
      <c r="BI192" s="37"/>
      <c r="BJ192" s="25"/>
      <c r="BK192" s="25"/>
    </row>
    <row r="193" spans="3:63" x14ac:dyDescent="0.35">
      <c r="C193" s="25" t="str">
        <f ca="1"/>
        <v>XS2242931603</v>
      </c>
      <c r="D193" s="25" t="str">
        <f ca="1"/>
        <v>SEMINARA</v>
      </c>
      <c r="E193" s="35">
        <f ca="1"/>
        <v>103.354</v>
      </c>
      <c r="F193" s="102"/>
      <c r="G193" s="102">
        <f ca="1"/>
        <v>12426000</v>
      </c>
      <c r="H193" s="25">
        <f ca="1"/>
        <v>25349.040000000958</v>
      </c>
      <c r="I193" s="37">
        <f ca="1"/>
        <v>0</v>
      </c>
      <c r="J193" s="37" t="str">
        <f ca="1"/>
        <v>CBBT</v>
      </c>
      <c r="K193" s="35" t="str">
        <f ca="1"/>
        <v>EUR</v>
      </c>
      <c r="L193" s="102">
        <f ca="1"/>
        <v>25349.040000000958</v>
      </c>
      <c r="M193" s="102">
        <f ca="1"/>
        <v>25349.040000000958</v>
      </c>
      <c r="N193" s="19">
        <f ca="1"/>
        <v>103.55800000000001</v>
      </c>
      <c r="Q193" s="20" t="s">
        <v>867</v>
      </c>
      <c r="R193" s="24"/>
      <c r="S193" s="25">
        <f ca="1"/>
        <v>152</v>
      </c>
      <c r="T193" s="19" t="str">
        <f ca="1"/>
        <v>XS2242931603</v>
      </c>
      <c r="U193" s="25" t="str">
        <f ca="1"/>
        <v>ENIIM 3 3/8 PERP</v>
      </c>
      <c r="V193" s="64">
        <f ca="1"/>
        <v>12426000</v>
      </c>
      <c r="W193" s="70">
        <f ca="1"/>
        <v>100.33</v>
      </c>
      <c r="X193" s="71">
        <f ca="1"/>
        <v>103.354</v>
      </c>
      <c r="Y193" s="71">
        <f ca="1"/>
        <v>103.55800000000001</v>
      </c>
      <c r="Z193" s="57" t="str">
        <f ca="1"/>
        <v>SEMINARA</v>
      </c>
      <c r="AA193" s="57" t="str">
        <f ca="1"/>
        <v>Bond Corporate</v>
      </c>
      <c r="AB193" s="56">
        <f ca="1"/>
        <v>25349.040000000958</v>
      </c>
      <c r="AC193" s="56">
        <f ca="1">IFERROR(IF(ISBLANK(AB193),"-",AB193-_xlfn.XLOOKUP(T193,AI:AI,AJ:AJ)),"-")</f>
        <v>0</v>
      </c>
      <c r="AD193" s="56">
        <f ca="1">IFERROR(IF(ISBLANK(AB193),"-",AB193-_xlfn.XLOOKUP(T193,AO:AO,AP:AP)),"-")</f>
        <v>-1863.8999999983062</v>
      </c>
      <c r="AE193" s="25"/>
      <c r="AF193" s="25"/>
      <c r="AG193" s="25"/>
      <c r="AH193" s="25"/>
      <c r="AI193" s="51" t="s">
        <v>327</v>
      </c>
      <c r="AJ193" s="80">
        <v>25349.040000000958</v>
      </c>
      <c r="AK193" s="25"/>
      <c r="AL193" s="25"/>
      <c r="AM193" s="25"/>
      <c r="AN193" s="25"/>
      <c r="AO193" s="51" t="s">
        <v>327</v>
      </c>
      <c r="AP193" s="80">
        <v>25349.040000000958</v>
      </c>
      <c r="AQ193" s="25"/>
      <c r="AR193" s="25"/>
      <c r="AS193" s="26"/>
      <c r="AT193" s="20" t="s">
        <v>867</v>
      </c>
      <c r="AW193" s="25"/>
      <c r="AX193" s="25"/>
      <c r="AY193" s="37"/>
      <c r="AZ193" s="25"/>
      <c r="BA193" s="35"/>
      <c r="BB193" s="25"/>
      <c r="BC193" s="25"/>
      <c r="BD193" s="25"/>
      <c r="BE193" s="25"/>
      <c r="BF193" s="25"/>
      <c r="BG193" s="25"/>
      <c r="BH193" s="25"/>
      <c r="BI193" s="37"/>
      <c r="BJ193" s="25"/>
      <c r="BK193" s="25"/>
    </row>
    <row r="194" spans="3:63" x14ac:dyDescent="0.35">
      <c r="C194" s="25" t="str">
        <f ca="1"/>
        <v>XS2242929532</v>
      </c>
      <c r="D194" s="25" t="str">
        <f ca="1"/>
        <v>SEMINARA</v>
      </c>
      <c r="E194" s="35">
        <f ca="1"/>
        <v>102.706</v>
      </c>
      <c r="F194" s="102"/>
      <c r="G194" s="102">
        <f ca="1"/>
        <v>-15471000</v>
      </c>
      <c r="H194" s="25">
        <f ca="1"/>
        <v>-15780.420000000599</v>
      </c>
      <c r="I194" s="37">
        <f ca="1"/>
        <v>356.00000000002296</v>
      </c>
      <c r="J194" s="37" t="str">
        <f ca="1"/>
        <v>CBBT</v>
      </c>
      <c r="K194" s="35" t="str">
        <f ca="1"/>
        <v>EUR</v>
      </c>
      <c r="L194" s="102">
        <f ca="1"/>
        <v>-15424.420000000575</v>
      </c>
      <c r="M194" s="102">
        <f ca="1"/>
        <v>-15424.420000000575</v>
      </c>
      <c r="N194" s="19">
        <f ca="1"/>
        <v>102.80800000000001</v>
      </c>
      <c r="Q194" s="20" t="s">
        <v>867</v>
      </c>
      <c r="R194" s="24"/>
      <c r="S194" s="25">
        <f ca="1"/>
        <v>153</v>
      </c>
      <c r="T194" s="19" t="str">
        <f ca="1"/>
        <v>XS2242929532</v>
      </c>
      <c r="U194" s="25" t="str">
        <f ca="1"/>
        <v>ENIIM 2 5/8 PERP</v>
      </c>
      <c r="V194" s="64">
        <f ca="1"/>
        <v>-15271000</v>
      </c>
      <c r="W194" s="70">
        <f ca="1"/>
        <v>-57.79</v>
      </c>
      <c r="X194" s="71">
        <f ca="1"/>
        <v>102.706</v>
      </c>
      <c r="Y194" s="71">
        <f ca="1"/>
        <v>102.80800000000001</v>
      </c>
      <c r="Z194" s="57" t="str">
        <f ca="1"/>
        <v>SEMINARA</v>
      </c>
      <c r="AA194" s="57" t="str">
        <f ca="1"/>
        <v>Bond Corporate</v>
      </c>
      <c r="AB194" s="56">
        <f ca="1"/>
        <v>-15424.420000000575</v>
      </c>
      <c r="AC194" s="56">
        <f ca="1">IFERROR(IF(ISBLANK(AB194),"-",AB194-_xlfn.XLOOKUP(T194,AI:AI,AJ:AJ)),"-")</f>
        <v>0</v>
      </c>
      <c r="AD194" s="56">
        <f ca="1">IFERROR(IF(ISBLANK(AB194),"-",AB194-_xlfn.XLOOKUP(T194,AO:AO,AP:AP)),"-")</f>
        <v>1221.6799999993218</v>
      </c>
      <c r="AE194" s="25"/>
      <c r="AF194" s="25"/>
      <c r="AG194" s="25"/>
      <c r="AH194" s="25"/>
      <c r="AI194" s="51" t="s">
        <v>329</v>
      </c>
      <c r="AJ194" s="80">
        <v>-15424.420000000575</v>
      </c>
      <c r="AK194" s="25"/>
      <c r="AL194" s="25"/>
      <c r="AM194" s="25"/>
      <c r="AN194" s="25"/>
      <c r="AO194" s="51" t="s">
        <v>329</v>
      </c>
      <c r="AP194" s="80">
        <v>-15424.420000000575</v>
      </c>
      <c r="AQ194" s="25"/>
      <c r="AR194" s="25"/>
      <c r="AS194" s="26"/>
      <c r="AT194" s="20" t="s">
        <v>867</v>
      </c>
      <c r="AW194" s="25"/>
      <c r="AX194" s="25"/>
      <c r="AY194" s="37"/>
      <c r="AZ194" s="25"/>
      <c r="BA194" s="35"/>
      <c r="BB194" s="25"/>
      <c r="BC194" s="25"/>
      <c r="BD194" s="25"/>
      <c r="BE194" s="25"/>
      <c r="BF194" s="25"/>
      <c r="BG194" s="25"/>
      <c r="BH194" s="25"/>
      <c r="BI194" s="37"/>
      <c r="BJ194" s="25"/>
      <c r="BK194" s="25"/>
    </row>
    <row r="195" spans="3:63" x14ac:dyDescent="0.35">
      <c r="C195" s="25" t="str">
        <f ca="1"/>
        <v>FR0013331949</v>
      </c>
      <c r="D195" s="25" t="str">
        <f ca="1"/>
        <v>SEMINARA</v>
      </c>
      <c r="E195" s="35">
        <f ca="1"/>
        <v>106.259</v>
      </c>
      <c r="F195" s="102"/>
      <c r="G195" s="102">
        <f ca="1"/>
        <v>4500000</v>
      </c>
      <c r="H195" s="25">
        <f ca="1"/>
        <v>7830.0000000002965</v>
      </c>
      <c r="I195" s="37">
        <f ca="1"/>
        <v>2789.9999999998927</v>
      </c>
      <c r="J195" s="37" t="str">
        <f ca="1"/>
        <v>BGN</v>
      </c>
      <c r="K195" s="35" t="str">
        <f ca="1"/>
        <v>EUR</v>
      </c>
      <c r="L195" s="102">
        <f ca="1"/>
        <v>10620.000000000189</v>
      </c>
      <c r="M195" s="102">
        <f ca="1"/>
        <v>10620.000000000189</v>
      </c>
      <c r="N195" s="19">
        <f ca="1"/>
        <v>106.43300000000001</v>
      </c>
      <c r="Q195" s="20" t="s">
        <v>867</v>
      </c>
      <c r="R195" s="24"/>
      <c r="S195" s="25">
        <f ca="1"/>
        <v>154</v>
      </c>
      <c r="T195" s="19" t="str">
        <f ca="1"/>
        <v>FR0013331949</v>
      </c>
      <c r="U195" s="25" t="str">
        <f ca="1"/>
        <v>FRPTT 3 1/8 PERP</v>
      </c>
      <c r="V195" s="64">
        <f ca="1"/>
        <v>0</v>
      </c>
      <c r="W195" s="70">
        <f ca="1"/>
        <v>0</v>
      </c>
      <c r="X195" s="71">
        <f ca="1"/>
        <v>106.259</v>
      </c>
      <c r="Y195" s="71">
        <f ca="1"/>
        <v>106.43300000000001</v>
      </c>
      <c r="Z195" s="57" t="str">
        <f ca="1"/>
        <v>SEMINARA</v>
      </c>
      <c r="AA195" s="57" t="str">
        <f ca="1"/>
        <v>Bond Corporate</v>
      </c>
      <c r="AB195" s="56">
        <f ca="1"/>
        <v>10620.000000000189</v>
      </c>
      <c r="AC195" s="56">
        <f ca="1">IFERROR(IF(ISBLANK(AB195),"-",AB195-_xlfn.XLOOKUP(T195,AI:AI,AJ:AJ)),"-")</f>
        <v>0</v>
      </c>
      <c r="AD195" s="56">
        <f ca="1">IFERROR(IF(ISBLANK(AB195),"-",AB195-_xlfn.XLOOKUP(T195,AO:AO,AP:AP)),"-")</f>
        <v>7830.0000000002965</v>
      </c>
      <c r="AE195" s="25"/>
      <c r="AF195" s="25"/>
      <c r="AG195" s="25"/>
      <c r="AH195" s="25"/>
      <c r="AI195" s="51" t="s">
        <v>331</v>
      </c>
      <c r="AJ195" s="80">
        <v>10620.000000000189</v>
      </c>
      <c r="AK195" s="25"/>
      <c r="AL195" s="25"/>
      <c r="AM195" s="25"/>
      <c r="AN195" s="25"/>
      <c r="AO195" s="51" t="s">
        <v>331</v>
      </c>
      <c r="AP195" s="80">
        <v>10620.000000000189</v>
      </c>
      <c r="AQ195" s="25"/>
      <c r="AR195" s="25"/>
      <c r="AS195" s="26"/>
      <c r="AT195" s="20" t="s">
        <v>867</v>
      </c>
      <c r="AW195" s="25"/>
      <c r="AX195" s="25"/>
      <c r="AY195" s="37"/>
      <c r="AZ195" s="25"/>
      <c r="BA195" s="35"/>
      <c r="BB195" s="25"/>
      <c r="BC195" s="25"/>
      <c r="BD195" s="25"/>
      <c r="BE195" s="25"/>
      <c r="BF195" s="25"/>
      <c r="BG195" s="25"/>
      <c r="BH195" s="25"/>
      <c r="BI195" s="37"/>
      <c r="BJ195" s="25"/>
      <c r="BK195" s="25"/>
    </row>
    <row r="196" spans="3:63" x14ac:dyDescent="0.35">
      <c r="C196" s="25" t="str">
        <f ca="1"/>
        <v>XS2125121769</v>
      </c>
      <c r="D196" s="25" t="str">
        <f ca="1"/>
        <v>SEMINARA</v>
      </c>
      <c r="E196" s="35">
        <f ca="1"/>
        <v>99.995000000000005</v>
      </c>
      <c r="F196" s="102"/>
      <c r="G196" s="102">
        <f ca="1"/>
        <v>0</v>
      </c>
      <c r="H196" s="25">
        <f ca="1"/>
        <v>0</v>
      </c>
      <c r="I196" s="37">
        <f ca="1"/>
        <v>0</v>
      </c>
      <c r="J196" s="37" t="str">
        <f ca="1"/>
        <v>BGN</v>
      </c>
      <c r="K196" s="35" t="str">
        <f ca="1"/>
        <v>EUR</v>
      </c>
      <c r="L196" s="102">
        <f ca="1"/>
        <v>0</v>
      </c>
      <c r="M196" s="102">
        <f ca="1"/>
        <v>0</v>
      </c>
      <c r="N196" s="19">
        <f ca="1"/>
        <v>100.753</v>
      </c>
      <c r="Q196" s="20" t="s">
        <v>867</v>
      </c>
      <c r="R196" s="24"/>
      <c r="S196" s="25">
        <f ca="1"/>
        <v>155</v>
      </c>
      <c r="T196" s="19" t="str">
        <f ca="1"/>
        <v>XS2125121769</v>
      </c>
      <c r="U196" s="25" t="str">
        <f ca="1"/>
        <v>HEIBOS 3 3/8 PERP</v>
      </c>
      <c r="V196" s="64">
        <f ca="1"/>
        <v>0</v>
      </c>
      <c r="W196" s="70">
        <f ca="1"/>
        <v>0</v>
      </c>
      <c r="X196" s="71">
        <f ca="1"/>
        <v>99.995000000000005</v>
      </c>
      <c r="Y196" s="71">
        <f ca="1"/>
        <v>100.753</v>
      </c>
      <c r="Z196" s="57" t="str">
        <f ca="1"/>
        <v>SEMINARA</v>
      </c>
      <c r="AA196" s="57" t="str">
        <f ca="1"/>
        <v>Bond Corporate</v>
      </c>
      <c r="AB196" s="56">
        <f ca="1"/>
        <v>0</v>
      </c>
      <c r="AC196" s="56">
        <f ca="1">IFERROR(IF(ISBLANK(AB196),"-",AB196-_xlfn.XLOOKUP(T196,AI:AI,AJ:AJ)),"-")</f>
        <v>0</v>
      </c>
      <c r="AD196" s="56">
        <f ca="1">IFERROR(IF(ISBLANK(AB196),"-",AB196-_xlfn.XLOOKUP(T196,AO:AO,AP:AP)),"-")</f>
        <v>0</v>
      </c>
      <c r="AE196" s="25"/>
      <c r="AF196" s="25"/>
      <c r="AG196" s="25"/>
      <c r="AH196" s="25"/>
      <c r="AI196" s="51" t="s">
        <v>334</v>
      </c>
      <c r="AJ196" s="80">
        <v>0</v>
      </c>
      <c r="AK196" s="25"/>
      <c r="AL196" s="25"/>
      <c r="AM196" s="25"/>
      <c r="AN196" s="25"/>
      <c r="AO196" s="51" t="s">
        <v>334</v>
      </c>
      <c r="AP196" s="80">
        <v>0</v>
      </c>
      <c r="AQ196" s="25"/>
      <c r="AR196" s="25"/>
      <c r="AS196" s="26"/>
      <c r="AT196" s="20" t="s">
        <v>867</v>
      </c>
      <c r="AW196" s="25"/>
      <c r="AX196" s="25"/>
      <c r="AY196" s="37"/>
      <c r="AZ196" s="25"/>
      <c r="BA196" s="35"/>
      <c r="BB196" s="25"/>
      <c r="BC196" s="25"/>
      <c r="BD196" s="25"/>
      <c r="BE196" s="25"/>
      <c r="BF196" s="25"/>
      <c r="BG196" s="25"/>
      <c r="BH196" s="25"/>
      <c r="BI196" s="37"/>
      <c r="BJ196" s="25"/>
      <c r="BK196" s="25"/>
    </row>
    <row r="197" spans="3:63" x14ac:dyDescent="0.35">
      <c r="C197" s="25" t="str">
        <f ca="1"/>
        <v>XS2244941147</v>
      </c>
      <c r="D197" s="25" t="str">
        <f ca="1"/>
        <v>SEMINARA</v>
      </c>
      <c r="E197" s="35">
        <f ca="1"/>
        <v>101.73699999999999</v>
      </c>
      <c r="F197" s="102"/>
      <c r="G197" s="102">
        <f ca="1"/>
        <v>0</v>
      </c>
      <c r="H197" s="25">
        <f ca="1"/>
        <v>0</v>
      </c>
      <c r="I197" s="37">
        <f ca="1"/>
        <v>5111.9999999999663</v>
      </c>
      <c r="J197" s="37" t="str">
        <f ca="1"/>
        <v>BGN</v>
      </c>
      <c r="K197" s="35" t="str">
        <f ca="1"/>
        <v>EUR</v>
      </c>
      <c r="L197" s="102">
        <f ca="1"/>
        <v>5111.9999999999663</v>
      </c>
      <c r="M197" s="102">
        <f ca="1"/>
        <v>5111.9999999999663</v>
      </c>
      <c r="N197" s="19">
        <f ca="1"/>
        <v>103.096</v>
      </c>
      <c r="Q197" s="20" t="s">
        <v>867</v>
      </c>
      <c r="R197" s="24"/>
      <c r="S197" s="25">
        <f ca="1"/>
        <v>156</v>
      </c>
      <c r="T197" s="19" t="str">
        <f ca="1"/>
        <v>XS2244941147</v>
      </c>
      <c r="U197" s="25" t="str">
        <f ca="1"/>
        <v>IBESM 2 1/4 PERP</v>
      </c>
      <c r="V197" s="64">
        <f ca="1"/>
        <v>-800000</v>
      </c>
      <c r="W197" s="70">
        <f ca="1"/>
        <v>-4.33</v>
      </c>
      <c r="X197" s="71">
        <f ca="1"/>
        <v>101.73699999999999</v>
      </c>
      <c r="Y197" s="71">
        <f ca="1"/>
        <v>103.096</v>
      </c>
      <c r="Z197" s="57" t="str">
        <f ca="1"/>
        <v>SEMINARA</v>
      </c>
      <c r="AA197" s="57" t="str">
        <f ca="1"/>
        <v>Bond Corporate</v>
      </c>
      <c r="AB197" s="56">
        <f ca="1"/>
        <v>5111.9999999999663</v>
      </c>
      <c r="AC197" s="56">
        <f ca="1">IFERROR(IF(ISBLANK(AB197),"-",AB197-_xlfn.XLOOKUP(T197,AI:AI,AJ:AJ)),"-")</f>
        <v>0</v>
      </c>
      <c r="AD197" s="56">
        <f ca="1">IFERROR(IF(ISBLANK(AB197),"-",AB197-_xlfn.XLOOKUP(T197,AO:AO,AP:AP)),"-")</f>
        <v>-24.000000000000909</v>
      </c>
      <c r="AE197" s="25"/>
      <c r="AF197" s="25"/>
      <c r="AG197" s="25"/>
      <c r="AH197" s="25"/>
      <c r="AI197" s="51" t="s">
        <v>337</v>
      </c>
      <c r="AJ197" s="80">
        <v>5111.9999999999663</v>
      </c>
      <c r="AK197" s="25"/>
      <c r="AL197" s="25"/>
      <c r="AM197" s="25"/>
      <c r="AN197" s="25"/>
      <c r="AO197" s="51" t="s">
        <v>337</v>
      </c>
      <c r="AP197" s="80">
        <v>5111.9999999999663</v>
      </c>
      <c r="AQ197" s="25"/>
      <c r="AR197" s="25"/>
      <c r="AS197" s="26"/>
      <c r="AT197" s="20" t="s">
        <v>867</v>
      </c>
      <c r="AW197" s="25"/>
      <c r="AX197" s="25"/>
      <c r="AY197" s="37"/>
      <c r="AZ197" s="25"/>
      <c r="BA197" s="35"/>
      <c r="BB197" s="25"/>
      <c r="BC197" s="25"/>
      <c r="BD197" s="25"/>
      <c r="BE197" s="25"/>
      <c r="BF197" s="25"/>
      <c r="BG197" s="25"/>
      <c r="BH197" s="25"/>
      <c r="BI197" s="37"/>
      <c r="BJ197" s="25"/>
      <c r="BK197" s="25"/>
    </row>
    <row r="198" spans="3:63" x14ac:dyDescent="0.35">
      <c r="C198" s="25" t="str">
        <f ca="1"/>
        <v>XS1797138960</v>
      </c>
      <c r="D198" s="25" t="str">
        <f ca="1"/>
        <v>SEMINARA</v>
      </c>
      <c r="E198" s="35">
        <f ca="1"/>
        <v>105.565</v>
      </c>
      <c r="F198" s="102"/>
      <c r="G198" s="102">
        <f ca="1"/>
        <v>2700000</v>
      </c>
      <c r="H198" s="25">
        <f ca="1"/>
        <v>729.00000000002763</v>
      </c>
      <c r="I198" s="37">
        <f ca="1"/>
        <v>0</v>
      </c>
      <c r="J198" s="37" t="str">
        <f ca="1"/>
        <v>BGN</v>
      </c>
      <c r="K198" s="35" t="str">
        <f ca="1"/>
        <v>EUR</v>
      </c>
      <c r="L198" s="102">
        <f ca="1"/>
        <v>729.00000000002763</v>
      </c>
      <c r="M198" s="102">
        <f ca="1"/>
        <v>729.00000000002763</v>
      </c>
      <c r="N198" s="19">
        <f ca="1"/>
        <v>105.592</v>
      </c>
      <c r="Q198" s="20" t="s">
        <v>867</v>
      </c>
      <c r="R198" s="24"/>
      <c r="S198" s="25">
        <f ca="1"/>
        <v>157</v>
      </c>
      <c r="T198" s="19" t="str">
        <f ca="1"/>
        <v>XS1797138960</v>
      </c>
      <c r="U198" s="25" t="str">
        <f ca="1"/>
        <v>IBESM 2 5/8 PERP</v>
      </c>
      <c r="V198" s="64">
        <f ca="1"/>
        <v>2700000</v>
      </c>
      <c r="W198" s="70">
        <f ca="1"/>
        <v>4.24</v>
      </c>
      <c r="X198" s="71">
        <f ca="1"/>
        <v>105.565</v>
      </c>
      <c r="Y198" s="71">
        <f ca="1"/>
        <v>105.592</v>
      </c>
      <c r="Z198" s="57" t="str">
        <f ca="1"/>
        <v>SEMINARA</v>
      </c>
      <c r="AA198" s="57" t="str">
        <f ca="1"/>
        <v>Bond Corporate</v>
      </c>
      <c r="AB198" s="56">
        <f ca="1"/>
        <v>729.00000000002763</v>
      </c>
      <c r="AC198" s="56">
        <f ca="1">IFERROR(IF(ISBLANK(AB198),"-",AB198-_xlfn.XLOOKUP(T198,AI:AI,AJ:AJ)),"-")</f>
        <v>0</v>
      </c>
      <c r="AD198" s="56">
        <f ca="1">IFERROR(IF(ISBLANK(AB198),"-",AB198-_xlfn.XLOOKUP(T198,AO:AO,AP:AP)),"-")</f>
        <v>108.00000000013199</v>
      </c>
      <c r="AE198" s="25"/>
      <c r="AF198" s="25"/>
      <c r="AG198" s="25"/>
      <c r="AH198" s="25"/>
      <c r="AI198" s="51" t="s">
        <v>339</v>
      </c>
      <c r="AJ198" s="80">
        <v>729.00000000002763</v>
      </c>
      <c r="AK198" s="25"/>
      <c r="AL198" s="25"/>
      <c r="AM198" s="25"/>
      <c r="AN198" s="25"/>
      <c r="AO198" s="51" t="s">
        <v>339</v>
      </c>
      <c r="AP198" s="80">
        <v>729.00000000002763</v>
      </c>
      <c r="AQ198" s="25"/>
      <c r="AR198" s="25"/>
      <c r="AS198" s="26"/>
      <c r="AT198" s="20" t="s">
        <v>867</v>
      </c>
      <c r="AW198" s="25"/>
      <c r="AX198" s="25"/>
      <c r="AY198" s="37"/>
      <c r="AZ198" s="25"/>
      <c r="BA198" s="35"/>
      <c r="BB198" s="25"/>
      <c r="BC198" s="25"/>
      <c r="BD198" s="25"/>
      <c r="BE198" s="25"/>
      <c r="BF198" s="25"/>
      <c r="BG198" s="25"/>
      <c r="BH198" s="25"/>
      <c r="BI198" s="37"/>
      <c r="BJ198" s="25"/>
      <c r="BK198" s="25"/>
    </row>
    <row r="199" spans="3:63" x14ac:dyDescent="0.35">
      <c r="C199" s="25" t="str">
        <f ca="1"/>
        <v>XS2238783778</v>
      </c>
      <c r="D199" s="25" t="str">
        <f ca="1"/>
        <v>SEMINARA</v>
      </c>
      <c r="E199" s="35">
        <f ca="1"/>
        <v>108.938</v>
      </c>
      <c r="F199" s="102"/>
      <c r="G199" s="102">
        <f ca="1"/>
        <v>-1345000</v>
      </c>
      <c r="H199" s="25">
        <f ca="1"/>
        <v>-2663.0999999999099</v>
      </c>
      <c r="I199" s="37">
        <f ca="1"/>
        <v>0</v>
      </c>
      <c r="J199" s="37" t="str">
        <f ca="1"/>
        <v>BGN</v>
      </c>
      <c r="K199" s="35" t="str">
        <f ca="1"/>
        <v>EUR</v>
      </c>
      <c r="L199" s="102">
        <f ca="1"/>
        <v>-2663.0999999999099</v>
      </c>
      <c r="M199" s="102">
        <f ca="1"/>
        <v>-2663.0999999999099</v>
      </c>
      <c r="N199" s="19">
        <f ca="1"/>
        <v>109.136</v>
      </c>
      <c r="Q199" s="20" t="s">
        <v>867</v>
      </c>
      <c r="R199" s="24"/>
      <c r="S199" s="25">
        <f ca="1"/>
        <v>158</v>
      </c>
      <c r="T199" s="19" t="str">
        <f ca="1"/>
        <v>XS2238783778</v>
      </c>
      <c r="U199" s="25" t="str">
        <f ca="1"/>
        <v>JAPTOB 2 7/8 10/07/83</v>
      </c>
      <c r="V199" s="64">
        <f ca="1"/>
        <v>-1345000</v>
      </c>
      <c r="W199" s="70">
        <f ca="1"/>
        <v>-6.68</v>
      </c>
      <c r="X199" s="71">
        <f ca="1"/>
        <v>108.938</v>
      </c>
      <c r="Y199" s="71">
        <f ca="1"/>
        <v>109.136</v>
      </c>
      <c r="Z199" s="57" t="str">
        <f ca="1"/>
        <v>SEMINARA</v>
      </c>
      <c r="AA199" s="57" t="str">
        <f ca="1"/>
        <v>Bond Corporate</v>
      </c>
      <c r="AB199" s="56">
        <f ca="1"/>
        <v>-2663.0999999999099</v>
      </c>
      <c r="AC199" s="56">
        <f ca="1">IFERROR(IF(ISBLANK(AB199),"-",AB199-_xlfn.XLOOKUP(T199,AI:AI,AJ:AJ)),"-")</f>
        <v>0</v>
      </c>
      <c r="AD199" s="56">
        <f ca="1">IFERROR(IF(ISBLANK(AB199),"-",AB199-_xlfn.XLOOKUP(T199,AO:AO,AP:AP)),"-")</f>
        <v>-161.400000000006</v>
      </c>
      <c r="AE199" s="25"/>
      <c r="AF199" s="25"/>
      <c r="AG199" s="25"/>
      <c r="AH199" s="25"/>
      <c r="AI199" s="51" t="s">
        <v>344</v>
      </c>
      <c r="AJ199" s="80">
        <v>-2663.0999999999099</v>
      </c>
      <c r="AK199" s="25"/>
      <c r="AL199" s="25"/>
      <c r="AM199" s="25"/>
      <c r="AN199" s="25"/>
      <c r="AO199" s="51" t="s">
        <v>344</v>
      </c>
      <c r="AP199" s="80">
        <v>-2663.0999999999099</v>
      </c>
      <c r="AQ199" s="25"/>
      <c r="AR199" s="25"/>
      <c r="AS199" s="26"/>
      <c r="AT199" s="20" t="s">
        <v>867</v>
      </c>
      <c r="AW199" s="25"/>
      <c r="AX199" s="25"/>
      <c r="AY199" s="37"/>
      <c r="AZ199" s="25"/>
      <c r="BA199" s="35"/>
      <c r="BB199" s="25"/>
      <c r="BC199" s="25"/>
      <c r="BD199" s="25"/>
      <c r="BE199" s="25"/>
      <c r="BF199" s="25"/>
      <c r="BG199" s="25"/>
      <c r="BH199" s="25"/>
      <c r="BI199" s="37"/>
      <c r="BJ199" s="25"/>
      <c r="BK199" s="25"/>
    </row>
    <row r="200" spans="3:63" x14ac:dyDescent="0.35">
      <c r="C200" s="25" t="str">
        <f ca="1"/>
        <v>XS2238783422</v>
      </c>
      <c r="D200" s="25" t="str">
        <f ca="1"/>
        <v>SEMINARA</v>
      </c>
      <c r="E200" s="35">
        <f ca="1"/>
        <v>105.30200000000001</v>
      </c>
      <c r="F200" s="102"/>
      <c r="G200" s="102">
        <f ca="1"/>
        <v>1000000</v>
      </c>
      <c r="H200" s="25">
        <f ca="1"/>
        <v>30.000000000001137</v>
      </c>
      <c r="I200" s="37">
        <f ca="1"/>
        <v>0</v>
      </c>
      <c r="J200" s="37" t="str">
        <f ca="1"/>
        <v>CBBT</v>
      </c>
      <c r="K200" s="35" t="str">
        <f ca="1"/>
        <v>EUR</v>
      </c>
      <c r="L200" s="102">
        <f ca="1"/>
        <v>30.000000000001137</v>
      </c>
      <c r="M200" s="102">
        <f ca="1"/>
        <v>30.000000000001137</v>
      </c>
      <c r="N200" s="19">
        <f ca="1"/>
        <v>105.30500000000001</v>
      </c>
      <c r="Q200" s="20" t="s">
        <v>867</v>
      </c>
      <c r="R200" s="24"/>
      <c r="S200" s="25">
        <f ca="1"/>
        <v>159</v>
      </c>
      <c r="T200" s="19" t="str">
        <f ca="1"/>
        <v>XS2238783422</v>
      </c>
      <c r="U200" s="25" t="str">
        <f ca="1"/>
        <v>JAPTOB 2 3/8 04/07/81</v>
      </c>
      <c r="V200" s="64">
        <f ca="1"/>
        <v>1000000</v>
      </c>
      <c r="W200" s="70">
        <f ca="1"/>
        <v>2.9</v>
      </c>
      <c r="X200" s="71">
        <f ca="1"/>
        <v>105.30200000000001</v>
      </c>
      <c r="Y200" s="71">
        <f ca="1"/>
        <v>105.30500000000001</v>
      </c>
      <c r="Z200" s="57" t="str">
        <f ca="1"/>
        <v>SEMINARA</v>
      </c>
      <c r="AA200" s="57" t="str">
        <f ca="1"/>
        <v>Bond Corporate</v>
      </c>
      <c r="AB200" s="56">
        <f ca="1"/>
        <v>30.000000000001137</v>
      </c>
      <c r="AC200" s="56">
        <f ca="1">IFERROR(IF(ISBLANK(AB200),"-",AB200-_xlfn.XLOOKUP(T200,AI:AI,AJ:AJ)),"-")</f>
        <v>0</v>
      </c>
      <c r="AD200" s="56">
        <f ca="1">IFERROR(IF(ISBLANK(AB200),"-",AB200-_xlfn.XLOOKUP(T200,AO:AO,AP:AP)),"-")</f>
        <v>230.00000000010343</v>
      </c>
      <c r="AE200" s="25"/>
      <c r="AF200" s="25"/>
      <c r="AG200" s="25"/>
      <c r="AH200" s="25"/>
      <c r="AI200" s="51" t="s">
        <v>1434</v>
      </c>
      <c r="AJ200" s="80">
        <v>30.000000000001137</v>
      </c>
      <c r="AK200" s="25"/>
      <c r="AL200" s="25"/>
      <c r="AM200" s="25"/>
      <c r="AN200" s="25"/>
      <c r="AO200" s="51" t="s">
        <v>1434</v>
      </c>
      <c r="AP200" s="80">
        <v>30.000000000001137</v>
      </c>
      <c r="AQ200" s="25"/>
      <c r="AR200" s="25"/>
      <c r="AS200" s="26"/>
      <c r="AT200" s="20" t="s">
        <v>867</v>
      </c>
      <c r="AW200" s="25"/>
      <c r="AX200" s="25"/>
      <c r="AY200" s="37"/>
      <c r="AZ200" s="25"/>
      <c r="BA200" s="35"/>
      <c r="BB200" s="25"/>
      <c r="BC200" s="25"/>
      <c r="BD200" s="25"/>
      <c r="BE200" s="25"/>
      <c r="BF200" s="25"/>
      <c r="BG200" s="25"/>
      <c r="BH200" s="25"/>
      <c r="BI200" s="37"/>
      <c r="BJ200" s="25"/>
      <c r="BK200" s="25"/>
    </row>
    <row r="201" spans="3:63" x14ac:dyDescent="0.35">
      <c r="C201" s="25" t="str">
        <f ca="1"/>
        <v>XS2069101868</v>
      </c>
      <c r="D201" s="25" t="str">
        <f ca="1"/>
        <v>SEMINARA</v>
      </c>
      <c r="E201" s="35">
        <f ca="1"/>
        <v>99.712000000000003</v>
      </c>
      <c r="F201" s="102"/>
      <c r="G201" s="102">
        <f ca="1"/>
        <v>2100000</v>
      </c>
      <c r="H201" s="25">
        <f ca="1"/>
        <v>545.99999999992122</v>
      </c>
      <c r="I201" s="37">
        <f ca="1"/>
        <v>0</v>
      </c>
      <c r="J201" s="37" t="str">
        <f ca="1"/>
        <v>BGN</v>
      </c>
      <c r="K201" s="35" t="str">
        <f ca="1"/>
        <v>EUR</v>
      </c>
      <c r="L201" s="102">
        <f ca="1"/>
        <v>545.99999999992122</v>
      </c>
      <c r="M201" s="102">
        <f ca="1"/>
        <v>545.99999999992122</v>
      </c>
      <c r="N201" s="19">
        <f ca="1"/>
        <v>99.738</v>
      </c>
      <c r="Q201" s="20" t="s">
        <v>867</v>
      </c>
      <c r="R201" s="24"/>
      <c r="S201" s="25">
        <f ca="1"/>
        <v>160</v>
      </c>
      <c r="T201" s="19" t="str">
        <f ca="1"/>
        <v>XS2069101868</v>
      </c>
      <c r="U201" s="25" t="str">
        <f ca="1"/>
        <v>KPN 2 PERP</v>
      </c>
      <c r="V201" s="64">
        <f ca="1"/>
        <v>2100000</v>
      </c>
      <c r="W201" s="70">
        <f ca="1"/>
        <v>6.58</v>
      </c>
      <c r="X201" s="71">
        <f ca="1"/>
        <v>99.712000000000003</v>
      </c>
      <c r="Y201" s="71">
        <f ca="1"/>
        <v>99.738</v>
      </c>
      <c r="Z201" s="57" t="str">
        <f ca="1"/>
        <v>SEMINARA</v>
      </c>
      <c r="AA201" s="57" t="str">
        <f ca="1"/>
        <v>Bond Corporate</v>
      </c>
      <c r="AB201" s="56">
        <f ca="1"/>
        <v>545.99999999992122</v>
      </c>
      <c r="AC201" s="56">
        <f ca="1">IFERROR(IF(ISBLANK(AB201),"-",AB201-_xlfn.XLOOKUP(T201,AI:AI,AJ:AJ)),"-")</f>
        <v>0</v>
      </c>
      <c r="AD201" s="56">
        <f ca="1">IFERROR(IF(ISBLANK(AB201),"-",AB201-_xlfn.XLOOKUP(T201,AO:AO,AP:AP)),"-")</f>
        <v>714.00000000012653</v>
      </c>
      <c r="AE201" s="25"/>
      <c r="AF201" s="25"/>
      <c r="AG201" s="25"/>
      <c r="AH201" s="25"/>
      <c r="AI201" s="51" t="s">
        <v>837</v>
      </c>
      <c r="AJ201" s="80">
        <v>545.99999999992122</v>
      </c>
      <c r="AK201" s="25"/>
      <c r="AL201" s="25"/>
      <c r="AM201" s="25"/>
      <c r="AN201" s="25"/>
      <c r="AO201" s="51" t="s">
        <v>837</v>
      </c>
      <c r="AP201" s="80">
        <v>545.99999999992122</v>
      </c>
      <c r="AQ201" s="25"/>
      <c r="AR201" s="25"/>
      <c r="AS201" s="26"/>
      <c r="AT201" s="20" t="s">
        <v>867</v>
      </c>
      <c r="AW201" s="25"/>
      <c r="AX201" s="25"/>
      <c r="AY201" s="37"/>
      <c r="AZ201" s="25"/>
      <c r="BA201" s="35"/>
      <c r="BB201" s="25"/>
      <c r="BC201" s="25"/>
      <c r="BD201" s="25"/>
      <c r="BE201" s="25"/>
      <c r="BF201" s="25"/>
      <c r="BG201" s="25"/>
      <c r="BH201" s="25"/>
      <c r="BI201" s="37"/>
      <c r="BJ201" s="25"/>
      <c r="BK201" s="25"/>
    </row>
    <row r="202" spans="3:63" x14ac:dyDescent="0.35">
      <c r="C202" s="25" t="str">
        <f ca="1"/>
        <v>XS1405763019</v>
      </c>
      <c r="D202" s="25" t="str">
        <f ca="1"/>
        <v>SEMINARA</v>
      </c>
      <c r="E202" s="35">
        <f ca="1"/>
        <v>106.875</v>
      </c>
      <c r="F202" s="102"/>
      <c r="G202" s="102">
        <f ca="1"/>
        <v>416000</v>
      </c>
      <c r="H202" s="25">
        <f ca="1"/>
        <v>0</v>
      </c>
      <c r="I202" s="37">
        <f ca="1"/>
        <v>0</v>
      </c>
      <c r="J202" s="37" t="str">
        <f ca="1"/>
        <v>BGN</v>
      </c>
      <c r="K202" s="35" t="str">
        <f ca="1"/>
        <v>EUR</v>
      </c>
      <c r="L202" s="102">
        <f ca="1"/>
        <v>0</v>
      </c>
      <c r="M202" s="102">
        <f ca="1"/>
        <v>0</v>
      </c>
      <c r="N202" s="19">
        <f ca="1"/>
        <v>106.875</v>
      </c>
      <c r="Q202" s="20" t="s">
        <v>867</v>
      </c>
      <c r="R202" s="24"/>
      <c r="S202" s="25">
        <f ca="1"/>
        <v>161</v>
      </c>
      <c r="T202" s="19" t="str">
        <f ca="1"/>
        <v>XS1405763019</v>
      </c>
      <c r="U202" s="25" t="str">
        <f ca="1"/>
        <v>LXSGR 4 1/2 12/06/76</v>
      </c>
      <c r="V202" s="64">
        <f ca="1"/>
        <v>416000</v>
      </c>
      <c r="W202" s="70">
        <f ca="1"/>
        <v>0.78</v>
      </c>
      <c r="X202" s="71">
        <f ca="1"/>
        <v>106.875</v>
      </c>
      <c r="Y202" s="71">
        <f ca="1"/>
        <v>106.875</v>
      </c>
      <c r="Z202" s="57" t="str">
        <f ca="1"/>
        <v>SEMINARA</v>
      </c>
      <c r="AA202" s="57" t="str">
        <f ca="1"/>
        <v>Bond Corporate</v>
      </c>
      <c r="AB202" s="56">
        <f ca="1"/>
        <v>0</v>
      </c>
      <c r="AC202" s="56">
        <f ca="1">IFERROR(IF(ISBLANK(AB202),"-",AB202-_xlfn.XLOOKUP(T202,AI:AI,AJ:AJ)),"-")</f>
        <v>0</v>
      </c>
      <c r="AD202" s="56">
        <f ca="1">IFERROR(IF(ISBLANK(AB202),"-",AB202-_xlfn.XLOOKUP(T202,AO:AO,AP:AP)),"-")</f>
        <v>158.07999999998628</v>
      </c>
      <c r="AE202" s="25"/>
      <c r="AF202" s="25"/>
      <c r="AG202" s="25"/>
      <c r="AH202" s="25"/>
      <c r="AI202" s="51" t="s">
        <v>347</v>
      </c>
      <c r="AJ202" s="80">
        <v>0</v>
      </c>
      <c r="AK202" s="25"/>
      <c r="AL202" s="25"/>
      <c r="AM202" s="25"/>
      <c r="AN202" s="25"/>
      <c r="AO202" s="51" t="s">
        <v>347</v>
      </c>
      <c r="AP202" s="80">
        <v>0</v>
      </c>
      <c r="AQ202" s="25"/>
      <c r="AR202" s="25"/>
      <c r="AS202" s="26"/>
      <c r="AT202" s="20" t="s">
        <v>867</v>
      </c>
      <c r="AW202" s="25"/>
      <c r="AX202" s="25"/>
      <c r="AY202" s="37"/>
      <c r="AZ202" s="25"/>
      <c r="BA202" s="35"/>
      <c r="BB202" s="25"/>
      <c r="BC202" s="25"/>
      <c r="BD202" s="25"/>
      <c r="BE202" s="25"/>
      <c r="BF202" s="25"/>
      <c r="BG202" s="25"/>
      <c r="BH202" s="25"/>
      <c r="BI202" s="37"/>
      <c r="BJ202" s="25"/>
      <c r="BK202" s="25"/>
    </row>
    <row r="203" spans="3:63" x14ac:dyDescent="0.35">
      <c r="C203" s="25" t="str">
        <f ca="1"/>
        <v>XS2218405772</v>
      </c>
      <c r="D203" s="25" t="str">
        <f ca="1"/>
        <v>SEMINARA</v>
      </c>
      <c r="E203" s="35">
        <f ca="1"/>
        <v>101.429</v>
      </c>
      <c r="F203" s="102"/>
      <c r="G203" s="102">
        <f ca="1"/>
        <v>0</v>
      </c>
      <c r="H203" s="25">
        <f ca="1"/>
        <v>0</v>
      </c>
      <c r="I203" s="37">
        <f ca="1"/>
        <v>0</v>
      </c>
      <c r="J203" s="37" t="str">
        <f ca="1"/>
        <v>BGN</v>
      </c>
      <c r="K203" s="35" t="str">
        <f ca="1"/>
        <v>EUR</v>
      </c>
      <c r="L203" s="102">
        <f ca="1"/>
        <v>0</v>
      </c>
      <c r="M203" s="102">
        <f ca="1"/>
        <v>0</v>
      </c>
      <c r="N203" s="19">
        <f ca="1"/>
        <v>101.5</v>
      </c>
      <c r="Q203" s="20" t="s">
        <v>867</v>
      </c>
      <c r="R203" s="24"/>
      <c r="S203" s="25">
        <f ca="1"/>
        <v>162</v>
      </c>
      <c r="T203" s="19" t="str">
        <f ca="1"/>
        <v>XS2218405772</v>
      </c>
      <c r="U203" s="25" t="str">
        <f ca="1"/>
        <v>MRKGR 1 5/8 09/09/80</v>
      </c>
      <c r="V203" s="64">
        <f ca="1"/>
        <v>0</v>
      </c>
      <c r="W203" s="70">
        <f ca="1"/>
        <v>0</v>
      </c>
      <c r="X203" s="71">
        <f ca="1"/>
        <v>101.429</v>
      </c>
      <c r="Y203" s="71">
        <f ca="1"/>
        <v>101.5</v>
      </c>
      <c r="Z203" s="57" t="str">
        <f ca="1"/>
        <v>SEMINARA</v>
      </c>
      <c r="AA203" s="57" t="str">
        <f ca="1"/>
        <v>Bond Corporate</v>
      </c>
      <c r="AB203" s="56">
        <f ca="1"/>
        <v>0</v>
      </c>
      <c r="AC203" s="56">
        <f ca="1">IFERROR(IF(ISBLANK(AB203),"-",AB203-_xlfn.XLOOKUP(T203,AI:AI,AJ:AJ)),"-")</f>
        <v>0</v>
      </c>
      <c r="AD203" s="56">
        <f ca="1">IFERROR(IF(ISBLANK(AB203),"-",AB203-_xlfn.XLOOKUP(T203,AO:AO,AP:AP)),"-")</f>
        <v>0</v>
      </c>
      <c r="AE203" s="25"/>
      <c r="AF203" s="25"/>
      <c r="AG203" s="25"/>
      <c r="AH203" s="25"/>
      <c r="AI203" s="51" t="s">
        <v>1323</v>
      </c>
      <c r="AJ203" s="80">
        <v>0</v>
      </c>
      <c r="AK203" s="25"/>
      <c r="AL203" s="25"/>
      <c r="AM203" s="25"/>
      <c r="AN203" s="25"/>
      <c r="AO203" s="51" t="s">
        <v>1323</v>
      </c>
      <c r="AP203" s="80">
        <v>0</v>
      </c>
      <c r="AQ203" s="25"/>
      <c r="AR203" s="25"/>
      <c r="AS203" s="26"/>
      <c r="AT203" s="20" t="s">
        <v>867</v>
      </c>
      <c r="AW203" s="25"/>
      <c r="AX203" s="25"/>
      <c r="AY203" s="37"/>
      <c r="AZ203" s="25"/>
      <c r="BA203" s="35"/>
      <c r="BB203" s="25"/>
      <c r="BC203" s="25"/>
      <c r="BD203" s="25"/>
      <c r="BE203" s="25"/>
      <c r="BF203" s="25"/>
      <c r="BG203" s="25"/>
      <c r="BH203" s="25"/>
      <c r="BI203" s="37"/>
      <c r="BJ203" s="25"/>
      <c r="BK203" s="25"/>
    </row>
    <row r="204" spans="3:63" x14ac:dyDescent="0.35">
      <c r="C204" s="25" t="str">
        <f ca="1"/>
        <v>XS1152343668</v>
      </c>
      <c r="D204" s="25" t="str">
        <f ca="1"/>
        <v>SEMINARA</v>
      </c>
      <c r="E204" s="35">
        <f ca="1"/>
        <v>109.77200000000001</v>
      </c>
      <c r="F204" s="102"/>
      <c r="G204" s="102">
        <f ca="1"/>
        <v>-2000000</v>
      </c>
      <c r="H204" s="25">
        <f ca="1"/>
        <v>-579.99999999992724</v>
      </c>
      <c r="I204" s="37">
        <f ca="1"/>
        <v>0</v>
      </c>
      <c r="J204" s="37" t="str">
        <f ca="1"/>
        <v>BGN</v>
      </c>
      <c r="K204" s="35" t="str">
        <f ca="1"/>
        <v>EUR</v>
      </c>
      <c r="L204" s="102">
        <f ca="1"/>
        <v>-579.99999999992724</v>
      </c>
      <c r="M204" s="102">
        <f ca="1"/>
        <v>-579.99999999992724</v>
      </c>
      <c r="N204" s="19">
        <f ca="1"/>
        <v>109.801</v>
      </c>
      <c r="Q204" s="20" t="s">
        <v>867</v>
      </c>
      <c r="R204" s="24"/>
      <c r="S204" s="25">
        <f ca="1"/>
        <v>163</v>
      </c>
      <c r="T204" s="19" t="str">
        <f ca="1"/>
        <v>XS1152343668</v>
      </c>
      <c r="U204" s="25" t="str">
        <f ca="1"/>
        <v>MRKGR 3 3/8 12/12/74</v>
      </c>
      <c r="V204" s="64">
        <f ca="1"/>
        <v>-2000000</v>
      </c>
      <c r="W204" s="70">
        <f ca="1"/>
        <v>-3.81</v>
      </c>
      <c r="X204" s="71">
        <f ca="1"/>
        <v>109.77200000000001</v>
      </c>
      <c r="Y204" s="71">
        <f ca="1"/>
        <v>109.801</v>
      </c>
      <c r="Z204" s="57" t="str">
        <f ca="1"/>
        <v>SEMINARA</v>
      </c>
      <c r="AA204" s="57" t="str">
        <f ca="1"/>
        <v>Bond Corporate</v>
      </c>
      <c r="AB204" s="56">
        <f ca="1"/>
        <v>-579.99999999992724</v>
      </c>
      <c r="AC204" s="56">
        <f ca="1">IFERROR(IF(ISBLANK(AB204),"-",AB204-_xlfn.XLOOKUP(T204,AI:AI,AJ:AJ)),"-")</f>
        <v>0</v>
      </c>
      <c r="AD204" s="56">
        <f ca="1">IFERROR(IF(ISBLANK(AB204),"-",AB204-_xlfn.XLOOKUP(T204,AO:AO,AP:AP)),"-")</f>
        <v>0</v>
      </c>
      <c r="AE204" s="25"/>
      <c r="AF204" s="25"/>
      <c r="AG204" s="25"/>
      <c r="AH204" s="25"/>
      <c r="AI204" s="51" t="s">
        <v>351</v>
      </c>
      <c r="AJ204" s="80">
        <v>-579.99999999992724</v>
      </c>
      <c r="AK204" s="25"/>
      <c r="AL204" s="25"/>
      <c r="AM204" s="25"/>
      <c r="AN204" s="25"/>
      <c r="AO204" s="51" t="s">
        <v>351</v>
      </c>
      <c r="AP204" s="80">
        <v>-579.99999999992724</v>
      </c>
      <c r="AQ204" s="25"/>
      <c r="AR204" s="25"/>
      <c r="AS204" s="26"/>
      <c r="AT204" s="20" t="s">
        <v>867</v>
      </c>
      <c r="AW204" s="25"/>
      <c r="AX204" s="25"/>
      <c r="AY204" s="37"/>
      <c r="AZ204" s="25"/>
      <c r="BA204" s="35"/>
      <c r="BB204" s="25"/>
      <c r="BC204" s="25"/>
      <c r="BD204" s="25"/>
      <c r="BE204" s="25"/>
      <c r="BF204" s="25"/>
      <c r="BG204" s="25"/>
      <c r="BH204" s="25"/>
      <c r="BI204" s="37"/>
      <c r="BJ204" s="25"/>
      <c r="BK204" s="25"/>
    </row>
    <row r="205" spans="3:63" x14ac:dyDescent="0.35">
      <c r="C205" s="25" t="str">
        <f ca="1"/>
        <v>XS2010045511</v>
      </c>
      <c r="D205" s="25" t="str">
        <f ca="1"/>
        <v>SEMINARA</v>
      </c>
      <c r="E205" s="35">
        <f ca="1"/>
        <v>102.25</v>
      </c>
      <c r="F205" s="102"/>
      <c r="G205" s="102">
        <f ca="1"/>
        <v>-2381000</v>
      </c>
      <c r="H205" s="25">
        <f ca="1"/>
        <v>-3619.1200000000244</v>
      </c>
      <c r="I205" s="37">
        <f ca="1"/>
        <v>0</v>
      </c>
      <c r="J205" s="37" t="str">
        <f ca="1"/>
        <v>BGN</v>
      </c>
      <c r="K205" s="35" t="str">
        <f ca="1"/>
        <v>EUR</v>
      </c>
      <c r="L205" s="102">
        <f ca="1"/>
        <v>-3619.1200000000244</v>
      </c>
      <c r="M205" s="102">
        <f ca="1"/>
        <v>-3619.1200000000244</v>
      </c>
      <c r="N205" s="19">
        <f ca="1"/>
        <v>102.402</v>
      </c>
      <c r="Q205" s="20" t="s">
        <v>867</v>
      </c>
      <c r="R205" s="24"/>
      <c r="S205" s="25">
        <f ca="1"/>
        <v>164</v>
      </c>
      <c r="T205" s="19" t="str">
        <f ca="1"/>
        <v>XS2010045511</v>
      </c>
      <c r="U205" s="25" t="str">
        <f ca="1"/>
        <v>NGGLN 2 1/8 09/05/82</v>
      </c>
      <c r="V205" s="64">
        <f ca="1"/>
        <v>-2381000</v>
      </c>
      <c r="W205" s="70">
        <f ca="1"/>
        <v>-10.26</v>
      </c>
      <c r="X205" s="71">
        <f ca="1"/>
        <v>102.25</v>
      </c>
      <c r="Y205" s="71">
        <f ca="1"/>
        <v>102.402</v>
      </c>
      <c r="Z205" s="57" t="str">
        <f ca="1"/>
        <v>SEMINARA</v>
      </c>
      <c r="AA205" s="57" t="str">
        <f ca="1"/>
        <v>Bond Corporate</v>
      </c>
      <c r="AB205" s="56">
        <f ca="1"/>
        <v>-3619.1200000000244</v>
      </c>
      <c r="AC205" s="56">
        <f ca="1">IFERROR(IF(ISBLANK(AB205),"-",AB205-_xlfn.XLOOKUP(T205,AI:AI,AJ:AJ)),"-")</f>
        <v>-47.619999999888933</v>
      </c>
      <c r="AD205" s="56">
        <f ca="1">IFERROR(IF(ISBLANK(AB205),"-",AB205-_xlfn.XLOOKUP(T205,AO:AO,AP:AP)),"-")</f>
        <v>71.43000000000302</v>
      </c>
      <c r="AE205" s="25"/>
      <c r="AF205" s="25"/>
      <c r="AG205" s="25"/>
      <c r="AH205" s="25"/>
      <c r="AI205" s="51" t="s">
        <v>353</v>
      </c>
      <c r="AJ205" s="80">
        <v>-3619.1200000000244</v>
      </c>
      <c r="AK205" s="25"/>
      <c r="AL205" s="25"/>
      <c r="AM205" s="25"/>
      <c r="AN205" s="25"/>
      <c r="AO205" s="51" t="s">
        <v>353</v>
      </c>
      <c r="AP205" s="80">
        <v>-3571.5000000001355</v>
      </c>
      <c r="AQ205" s="25"/>
      <c r="AR205" s="25"/>
      <c r="AS205" s="26"/>
      <c r="AT205" s="20" t="s">
        <v>867</v>
      </c>
      <c r="AW205" s="25"/>
      <c r="AX205" s="25"/>
      <c r="AY205" s="37"/>
      <c r="AZ205" s="25"/>
      <c r="BA205" s="35"/>
      <c r="BB205" s="25"/>
      <c r="BC205" s="25"/>
      <c r="BD205" s="25"/>
      <c r="BE205" s="25"/>
      <c r="BF205" s="25"/>
      <c r="BG205" s="25"/>
      <c r="BH205" s="25"/>
      <c r="BI205" s="37"/>
      <c r="BJ205" s="25"/>
      <c r="BK205" s="25"/>
    </row>
    <row r="206" spans="3:63" x14ac:dyDescent="0.35">
      <c r="C206" s="25" t="str">
        <f ca="1"/>
        <v>XS0903532090</v>
      </c>
      <c r="D206" s="25" t="str">
        <f ca="1"/>
        <v>SEMINARA</v>
      </c>
      <c r="E206" s="35">
        <f ca="1"/>
        <v>114.298</v>
      </c>
      <c r="F206" s="102"/>
      <c r="G206" s="102">
        <f ca="1"/>
        <v>1000000</v>
      </c>
      <c r="H206" s="25">
        <f ca="1"/>
        <v>1149.9999999999488</v>
      </c>
      <c r="I206" s="37">
        <f ca="1"/>
        <v>0</v>
      </c>
      <c r="J206" s="37" t="str">
        <f ca="1"/>
        <v>BGN</v>
      </c>
      <c r="K206" s="35" t="str">
        <f ca="1"/>
        <v>GBP</v>
      </c>
      <c r="L206" s="102">
        <f ca="1"/>
        <v>1149.9999999999488</v>
      </c>
      <c r="M206" s="102">
        <f ca="1"/>
        <v>1283.744999999943</v>
      </c>
      <c r="N206" s="19">
        <f ca="1"/>
        <v>114.413</v>
      </c>
      <c r="Q206" s="20" t="s">
        <v>867</v>
      </c>
      <c r="R206" s="24"/>
      <c r="S206" s="25">
        <f ca="1"/>
        <v>165</v>
      </c>
      <c r="T206" s="19" t="str">
        <f ca="1"/>
        <v>XS0903532090</v>
      </c>
      <c r="U206" s="25" t="str">
        <f ca="1"/>
        <v>NGGLN 5 5/8 06/18/73</v>
      </c>
      <c r="V206" s="64">
        <f ca="1"/>
        <v>1000000</v>
      </c>
      <c r="W206" s="70">
        <f ca="1"/>
        <v>3.51</v>
      </c>
      <c r="X206" s="71">
        <f ca="1"/>
        <v>114.298</v>
      </c>
      <c r="Y206" s="71">
        <f ca="1"/>
        <v>114.413</v>
      </c>
      <c r="Z206" s="57" t="str">
        <f ca="1"/>
        <v>SEMINARA</v>
      </c>
      <c r="AA206" s="57" t="str">
        <f ca="1"/>
        <v>Bond Corporate</v>
      </c>
      <c r="AB206" s="56">
        <f ca="1"/>
        <v>1283.744999999943</v>
      </c>
      <c r="AC206" s="56">
        <f ca="1">IFERROR(IF(ISBLANK(AB206),"-",AB206-_xlfn.XLOOKUP(T206,AI:AI,AJ:AJ)),"-")</f>
        <v>-0.34499999999979991</v>
      </c>
      <c r="AD206" s="56">
        <f ca="1">IFERROR(IF(ISBLANK(AB206),"-",AB206-_xlfn.XLOOKUP(T206,AO:AO,AP:AP)),"-")</f>
        <v>-157.05600000011145</v>
      </c>
      <c r="AE206" s="25"/>
      <c r="AF206" s="25"/>
      <c r="AG206" s="25"/>
      <c r="AH206" s="25"/>
      <c r="AI206" s="51" t="s">
        <v>356</v>
      </c>
      <c r="AJ206" s="80">
        <v>1283.744999999943</v>
      </c>
      <c r="AK206" s="25"/>
      <c r="AL206" s="25"/>
      <c r="AM206" s="25"/>
      <c r="AN206" s="25"/>
      <c r="AO206" s="51" t="s">
        <v>356</v>
      </c>
      <c r="AP206" s="80">
        <v>1284.0899999999428</v>
      </c>
      <c r="AQ206" s="25"/>
      <c r="AR206" s="25"/>
      <c r="AS206" s="26"/>
      <c r="AT206" s="20" t="s">
        <v>867</v>
      </c>
      <c r="AW206" s="25"/>
      <c r="AX206" s="25"/>
      <c r="AY206" s="37"/>
      <c r="AZ206" s="25"/>
      <c r="BA206" s="35"/>
      <c r="BB206" s="25"/>
      <c r="BC206" s="25"/>
      <c r="BD206" s="25"/>
      <c r="BE206" s="25"/>
      <c r="BF206" s="25"/>
      <c r="BG206" s="25"/>
      <c r="BH206" s="25"/>
      <c r="BI206" s="37"/>
      <c r="BJ206" s="25"/>
      <c r="BK206" s="25"/>
    </row>
    <row r="207" spans="3:63" x14ac:dyDescent="0.35">
      <c r="C207" s="25" t="str">
        <f ca="1"/>
        <v>XS1224710399</v>
      </c>
      <c r="D207" s="25" t="str">
        <f ca="1"/>
        <v>SEMINARA</v>
      </c>
      <c r="E207" s="35">
        <f ca="1"/>
        <v>104.953</v>
      </c>
      <c r="F207" s="102"/>
      <c r="G207" s="102">
        <f ca="1"/>
        <v>0</v>
      </c>
      <c r="H207" s="25">
        <f ca="1"/>
        <v>0</v>
      </c>
      <c r="I207" s="37">
        <f ca="1"/>
        <v>0</v>
      </c>
      <c r="J207" s="37" t="str">
        <f ca="1"/>
        <v>BGN</v>
      </c>
      <c r="K207" s="35" t="str">
        <f ca="1"/>
        <v>EUR</v>
      </c>
      <c r="L207" s="102">
        <f ca="1"/>
        <v>0</v>
      </c>
      <c r="M207" s="102">
        <f ca="1"/>
        <v>0</v>
      </c>
      <c r="N207" s="19">
        <f ca="1"/>
        <v>105.587</v>
      </c>
      <c r="Q207" s="20" t="s">
        <v>867</v>
      </c>
      <c r="R207" s="24"/>
      <c r="S207" s="25">
        <f ca="1"/>
        <v>166</v>
      </c>
      <c r="T207" s="19" t="str">
        <f ca="1"/>
        <v>XS1224710399</v>
      </c>
      <c r="U207" s="25" t="str">
        <f ca="1"/>
        <v>NTGYSM 3 3/8 PERP</v>
      </c>
      <c r="V207" s="64">
        <f ca="1"/>
        <v>0</v>
      </c>
      <c r="W207" s="70">
        <f ca="1"/>
        <v>0</v>
      </c>
      <c r="X207" s="71">
        <f ca="1"/>
        <v>104.953</v>
      </c>
      <c r="Y207" s="71">
        <f ca="1"/>
        <v>105.587</v>
      </c>
      <c r="Z207" s="57" t="str">
        <f ca="1"/>
        <v>SEMINARA</v>
      </c>
      <c r="AA207" s="57" t="str">
        <f ca="1"/>
        <v>Bond Corporate</v>
      </c>
      <c r="AB207" s="56">
        <f ca="1"/>
        <v>0</v>
      </c>
      <c r="AC207" s="56">
        <f ca="1">IFERROR(IF(ISBLANK(AB207),"-",AB207-_xlfn.XLOOKUP(T207,AI:AI,AJ:AJ)),"-")</f>
        <v>0</v>
      </c>
      <c r="AD207" s="56">
        <f ca="1">IFERROR(IF(ISBLANK(AB207),"-",AB207-_xlfn.XLOOKUP(T207,AO:AO,AP:AP)),"-")</f>
        <v>0</v>
      </c>
      <c r="AE207" s="25"/>
      <c r="AF207" s="25"/>
      <c r="AG207" s="25"/>
      <c r="AH207" s="25"/>
      <c r="AI207" s="51" t="s">
        <v>841</v>
      </c>
      <c r="AJ207" s="80">
        <v>0</v>
      </c>
      <c r="AK207" s="25"/>
      <c r="AL207" s="25"/>
      <c r="AM207" s="25"/>
      <c r="AN207" s="25"/>
      <c r="AO207" s="51" t="s">
        <v>841</v>
      </c>
      <c r="AP207" s="80">
        <v>0</v>
      </c>
      <c r="AQ207" s="25"/>
      <c r="AR207" s="25"/>
      <c r="AS207" s="26"/>
      <c r="AT207" s="20" t="s">
        <v>867</v>
      </c>
      <c r="AW207" s="25"/>
      <c r="AX207" s="25"/>
      <c r="AY207" s="37"/>
      <c r="AZ207" s="25"/>
      <c r="BA207" s="35"/>
      <c r="BB207" s="25"/>
      <c r="BC207" s="25"/>
      <c r="BD207" s="25"/>
      <c r="BE207" s="25"/>
      <c r="BF207" s="25"/>
      <c r="BG207" s="25"/>
      <c r="BH207" s="25"/>
      <c r="BI207" s="37"/>
      <c r="BJ207" s="25"/>
      <c r="BK207" s="25"/>
    </row>
    <row r="208" spans="3:63" x14ac:dyDescent="0.35">
      <c r="C208" s="25" t="str">
        <f ca="1"/>
        <v>XS1139494493</v>
      </c>
      <c r="D208" s="25" t="str">
        <f ca="1"/>
        <v>SEMINARA</v>
      </c>
      <c r="E208" s="35">
        <f ca="1"/>
        <v>105.788</v>
      </c>
      <c r="F208" s="102"/>
      <c r="G208" s="102">
        <f ca="1"/>
        <v>0</v>
      </c>
      <c r="H208" s="25">
        <f ca="1"/>
        <v>0</v>
      </c>
      <c r="I208" s="37">
        <f ca="1"/>
        <v>0</v>
      </c>
      <c r="J208" s="37" t="str">
        <f ca="1"/>
        <v>BGN</v>
      </c>
      <c r="K208" s="35" t="str">
        <f ca="1"/>
        <v>EUR</v>
      </c>
      <c r="L208" s="102">
        <f ca="1"/>
        <v>0</v>
      </c>
      <c r="M208" s="102">
        <f ca="1"/>
        <v>0</v>
      </c>
      <c r="N208" s="19">
        <f ca="1"/>
        <v>106.02800000000001</v>
      </c>
      <c r="Q208" s="20" t="s">
        <v>867</v>
      </c>
      <c r="R208" s="24"/>
      <c r="S208" s="25">
        <f ca="1"/>
        <v>167</v>
      </c>
      <c r="T208" s="19" t="str">
        <f ca="1"/>
        <v>XS1139494493</v>
      </c>
      <c r="U208" s="25" t="str">
        <f ca="1"/>
        <v>NTGYSM 4 1/8 PERP</v>
      </c>
      <c r="V208" s="64">
        <f ca="1"/>
        <v>0</v>
      </c>
      <c r="W208" s="70">
        <f ca="1"/>
        <v>0</v>
      </c>
      <c r="X208" s="71">
        <f ca="1"/>
        <v>105.788</v>
      </c>
      <c r="Y208" s="71">
        <f ca="1"/>
        <v>106.02800000000001</v>
      </c>
      <c r="Z208" s="57" t="str">
        <f ca="1"/>
        <v>SEMINARA</v>
      </c>
      <c r="AA208" s="57" t="str">
        <f ca="1"/>
        <v>Bond Corporate</v>
      </c>
      <c r="AB208" s="56">
        <f ca="1"/>
        <v>0</v>
      </c>
      <c r="AC208" s="56">
        <f ca="1">IFERROR(IF(ISBLANK(AB208),"-",AB208-_xlfn.XLOOKUP(T208,AI:AI,AJ:AJ)),"-")</f>
        <v>0</v>
      </c>
      <c r="AD208" s="56">
        <f ca="1">IFERROR(IF(ISBLANK(AB208),"-",AB208-_xlfn.XLOOKUP(T208,AO:AO,AP:AP)),"-")</f>
        <v>0</v>
      </c>
      <c r="AE208" s="25"/>
      <c r="AF208" s="25"/>
      <c r="AG208" s="25"/>
      <c r="AH208" s="25"/>
      <c r="AI208" s="51" t="s">
        <v>358</v>
      </c>
      <c r="AJ208" s="80">
        <v>0</v>
      </c>
      <c r="AK208" s="25"/>
      <c r="AL208" s="25"/>
      <c r="AM208" s="25"/>
      <c r="AN208" s="25"/>
      <c r="AO208" s="51" t="s">
        <v>358</v>
      </c>
      <c r="AP208" s="80">
        <v>0</v>
      </c>
      <c r="AQ208" s="25"/>
      <c r="AR208" s="25"/>
      <c r="AS208" s="26"/>
      <c r="AT208" s="20" t="s">
        <v>867</v>
      </c>
      <c r="AW208" s="25"/>
      <c r="AX208" s="25"/>
      <c r="AY208" s="37"/>
      <c r="AZ208" s="25"/>
      <c r="BA208" s="35"/>
      <c r="BB208" s="25"/>
      <c r="BC208" s="25"/>
      <c r="BD208" s="25"/>
      <c r="BE208" s="25"/>
      <c r="BF208" s="25"/>
      <c r="BG208" s="25"/>
      <c r="BH208" s="25"/>
      <c r="BI208" s="37"/>
      <c r="BJ208" s="25"/>
      <c r="BK208" s="25"/>
    </row>
    <row r="209" spans="3:63" x14ac:dyDescent="0.35">
      <c r="C209" s="25" t="str">
        <f ca="1"/>
        <v>XS2224439971</v>
      </c>
      <c r="D209" s="25" t="str">
        <f ca="1"/>
        <v>SEMINARA</v>
      </c>
      <c r="E209" s="35">
        <f ca="1"/>
        <v>101.73</v>
      </c>
      <c r="F209" s="102"/>
      <c r="G209" s="102">
        <f ca="1"/>
        <v>0</v>
      </c>
      <c r="H209" s="25">
        <f ca="1"/>
        <v>0</v>
      </c>
      <c r="I209" s="37">
        <f ca="1"/>
        <v>1907.9999999999586</v>
      </c>
      <c r="J209" s="37" t="str">
        <f ca="1"/>
        <v>BGN</v>
      </c>
      <c r="K209" s="35" t="str">
        <f ca="1"/>
        <v>EUR</v>
      </c>
      <c r="L209" s="102">
        <f ca="1"/>
        <v>1907.9999999999586</v>
      </c>
      <c r="M209" s="102">
        <f ca="1"/>
        <v>1907.9999999999586</v>
      </c>
      <c r="N209" s="19">
        <f ca="1"/>
        <v>101.873</v>
      </c>
      <c r="Q209" s="20" t="s">
        <v>867</v>
      </c>
      <c r="R209" s="24"/>
      <c r="S209" s="25">
        <f ca="1"/>
        <v>168</v>
      </c>
      <c r="T209" s="19" t="str">
        <f ca="1"/>
        <v>XS2224439971</v>
      </c>
      <c r="U209" s="25" t="str">
        <f ca="1"/>
        <v>OMVAV 2 7/8 PERP</v>
      </c>
      <c r="V209" s="64">
        <f ca="1"/>
        <v>-400000</v>
      </c>
      <c r="W209" s="70">
        <f ca="1"/>
        <v>-2.93</v>
      </c>
      <c r="X209" s="71">
        <f ca="1"/>
        <v>101.73</v>
      </c>
      <c r="Y209" s="71">
        <f ca="1"/>
        <v>101.873</v>
      </c>
      <c r="Z209" s="57" t="str">
        <f ca="1"/>
        <v>SEMINARA</v>
      </c>
      <c r="AA209" s="57" t="str">
        <f ca="1"/>
        <v>Bond Corporate</v>
      </c>
      <c r="AB209" s="56">
        <f ca="1"/>
        <v>1907.9999999999586</v>
      </c>
      <c r="AC209" s="56">
        <f ca="1">IFERROR(IF(ISBLANK(AB209),"-",AB209-_xlfn.XLOOKUP(T209,AI:AI,AJ:AJ)),"-")</f>
        <v>0</v>
      </c>
      <c r="AD209" s="56">
        <f ca="1">IFERROR(IF(ISBLANK(AB209),"-",AB209-_xlfn.XLOOKUP(T209,AO:AO,AP:AP)),"-")</f>
        <v>-76.000000000022055</v>
      </c>
      <c r="AE209" s="25"/>
      <c r="AF209" s="25"/>
      <c r="AG209" s="25"/>
      <c r="AH209" s="25"/>
      <c r="AI209" s="51" t="s">
        <v>587</v>
      </c>
      <c r="AJ209" s="80">
        <v>1907.9999999999586</v>
      </c>
      <c r="AK209" s="25"/>
      <c r="AL209" s="25"/>
      <c r="AM209" s="25"/>
      <c r="AN209" s="25"/>
      <c r="AO209" s="51" t="s">
        <v>587</v>
      </c>
      <c r="AP209" s="80">
        <v>1907.9999999999586</v>
      </c>
      <c r="AQ209" s="25"/>
      <c r="AR209" s="25"/>
      <c r="AS209" s="26"/>
      <c r="AT209" s="20" t="s">
        <v>867</v>
      </c>
      <c r="AW209" s="25"/>
      <c r="AX209" s="25"/>
      <c r="AY209" s="37"/>
      <c r="AZ209" s="25"/>
      <c r="BA209" s="35"/>
      <c r="BB209" s="25"/>
      <c r="BC209" s="25"/>
      <c r="BD209" s="25"/>
      <c r="BE209" s="25"/>
      <c r="BF209" s="25"/>
      <c r="BG209" s="25"/>
      <c r="BH209" s="25"/>
      <c r="BI209" s="37"/>
      <c r="BJ209" s="25"/>
      <c r="BK209" s="25"/>
    </row>
    <row r="210" spans="3:63" x14ac:dyDescent="0.35">
      <c r="C210" s="25" t="str">
        <f ca="1"/>
        <v>XS1294343337</v>
      </c>
      <c r="D210" s="25" t="str">
        <f ca="1"/>
        <v>SEMINARA</v>
      </c>
      <c r="E210" s="35">
        <f ca="1"/>
        <v>121.137</v>
      </c>
      <c r="F210" s="102"/>
      <c r="G210" s="102">
        <f ca="1"/>
        <v>-800000</v>
      </c>
      <c r="H210" s="25">
        <f ca="1"/>
        <v>-1528.00000000002</v>
      </c>
      <c r="I210" s="37">
        <f ca="1"/>
        <v>0</v>
      </c>
      <c r="J210" s="37" t="str">
        <f ca="1"/>
        <v>BGN</v>
      </c>
      <c r="K210" s="35" t="str">
        <f ca="1"/>
        <v>EUR</v>
      </c>
      <c r="L210" s="102">
        <f ca="1"/>
        <v>-1528.00000000002</v>
      </c>
      <c r="M210" s="102">
        <f ca="1"/>
        <v>-1528.00000000002</v>
      </c>
      <c r="N210" s="19">
        <f ca="1"/>
        <v>121.328</v>
      </c>
      <c r="Q210" s="20" t="s">
        <v>867</v>
      </c>
      <c r="R210" s="24"/>
      <c r="S210" s="25">
        <f ca="1"/>
        <v>169</v>
      </c>
      <c r="T210" s="19" t="str">
        <f ca="1"/>
        <v>XS1294343337</v>
      </c>
      <c r="U210" s="25" t="str">
        <f ca="1"/>
        <v>OMVAV 6 1/4 PERP</v>
      </c>
      <c r="V210" s="64">
        <f ca="1"/>
        <v>-800000</v>
      </c>
      <c r="W210" s="70">
        <f ca="1"/>
        <v>-3.18</v>
      </c>
      <c r="X210" s="71">
        <f ca="1"/>
        <v>121.137</v>
      </c>
      <c r="Y210" s="71">
        <f ca="1"/>
        <v>121.328</v>
      </c>
      <c r="Z210" s="57" t="str">
        <f ca="1"/>
        <v>SEMINARA</v>
      </c>
      <c r="AA210" s="57" t="str">
        <f ca="1"/>
        <v>Bond Corporate</v>
      </c>
      <c r="AB210" s="56">
        <f ca="1"/>
        <v>-1528.00000000002</v>
      </c>
      <c r="AC210" s="56">
        <f ca="1">IFERROR(IF(ISBLANK(AB210),"-",AB210-_xlfn.XLOOKUP(T210,AI:AI,AJ:AJ)),"-")</f>
        <v>0</v>
      </c>
      <c r="AD210" s="56">
        <f ca="1">IFERROR(IF(ISBLANK(AB210),"-",AB210-_xlfn.XLOOKUP(T210,AO:AO,AP:AP)),"-")</f>
        <v>79.99999999992724</v>
      </c>
      <c r="AE210" s="25"/>
      <c r="AF210" s="25"/>
      <c r="AG210" s="25"/>
      <c r="AH210" s="25"/>
      <c r="AI210" s="51" t="s">
        <v>991</v>
      </c>
      <c r="AJ210" s="80">
        <v>-1528.00000000002</v>
      </c>
      <c r="AK210" s="25"/>
      <c r="AL210" s="25"/>
      <c r="AM210" s="25"/>
      <c r="AN210" s="25"/>
      <c r="AO210" s="51" t="s">
        <v>991</v>
      </c>
      <c r="AP210" s="80">
        <v>-1528.00000000002</v>
      </c>
      <c r="AQ210" s="25"/>
      <c r="AR210" s="25"/>
      <c r="AS210" s="26"/>
      <c r="AT210" s="20" t="s">
        <v>867</v>
      </c>
      <c r="AW210" s="25"/>
      <c r="AX210" s="25"/>
      <c r="AY210" s="37"/>
      <c r="AZ210" s="25"/>
      <c r="BA210" s="35"/>
      <c r="BB210" s="25"/>
      <c r="BC210" s="25"/>
      <c r="BD210" s="25"/>
      <c r="BE210" s="25"/>
      <c r="BF210" s="25"/>
      <c r="BG210" s="25"/>
      <c r="BH210" s="25"/>
      <c r="BI210" s="37"/>
      <c r="BJ210" s="25"/>
      <c r="BK210" s="25"/>
    </row>
    <row r="211" spans="3:63" x14ac:dyDescent="0.35">
      <c r="C211" s="25" t="str">
        <f ca="1"/>
        <v>XS1713462403</v>
      </c>
      <c r="D211" s="25" t="str">
        <f ca="1"/>
        <v>SEMINARA</v>
      </c>
      <c r="E211" s="35">
        <f ca="1"/>
        <v>103.605</v>
      </c>
      <c r="F211" s="102"/>
      <c r="G211" s="102">
        <f ca="1"/>
        <v>1500000</v>
      </c>
      <c r="H211" s="25">
        <f ca="1"/>
        <v>1769.999999999925</v>
      </c>
      <c r="I211" s="37">
        <f ca="1"/>
        <v>-229.99999999996135</v>
      </c>
      <c r="J211" s="37" t="str">
        <f ca="1"/>
        <v>BGN</v>
      </c>
      <c r="K211" s="35" t="str">
        <f ca="1"/>
        <v>EUR</v>
      </c>
      <c r="L211" s="102">
        <f ca="1"/>
        <v>1539.9999999999636</v>
      </c>
      <c r="M211" s="102">
        <f ca="1"/>
        <v>1539.9999999999636</v>
      </c>
      <c r="N211" s="19">
        <f ca="1"/>
        <v>103.723</v>
      </c>
      <c r="Q211" s="20" t="s">
        <v>867</v>
      </c>
      <c r="R211" s="24"/>
      <c r="S211" s="25">
        <f ca="1"/>
        <v>170</v>
      </c>
      <c r="T211" s="19" t="str">
        <f ca="1"/>
        <v>XS1713462403</v>
      </c>
      <c r="U211" s="25" t="str">
        <f ca="1"/>
        <v>OMVAV 2 7/8 PERP</v>
      </c>
      <c r="V211" s="64">
        <f ca="1"/>
        <v>500000</v>
      </c>
      <c r="W211" s="70">
        <f ca="1"/>
        <v>1.18</v>
      </c>
      <c r="X211" s="71">
        <f ca="1"/>
        <v>103.605</v>
      </c>
      <c r="Y211" s="71">
        <f ca="1"/>
        <v>103.723</v>
      </c>
      <c r="Z211" s="57" t="str">
        <f ca="1"/>
        <v>SEMINARA</v>
      </c>
      <c r="AA211" s="57" t="str">
        <f ca="1"/>
        <v>Bond Corporate</v>
      </c>
      <c r="AB211" s="56">
        <f ca="1"/>
        <v>1539.9999999999636</v>
      </c>
      <c r="AC211" s="56">
        <f ca="1">IFERROR(IF(ISBLANK(AB211),"-",AB211-_xlfn.XLOOKUP(T211,AI:AI,AJ:AJ)),"-")</f>
        <v>0</v>
      </c>
      <c r="AD211" s="56">
        <f ca="1">IFERROR(IF(ISBLANK(AB211),"-",AB211-_xlfn.XLOOKUP(T211,AO:AO,AP:AP)),"-")</f>
        <v>9.9999999999768079</v>
      </c>
      <c r="AE211" s="25"/>
      <c r="AF211" s="25"/>
      <c r="AG211" s="25"/>
      <c r="AH211" s="25"/>
      <c r="AI211" s="51" t="s">
        <v>360</v>
      </c>
      <c r="AJ211" s="80">
        <v>1539.9999999999636</v>
      </c>
      <c r="AK211" s="25"/>
      <c r="AL211" s="25"/>
      <c r="AM211" s="25"/>
      <c r="AN211" s="25"/>
      <c r="AO211" s="51" t="s">
        <v>360</v>
      </c>
      <c r="AP211" s="80">
        <v>1539.9999999999636</v>
      </c>
      <c r="AQ211" s="25"/>
      <c r="AR211" s="25"/>
      <c r="AS211" s="26"/>
      <c r="AT211" s="20" t="s">
        <v>867</v>
      </c>
      <c r="AW211" s="25"/>
      <c r="AX211" s="25"/>
      <c r="AY211" s="37"/>
      <c r="AZ211" s="25"/>
      <c r="BA211" s="35"/>
      <c r="BB211" s="25"/>
      <c r="BC211" s="25"/>
      <c r="BD211" s="25"/>
      <c r="BE211" s="25"/>
      <c r="BF211" s="25"/>
      <c r="BG211" s="25"/>
      <c r="BH211" s="25"/>
      <c r="BI211" s="37"/>
      <c r="BJ211" s="25"/>
      <c r="BK211" s="25"/>
    </row>
    <row r="212" spans="3:63" x14ac:dyDescent="0.35">
      <c r="C212" s="25" t="str">
        <f ca="1"/>
        <v>XS1115502988</v>
      </c>
      <c r="D212" s="25" t="str">
        <f ca="1"/>
        <v>SEMINARA</v>
      </c>
      <c r="E212" s="35">
        <f ca="1"/>
        <v>109.857</v>
      </c>
      <c r="F212" s="102"/>
      <c r="G212" s="102">
        <f ca="1"/>
        <v>3181000</v>
      </c>
      <c r="H212" s="25">
        <f ca="1"/>
        <v>2640.2299999999495</v>
      </c>
      <c r="I212" s="37">
        <f ca="1"/>
        <v>0</v>
      </c>
      <c r="J212" s="37" t="str">
        <f ca="1"/>
        <v>BGN</v>
      </c>
      <c r="K212" s="35" t="str">
        <f ca="1"/>
        <v>GBP</v>
      </c>
      <c r="L212" s="102">
        <f ca="1"/>
        <v>2640.2299999999495</v>
      </c>
      <c r="M212" s="102">
        <f ca="1"/>
        <v>2947.2887489999439</v>
      </c>
      <c r="N212" s="19">
        <f ca="1"/>
        <v>109.94</v>
      </c>
      <c r="Q212" s="20" t="s">
        <v>867</v>
      </c>
      <c r="R212" s="24"/>
      <c r="S212" s="25">
        <f ca="1"/>
        <v>171</v>
      </c>
      <c r="T212" s="19" t="str">
        <f ca="1"/>
        <v>XS1115502988</v>
      </c>
      <c r="U212" s="25" t="str">
        <f ca="1"/>
        <v>ORAFP 5 3/4 PERP</v>
      </c>
      <c r="V212" s="64">
        <f ca="1"/>
        <v>3181000</v>
      </c>
      <c r="W212" s="70">
        <f ca="1"/>
        <v>3.84</v>
      </c>
      <c r="X212" s="71">
        <f ca="1"/>
        <v>109.857</v>
      </c>
      <c r="Y212" s="71">
        <f ca="1"/>
        <v>109.94</v>
      </c>
      <c r="Z212" s="57" t="str">
        <f ca="1"/>
        <v>SEMINARA</v>
      </c>
      <c r="AA212" s="57" t="str">
        <f ca="1"/>
        <v>Bond Corporate</v>
      </c>
      <c r="AB212" s="56">
        <f ca="1"/>
        <v>2947.2887489999439</v>
      </c>
      <c r="AC212" s="56">
        <f ca="1">IFERROR(IF(ISBLANK(AB212),"-",AB212-_xlfn.XLOOKUP(T212,AI:AI,AJ:AJ)),"-")</f>
        <v>-0.79206900000008318</v>
      </c>
      <c r="AD212" s="56">
        <f ca="1">IFERROR(IF(ISBLANK(AB212),"-",AB212-_xlfn.XLOOKUP(T212,AO:AO,AP:AP)),"-")</f>
        <v>531.34469700002046</v>
      </c>
      <c r="AE212" s="25"/>
      <c r="AF212" s="25"/>
      <c r="AG212" s="25"/>
      <c r="AH212" s="25"/>
      <c r="AI212" s="51" t="s">
        <v>1340</v>
      </c>
      <c r="AJ212" s="80">
        <v>2947.2887489999439</v>
      </c>
      <c r="AK212" s="25"/>
      <c r="AL212" s="25"/>
      <c r="AM212" s="25"/>
      <c r="AN212" s="25"/>
      <c r="AO212" s="51" t="s">
        <v>1340</v>
      </c>
      <c r="AP212" s="80">
        <v>2948.080817999944</v>
      </c>
      <c r="AQ212" s="25"/>
      <c r="AR212" s="25"/>
      <c r="AS212" s="26"/>
      <c r="AT212" s="20" t="s">
        <v>867</v>
      </c>
      <c r="AW212" s="25"/>
      <c r="AX212" s="25"/>
      <c r="AY212" s="37"/>
      <c r="AZ212" s="25"/>
      <c r="BA212" s="35"/>
      <c r="BB212" s="25"/>
      <c r="BC212" s="25"/>
      <c r="BD212" s="25"/>
      <c r="BE212" s="25"/>
      <c r="BF212" s="25"/>
      <c r="BG212" s="25"/>
      <c r="BH212" s="25"/>
      <c r="BI212" s="37"/>
      <c r="BJ212" s="25"/>
      <c r="BK212" s="25"/>
    </row>
    <row r="213" spans="3:63" x14ac:dyDescent="0.35">
      <c r="C213" s="25" t="str">
        <f ca="1"/>
        <v>XS2010036874</v>
      </c>
      <c r="D213" s="25" t="str">
        <f ca="1"/>
        <v>SEMINARA</v>
      </c>
      <c r="E213" s="35">
        <f ca="1"/>
        <v>101.736</v>
      </c>
      <c r="F213" s="102"/>
      <c r="G213" s="102">
        <f ca="1"/>
        <v>2000000</v>
      </c>
      <c r="H213" s="25">
        <f ca="1"/>
        <v>2740.0000000000091</v>
      </c>
      <c r="I213" s="37">
        <f ca="1"/>
        <v>0</v>
      </c>
      <c r="J213" s="37" t="str">
        <f ca="1"/>
        <v>BGN</v>
      </c>
      <c r="K213" s="35" t="str">
        <f ca="1"/>
        <v>EUR</v>
      </c>
      <c r="L213" s="102">
        <f ca="1"/>
        <v>2740.0000000000091</v>
      </c>
      <c r="M213" s="102">
        <f ca="1"/>
        <v>2740.0000000000091</v>
      </c>
      <c r="N213" s="19">
        <f ca="1"/>
        <v>101.873</v>
      </c>
      <c r="Q213" s="20" t="s">
        <v>867</v>
      </c>
      <c r="R213" s="24"/>
      <c r="S213" s="25">
        <f ca="1"/>
        <v>172</v>
      </c>
      <c r="T213" s="19" t="str">
        <f ca="1"/>
        <v>XS2010036874</v>
      </c>
      <c r="U213" s="25" t="str">
        <f ca="1"/>
        <v>ORSTED 1 3/4 12/09/19</v>
      </c>
      <c r="V213" s="64">
        <f ca="1"/>
        <v>2000000</v>
      </c>
      <c r="W213" s="70">
        <f ca="1"/>
        <v>8.01</v>
      </c>
      <c r="X213" s="71">
        <f ca="1"/>
        <v>101.736</v>
      </c>
      <c r="Y213" s="71">
        <f ca="1"/>
        <v>101.873</v>
      </c>
      <c r="Z213" s="57" t="str">
        <f ca="1"/>
        <v>SEMINARA</v>
      </c>
      <c r="AA213" s="57" t="str">
        <f ca="1"/>
        <v>Bond Corporate</v>
      </c>
      <c r="AB213" s="56">
        <f ca="1"/>
        <v>2740.0000000000091</v>
      </c>
      <c r="AC213" s="56">
        <f ca="1">IFERROR(IF(ISBLANK(AB213),"-",AB213-_xlfn.XLOOKUP(T213,AI:AI,AJ:AJ)),"-")</f>
        <v>0</v>
      </c>
      <c r="AD213" s="56">
        <f ca="1">IFERROR(IF(ISBLANK(AB213),"-",AB213-_xlfn.XLOOKUP(T213,AO:AO,AP:AP)),"-")</f>
        <v>-219.9999999999136</v>
      </c>
      <c r="AE213" s="25"/>
      <c r="AF213" s="25"/>
      <c r="AG213" s="25"/>
      <c r="AH213" s="25"/>
      <c r="AI213" s="51" t="s">
        <v>369</v>
      </c>
      <c r="AJ213" s="80">
        <v>2740.0000000000091</v>
      </c>
      <c r="AK213" s="25"/>
      <c r="AL213" s="25"/>
      <c r="AM213" s="25"/>
      <c r="AN213" s="25"/>
      <c r="AO213" s="51" t="s">
        <v>369</v>
      </c>
      <c r="AP213" s="80">
        <v>2740.0000000000091</v>
      </c>
      <c r="AQ213" s="25"/>
      <c r="AR213" s="25"/>
      <c r="AS213" s="26"/>
      <c r="AT213" s="20" t="s">
        <v>867</v>
      </c>
      <c r="AW213" s="25"/>
      <c r="AX213" s="25"/>
      <c r="AY213" s="37"/>
      <c r="AZ213" s="25"/>
      <c r="BA213" s="35"/>
      <c r="BB213" s="25"/>
      <c r="BC213" s="25"/>
      <c r="BD213" s="25"/>
      <c r="BE213" s="25"/>
      <c r="BF213" s="25"/>
      <c r="BG213" s="25"/>
      <c r="BH213" s="25"/>
      <c r="BI213" s="37"/>
      <c r="BJ213" s="25"/>
      <c r="BK213" s="25"/>
    </row>
    <row r="214" spans="3:63" x14ac:dyDescent="0.35">
      <c r="C214" s="25" t="str">
        <f ca="1"/>
        <v>XS2186001314</v>
      </c>
      <c r="D214" s="25" t="str">
        <f ca="1"/>
        <v>SEMINARA</v>
      </c>
      <c r="E214" s="35">
        <f ca="1"/>
        <v>106.209</v>
      </c>
      <c r="F214" s="102"/>
      <c r="G214" s="102">
        <f ca="1"/>
        <v>-434000</v>
      </c>
      <c r="H214" s="25">
        <f ca="1"/>
        <v>-2573.6200000000154</v>
      </c>
      <c r="I214" s="37">
        <f ca="1"/>
        <v>2742.480000000076</v>
      </c>
      <c r="J214" s="37" t="str">
        <f ca="1"/>
        <v>BGN</v>
      </c>
      <c r="K214" s="35" t="str">
        <f ca="1"/>
        <v>EUR</v>
      </c>
      <c r="L214" s="102">
        <f ca="1"/>
        <v>168.86000000006061</v>
      </c>
      <c r="M214" s="102">
        <f ca="1"/>
        <v>168.86000000006061</v>
      </c>
      <c r="N214" s="19">
        <f ca="1"/>
        <v>106.80200000000001</v>
      </c>
      <c r="Q214" s="20" t="s">
        <v>867</v>
      </c>
      <c r="R214" s="24"/>
      <c r="S214" s="25">
        <f ca="1"/>
        <v>173</v>
      </c>
      <c r="T214" s="19" t="str">
        <f ca="1"/>
        <v>XS2186001314</v>
      </c>
      <c r="U214" s="25" t="str">
        <f ca="1"/>
        <v>REPSM 4.247 PERP</v>
      </c>
      <c r="V214" s="64">
        <f ca="1"/>
        <v>-325000</v>
      </c>
      <c r="W214" s="70">
        <f ca="1"/>
        <v>-2.7</v>
      </c>
      <c r="X214" s="71">
        <f ca="1"/>
        <v>106.209</v>
      </c>
      <c r="Y214" s="71">
        <f ca="1"/>
        <v>106.80200000000001</v>
      </c>
      <c r="Z214" s="57" t="str">
        <f ca="1"/>
        <v>SEMINARA</v>
      </c>
      <c r="AA214" s="57" t="str">
        <f ca="1"/>
        <v>Bond Corporate</v>
      </c>
      <c r="AB214" s="56">
        <f ca="1"/>
        <v>168.86000000006061</v>
      </c>
      <c r="AC214" s="56">
        <f ca="1">IFERROR(IF(ISBLANK(AB214),"-",AB214-_xlfn.XLOOKUP(T214,AI:AI,AJ:AJ)),"-")</f>
        <v>0</v>
      </c>
      <c r="AD214" s="56">
        <f ca="1">IFERROR(IF(ISBLANK(AB214),"-",AB214-_xlfn.XLOOKUP(T214,AO:AO,AP:AP)),"-")</f>
        <v>-68.250000000003183</v>
      </c>
      <c r="AE214" s="25"/>
      <c r="AF214" s="25"/>
      <c r="AG214" s="25"/>
      <c r="AH214" s="25"/>
      <c r="AI214" s="51" t="s">
        <v>372</v>
      </c>
      <c r="AJ214" s="80">
        <v>168.86000000006061</v>
      </c>
      <c r="AK214" s="25"/>
      <c r="AL214" s="25"/>
      <c r="AM214" s="25"/>
      <c r="AN214" s="25"/>
      <c r="AO214" s="51" t="s">
        <v>372</v>
      </c>
      <c r="AP214" s="80">
        <v>168.86000000006061</v>
      </c>
      <c r="AQ214" s="25"/>
      <c r="AR214" s="25"/>
      <c r="AS214" s="26"/>
      <c r="AT214" s="20" t="s">
        <v>867</v>
      </c>
      <c r="AW214" s="25"/>
      <c r="AX214" s="25"/>
      <c r="AY214" s="37"/>
      <c r="AZ214" s="25"/>
      <c r="BA214" s="35"/>
      <c r="BB214" s="25"/>
      <c r="BC214" s="25"/>
      <c r="BD214" s="25"/>
      <c r="BE214" s="25"/>
      <c r="BF214" s="25"/>
      <c r="BG214" s="25"/>
      <c r="BH214" s="25"/>
      <c r="BI214" s="37"/>
      <c r="BJ214" s="25"/>
      <c r="BK214" s="25"/>
    </row>
    <row r="215" spans="3:63" x14ac:dyDescent="0.35">
      <c r="C215" s="25" t="str">
        <f ca="1"/>
        <v>XS2185997884</v>
      </c>
      <c r="D215" s="25" t="str">
        <f ca="1"/>
        <v>SEMINARA</v>
      </c>
      <c r="E215" s="35">
        <f ca="1"/>
        <v>103.54</v>
      </c>
      <c r="F215" s="102"/>
      <c r="G215" s="102">
        <f ca="1"/>
        <v>0</v>
      </c>
      <c r="H215" s="25">
        <f ca="1"/>
        <v>0</v>
      </c>
      <c r="I215" s="37">
        <f ca="1"/>
        <v>0</v>
      </c>
      <c r="J215" s="37" t="str">
        <f ca="1"/>
        <v>BGN</v>
      </c>
      <c r="K215" s="35" t="str">
        <f ca="1"/>
        <v>EUR</v>
      </c>
      <c r="L215" s="102">
        <f ca="1"/>
        <v>0</v>
      </c>
      <c r="M215" s="102">
        <f ca="1"/>
        <v>0</v>
      </c>
      <c r="N215" s="19">
        <f ca="1"/>
        <v>104.563</v>
      </c>
      <c r="Q215" s="20" t="s">
        <v>867</v>
      </c>
      <c r="R215" s="24"/>
      <c r="S215" s="25">
        <f ca="1"/>
        <v>174</v>
      </c>
      <c r="T215" s="19" t="str">
        <f ca="1"/>
        <v>XS2185997884</v>
      </c>
      <c r="U215" s="25" t="str">
        <f ca="1"/>
        <v>REPSM 3 3/4 PERP</v>
      </c>
      <c r="V215" s="64">
        <f ca="1"/>
        <v>0</v>
      </c>
      <c r="W215" s="70">
        <f ca="1"/>
        <v>0</v>
      </c>
      <c r="X215" s="71">
        <f ca="1"/>
        <v>103.54</v>
      </c>
      <c r="Y215" s="71">
        <f ca="1"/>
        <v>104.563</v>
      </c>
      <c r="Z215" s="57" t="str">
        <f ca="1"/>
        <v>SEMINARA</v>
      </c>
      <c r="AA215" s="57" t="str">
        <f ca="1"/>
        <v>Bond Corporate</v>
      </c>
      <c r="AB215" s="56">
        <f ca="1"/>
        <v>0</v>
      </c>
      <c r="AC215" s="56">
        <f ca="1">IFERROR(IF(ISBLANK(AB215),"-",AB215-_xlfn.XLOOKUP(T215,AI:AI,AJ:AJ)),"-")</f>
        <v>0</v>
      </c>
      <c r="AD215" s="56">
        <f ca="1">IFERROR(IF(ISBLANK(AB215),"-",AB215-_xlfn.XLOOKUP(T215,AO:AO,AP:AP)),"-")</f>
        <v>0</v>
      </c>
      <c r="AE215" s="25"/>
      <c r="AF215" s="25"/>
      <c r="AG215" s="25"/>
      <c r="AH215" s="25"/>
      <c r="AI215" s="51" t="s">
        <v>916</v>
      </c>
      <c r="AJ215" s="80">
        <v>0</v>
      </c>
      <c r="AK215" s="25"/>
      <c r="AL215" s="25"/>
      <c r="AM215" s="25"/>
      <c r="AN215" s="25"/>
      <c r="AO215" s="51" t="s">
        <v>916</v>
      </c>
      <c r="AP215" s="80">
        <v>0</v>
      </c>
      <c r="AQ215" s="25"/>
      <c r="AR215" s="25"/>
      <c r="AS215" s="26"/>
      <c r="AT215" s="20" t="s">
        <v>867</v>
      </c>
      <c r="AW215" s="25"/>
      <c r="AX215" s="25"/>
      <c r="AY215" s="37"/>
      <c r="AZ215" s="25"/>
      <c r="BA215" s="35"/>
      <c r="BB215" s="25"/>
      <c r="BC215" s="25"/>
      <c r="BD215" s="25"/>
      <c r="BE215" s="25"/>
      <c r="BF215" s="25"/>
      <c r="BG215" s="25"/>
      <c r="BH215" s="25"/>
      <c r="BI215" s="37"/>
      <c r="BJ215" s="25"/>
      <c r="BK215" s="25"/>
    </row>
    <row r="216" spans="3:63" x14ac:dyDescent="0.35">
      <c r="C216" s="25" t="str">
        <f ca="1"/>
        <v>XS1219499032</v>
      </c>
      <c r="D216" s="25" t="str">
        <f ca="1"/>
        <v>SEMINARA</v>
      </c>
      <c r="E216" s="35">
        <f ca="1"/>
        <v>108.354</v>
      </c>
      <c r="F216" s="102"/>
      <c r="G216" s="102">
        <f ca="1"/>
        <v>3398000</v>
      </c>
      <c r="H216" s="25">
        <f ca="1"/>
        <v>339.80000000017384</v>
      </c>
      <c r="I216" s="37">
        <f ca="1"/>
        <v>0</v>
      </c>
      <c r="J216" s="37" t="str">
        <f ca="1"/>
        <v>BGN</v>
      </c>
      <c r="K216" s="35" t="str">
        <f ca="1"/>
        <v>EUR</v>
      </c>
      <c r="L216" s="102">
        <f ca="1"/>
        <v>339.80000000017384</v>
      </c>
      <c r="M216" s="102">
        <f ca="1"/>
        <v>339.80000000017384</v>
      </c>
      <c r="N216" s="19">
        <f ca="1"/>
        <v>108.364</v>
      </c>
      <c r="Q216" s="20" t="s">
        <v>867</v>
      </c>
      <c r="R216" s="24"/>
      <c r="S216" s="25">
        <f ca="1"/>
        <v>175</v>
      </c>
      <c r="T216" s="19" t="str">
        <f ca="1"/>
        <v>XS1219499032</v>
      </c>
      <c r="U216" s="25" t="str">
        <f ca="1"/>
        <v>RWE 3 1/2 04/21/75</v>
      </c>
      <c r="V216" s="64">
        <f ca="1"/>
        <v>3398000</v>
      </c>
      <c r="W216" s="70">
        <f ca="1"/>
        <v>9.8699999999999992</v>
      </c>
      <c r="X216" s="71">
        <f ca="1"/>
        <v>108.354</v>
      </c>
      <c r="Y216" s="71">
        <f ca="1"/>
        <v>108.364</v>
      </c>
      <c r="Z216" s="57" t="str">
        <f ca="1"/>
        <v>SEMINARA</v>
      </c>
      <c r="AA216" s="57" t="str">
        <f ca="1"/>
        <v>Bond Corporate</v>
      </c>
      <c r="AB216" s="56">
        <f ca="1"/>
        <v>339.80000000017384</v>
      </c>
      <c r="AC216" s="56">
        <f ca="1">IFERROR(IF(ISBLANK(AB216),"-",AB216-_xlfn.XLOOKUP(T216,AI:AI,AJ:AJ)),"-")</f>
        <v>0</v>
      </c>
      <c r="AD216" s="56">
        <f ca="1">IFERROR(IF(ISBLANK(AB216),"-",AB216-_xlfn.XLOOKUP(T216,AO:AO,AP:AP)),"-")</f>
        <v>1087.3600000003632</v>
      </c>
      <c r="AE216" s="25"/>
      <c r="AF216" s="25"/>
      <c r="AG216" s="25"/>
      <c r="AH216" s="25"/>
      <c r="AI216" s="51" t="s">
        <v>376</v>
      </c>
      <c r="AJ216" s="80">
        <v>339.80000000017384</v>
      </c>
      <c r="AK216" s="25"/>
      <c r="AL216" s="25"/>
      <c r="AM216" s="25"/>
      <c r="AN216" s="25"/>
      <c r="AO216" s="51" t="s">
        <v>376</v>
      </c>
      <c r="AP216" s="80">
        <v>339.80000000017384</v>
      </c>
      <c r="AQ216" s="25"/>
      <c r="AR216" s="25"/>
      <c r="AS216" s="26"/>
      <c r="AT216" s="20" t="s">
        <v>867</v>
      </c>
      <c r="AW216" s="25"/>
      <c r="AX216" s="25"/>
      <c r="AY216" s="37"/>
      <c r="AZ216" s="25"/>
      <c r="BA216" s="35"/>
      <c r="BB216" s="25"/>
      <c r="BC216" s="25"/>
      <c r="BD216" s="25"/>
      <c r="BE216" s="25"/>
      <c r="BF216" s="25"/>
      <c r="BG216" s="25"/>
      <c r="BH216" s="25"/>
      <c r="BI216" s="37"/>
      <c r="BJ216" s="25"/>
      <c r="BK216" s="25"/>
    </row>
    <row r="217" spans="3:63" x14ac:dyDescent="0.35">
      <c r="C217" s="25" t="str">
        <f ca="1"/>
        <v>FR0013252061</v>
      </c>
      <c r="D217" s="25" t="str">
        <f ca="1"/>
        <v>SEMINARA</v>
      </c>
      <c r="E217" s="35">
        <f ca="1"/>
        <v>104.044</v>
      </c>
      <c r="F217" s="102"/>
      <c r="G217" s="102">
        <f ca="1"/>
        <v>-3300000</v>
      </c>
      <c r="H217" s="25">
        <f ca="1"/>
        <v>-2079.0000000000787</v>
      </c>
      <c r="I217" s="37">
        <f ca="1"/>
        <v>0</v>
      </c>
      <c r="J217" s="37" t="str">
        <f ca="1"/>
        <v>BGN</v>
      </c>
      <c r="K217" s="35" t="str">
        <f ca="1"/>
        <v>EUR</v>
      </c>
      <c r="L217" s="102">
        <f ca="1"/>
        <v>-2079.0000000000787</v>
      </c>
      <c r="M217" s="102">
        <f ca="1"/>
        <v>-2079.0000000000787</v>
      </c>
      <c r="N217" s="19">
        <f ca="1"/>
        <v>104.107</v>
      </c>
      <c r="Q217" s="20" t="s">
        <v>867</v>
      </c>
      <c r="R217" s="24"/>
      <c r="S217" s="25">
        <f ca="1"/>
        <v>176</v>
      </c>
      <c r="T217" s="19" t="str">
        <f ca="1"/>
        <v>FR0013252061</v>
      </c>
      <c r="U217" s="25" t="str">
        <f ca="1"/>
        <v>SEVFP 2 7/8 PERP</v>
      </c>
      <c r="V217" s="64">
        <f ca="1"/>
        <v>-3300000</v>
      </c>
      <c r="W217" s="70">
        <f ca="1"/>
        <v>-6.9</v>
      </c>
      <c r="X217" s="71">
        <f ca="1"/>
        <v>104.044</v>
      </c>
      <c r="Y217" s="71">
        <f ca="1"/>
        <v>104.107</v>
      </c>
      <c r="Z217" s="57" t="str">
        <f ca="1"/>
        <v>SEMINARA</v>
      </c>
      <c r="AA217" s="57" t="str">
        <f ca="1"/>
        <v>Bond Corporate</v>
      </c>
      <c r="AB217" s="56">
        <f ca="1"/>
        <v>-2079.0000000000787</v>
      </c>
      <c r="AC217" s="56">
        <f ca="1">IFERROR(IF(ISBLANK(AB217),"-",AB217-_xlfn.XLOOKUP(T217,AI:AI,AJ:AJ)),"-")</f>
        <v>0</v>
      </c>
      <c r="AD217" s="56">
        <f ca="1">IFERROR(IF(ISBLANK(AB217),"-",AB217-_xlfn.XLOOKUP(T217,AO:AO,AP:AP)),"-")</f>
        <v>0</v>
      </c>
      <c r="AE217" s="25"/>
      <c r="AF217" s="25"/>
      <c r="AG217" s="25"/>
      <c r="AH217" s="25"/>
      <c r="AI217" s="51" t="s">
        <v>384</v>
      </c>
      <c r="AJ217" s="80">
        <v>-2079.0000000000787</v>
      </c>
      <c r="AK217" s="25"/>
      <c r="AL217" s="25"/>
      <c r="AM217" s="25"/>
      <c r="AN217" s="25"/>
      <c r="AO217" s="51" t="s">
        <v>384</v>
      </c>
      <c r="AP217" s="80">
        <v>-2079.0000000000787</v>
      </c>
      <c r="AQ217" s="25"/>
      <c r="AR217" s="25"/>
      <c r="AS217" s="26"/>
      <c r="AT217" s="20" t="s">
        <v>867</v>
      </c>
      <c r="AW217" s="25"/>
      <c r="AX217" s="25"/>
      <c r="AY217" s="37"/>
      <c r="AZ217" s="25"/>
      <c r="BA217" s="35"/>
      <c r="BB217" s="25"/>
      <c r="BC217" s="25"/>
      <c r="BD217" s="25"/>
      <c r="BE217" s="25"/>
      <c r="BF217" s="25"/>
      <c r="BG217" s="25"/>
      <c r="BH217" s="25"/>
      <c r="BI217" s="37"/>
      <c r="BJ217" s="25"/>
      <c r="BK217" s="25"/>
    </row>
    <row r="218" spans="3:63" x14ac:dyDescent="0.35">
      <c r="C218" s="25" t="str">
        <f ca="1"/>
        <v>XS2195190520</v>
      </c>
      <c r="D218" s="25" t="str">
        <f ca="1"/>
        <v>SEMINARA</v>
      </c>
      <c r="E218" s="35">
        <f ca="1"/>
        <v>104.96299999999999</v>
      </c>
      <c r="F218" s="102"/>
      <c r="G218" s="102">
        <f ca="1"/>
        <v>-3500000</v>
      </c>
      <c r="H218" s="25">
        <f ca="1"/>
        <v>-3849.99999999998</v>
      </c>
      <c r="I218" s="37">
        <f ca="1"/>
        <v>0</v>
      </c>
      <c r="J218" s="37" t="str">
        <f ca="1"/>
        <v>BGN</v>
      </c>
      <c r="K218" s="35" t="str">
        <f ca="1"/>
        <v>EUR</v>
      </c>
      <c r="L218" s="102">
        <f ca="1"/>
        <v>-3849.99999999998</v>
      </c>
      <c r="M218" s="102">
        <f ca="1"/>
        <v>-3849.99999999998</v>
      </c>
      <c r="N218" s="19">
        <f ca="1"/>
        <v>105.07299999999999</v>
      </c>
      <c r="Q218" s="20" t="s">
        <v>867</v>
      </c>
      <c r="R218" s="24"/>
      <c r="S218" s="25">
        <f ca="1"/>
        <v>177</v>
      </c>
      <c r="T218" s="19" t="str">
        <f ca="1"/>
        <v>XS2195190520</v>
      </c>
      <c r="U218" s="25" t="str">
        <f ca="1"/>
        <v>SSELN 3 1/8 PERP</v>
      </c>
      <c r="V218" s="64">
        <f ca="1"/>
        <v>-3500000</v>
      </c>
      <c r="W218" s="70">
        <f ca="1"/>
        <v>-18.46</v>
      </c>
      <c r="X218" s="71">
        <f ca="1"/>
        <v>104.96299999999999</v>
      </c>
      <c r="Y218" s="71">
        <f ca="1"/>
        <v>105.07299999999999</v>
      </c>
      <c r="Z218" s="57" t="str">
        <f ca="1"/>
        <v>SEMINARA</v>
      </c>
      <c r="AA218" s="57" t="str">
        <f ca="1"/>
        <v>Bond Corporate</v>
      </c>
      <c r="AB218" s="56">
        <f ca="1"/>
        <v>-3849.99999999998</v>
      </c>
      <c r="AC218" s="56">
        <f ca="1">IFERROR(IF(ISBLANK(AB218),"-",AB218-_xlfn.XLOOKUP(T218,AI:AI,AJ:AJ)),"-")</f>
        <v>35.000000000167347</v>
      </c>
      <c r="AD218" s="56">
        <f ca="1">IFERROR(IF(ISBLANK(AB218),"-",AB218-_xlfn.XLOOKUP(T218,AO:AO,AP:AP)),"-")</f>
        <v>595.00000000035379</v>
      </c>
      <c r="AE218" s="25"/>
      <c r="AF218" s="25"/>
      <c r="AG218" s="25"/>
      <c r="AH218" s="25"/>
      <c r="AI218" s="51" t="s">
        <v>996</v>
      </c>
      <c r="AJ218" s="80">
        <v>-3849.99999999998</v>
      </c>
      <c r="AK218" s="25"/>
      <c r="AL218" s="25"/>
      <c r="AM218" s="25"/>
      <c r="AN218" s="25"/>
      <c r="AO218" s="51" t="s">
        <v>996</v>
      </c>
      <c r="AP218" s="80">
        <v>-3885.0000000001473</v>
      </c>
      <c r="AQ218" s="25"/>
      <c r="AR218" s="25"/>
      <c r="AS218" s="26"/>
      <c r="AT218" s="20" t="s">
        <v>867</v>
      </c>
      <c r="AW218" s="25"/>
      <c r="AX218" s="25"/>
      <c r="AY218" s="37"/>
      <c r="AZ218" s="25"/>
      <c r="BA218" s="35"/>
      <c r="BB218" s="25"/>
      <c r="BC218" s="25"/>
      <c r="BD218" s="25"/>
      <c r="BE218" s="25"/>
      <c r="BF218" s="25"/>
      <c r="BG218" s="25"/>
      <c r="BH218" s="25"/>
      <c r="BI218" s="37"/>
      <c r="BJ218" s="25"/>
      <c r="BK218" s="25"/>
    </row>
    <row r="219" spans="3:63" x14ac:dyDescent="0.35">
      <c r="C219" s="25" t="str">
        <f ca="1"/>
        <v>XS2195190876</v>
      </c>
      <c r="D219" s="25" t="str">
        <f ca="1"/>
        <v>SEMINARA</v>
      </c>
      <c r="E219" s="35">
        <f ca="1"/>
        <v>104.441</v>
      </c>
      <c r="F219" s="102"/>
      <c r="G219" s="102">
        <f ca="1"/>
        <v>2300000</v>
      </c>
      <c r="H219" s="25">
        <f ca="1"/>
        <v>1587.0000000000603</v>
      </c>
      <c r="I219" s="37">
        <f ca="1"/>
        <v>0</v>
      </c>
      <c r="J219" s="37" t="str">
        <f ca="1"/>
        <v>BGN</v>
      </c>
      <c r="K219" s="35" t="str">
        <f ca="1"/>
        <v>GBP</v>
      </c>
      <c r="L219" s="102">
        <f ca="1"/>
        <v>1587.0000000000603</v>
      </c>
      <c r="M219" s="102">
        <f ca="1"/>
        <v>1771.5681000000673</v>
      </c>
      <c r="N219" s="19">
        <f ca="1"/>
        <v>104.51</v>
      </c>
      <c r="Q219" s="20" t="s">
        <v>867</v>
      </c>
      <c r="R219" s="24"/>
      <c r="S219" s="25">
        <f ca="1"/>
        <v>178</v>
      </c>
      <c r="T219" s="19" t="str">
        <f ca="1"/>
        <v>XS2195190876</v>
      </c>
      <c r="U219" s="25" t="str">
        <f ca="1"/>
        <v>SSELN 3.74 PERP</v>
      </c>
      <c r="V219" s="64">
        <f ca="1"/>
        <v>2300000</v>
      </c>
      <c r="W219" s="70">
        <f ca="1"/>
        <v>10.36</v>
      </c>
      <c r="X219" s="71">
        <f ca="1"/>
        <v>104.441</v>
      </c>
      <c r="Y219" s="71">
        <f ca="1"/>
        <v>104.51</v>
      </c>
      <c r="Z219" s="57" t="str">
        <f ca="1"/>
        <v>SEMINARA</v>
      </c>
      <c r="AA219" s="57" t="str">
        <f ca="1"/>
        <v>Bond Corporate</v>
      </c>
      <c r="AB219" s="56">
        <f ca="1"/>
        <v>1771.5681000000673</v>
      </c>
      <c r="AC219" s="56">
        <f ca="1">IFERROR(IF(ISBLANK(AB219),"-",AB219-_xlfn.XLOOKUP(T219,AI:AI,AJ:AJ)),"-")</f>
        <v>-0.47610000000008768</v>
      </c>
      <c r="AD219" s="56">
        <f ca="1">IFERROR(IF(ISBLANK(AB219),"-",AB219-_xlfn.XLOOKUP(T219,AO:AO,AP:AP)),"-")</f>
        <v>-489.03749999977526</v>
      </c>
      <c r="AE219" s="25"/>
      <c r="AF219" s="25"/>
      <c r="AG219" s="25"/>
      <c r="AH219" s="25"/>
      <c r="AI219" s="51" t="s">
        <v>1444</v>
      </c>
      <c r="AJ219" s="80">
        <v>1771.5681000000673</v>
      </c>
      <c r="AK219" s="25"/>
      <c r="AL219" s="25"/>
      <c r="AM219" s="25"/>
      <c r="AN219" s="25"/>
      <c r="AO219" s="51" t="s">
        <v>1444</v>
      </c>
      <c r="AP219" s="80">
        <v>1772.0442000000673</v>
      </c>
      <c r="AQ219" s="25"/>
      <c r="AR219" s="25"/>
      <c r="AS219" s="26"/>
      <c r="AT219" s="20" t="s">
        <v>867</v>
      </c>
      <c r="AW219" s="25"/>
      <c r="AX219" s="25"/>
      <c r="AY219" s="37"/>
      <c r="AZ219" s="25"/>
      <c r="BA219" s="35"/>
      <c r="BB219" s="25"/>
      <c r="BC219" s="25"/>
      <c r="BD219" s="25"/>
      <c r="BE219" s="25"/>
      <c r="BF219" s="25"/>
      <c r="BG219" s="25"/>
      <c r="BH219" s="25"/>
      <c r="BI219" s="37"/>
      <c r="BJ219" s="25"/>
      <c r="BK219" s="25"/>
    </row>
    <row r="220" spans="3:63" x14ac:dyDescent="0.35">
      <c r="C220" s="25" t="str">
        <f ca="1"/>
        <v>XS1572343744</v>
      </c>
      <c r="D220" s="25" t="str">
        <f ca="1"/>
        <v>SEMINARA</v>
      </c>
      <c r="E220" s="35">
        <f ca="1"/>
        <v>104.01600000000001</v>
      </c>
      <c r="F220" s="102"/>
      <c r="G220" s="102">
        <f ca="1"/>
        <v>3615000</v>
      </c>
      <c r="H220" s="25">
        <f ca="1"/>
        <v>-578.40000000019313</v>
      </c>
      <c r="I220" s="37">
        <f ca="1"/>
        <v>0</v>
      </c>
      <c r="J220" s="37" t="str">
        <f ca="1"/>
        <v>BGN</v>
      </c>
      <c r="K220" s="35" t="str">
        <f ca="1"/>
        <v>USD</v>
      </c>
      <c r="L220" s="102">
        <f ca="1"/>
        <v>-578.40000000019313</v>
      </c>
      <c r="M220" s="102">
        <f ca="1"/>
        <v>-487.47552000016276</v>
      </c>
      <c r="N220" s="19">
        <f ca="1"/>
        <v>104</v>
      </c>
      <c r="Q220" s="20" t="s">
        <v>867</v>
      </c>
      <c r="R220" s="24"/>
      <c r="S220" s="25">
        <f ca="1"/>
        <v>179</v>
      </c>
      <c r="T220" s="19" t="str">
        <f ca="1"/>
        <v>XS1572343744</v>
      </c>
      <c r="U220" s="25" t="str">
        <f ca="1"/>
        <v>SSELN 4 3/4 09/16/77</v>
      </c>
      <c r="V220" s="64">
        <f ca="1"/>
        <v>3615000</v>
      </c>
      <c r="W220" s="70">
        <f ca="1"/>
        <v>3.01</v>
      </c>
      <c r="X220" s="71">
        <f ca="1"/>
        <v>104.01600000000001</v>
      </c>
      <c r="Y220" s="71">
        <f ca="1"/>
        <v>104</v>
      </c>
      <c r="Z220" s="57" t="str">
        <f ca="1"/>
        <v>SEMINARA</v>
      </c>
      <c r="AA220" s="57" t="str">
        <f ca="1"/>
        <v>Bond Corporate</v>
      </c>
      <c r="AB220" s="56">
        <f ca="1"/>
        <v>-487.47552000016276</v>
      </c>
      <c r="AC220" s="56">
        <f ca="1">IFERROR(IF(ISBLANK(AB220),"-",AB220-_xlfn.XLOOKUP(T220,AI:AI,AJ:AJ)),"-")</f>
        <v>-60.833219999857874</v>
      </c>
      <c r="AD220" s="56">
        <f ca="1">IFERROR(IF(ISBLANK(AB220),"-",AB220-_xlfn.XLOOKUP(T220,AO:AO,AP:AP)),"-")</f>
        <v>-91.40166000000346</v>
      </c>
      <c r="AE220" s="25"/>
      <c r="AF220" s="25"/>
      <c r="AG220" s="25"/>
      <c r="AH220" s="25"/>
      <c r="AI220" s="51" t="s">
        <v>386</v>
      </c>
      <c r="AJ220" s="80">
        <v>-487.47552000016276</v>
      </c>
      <c r="AK220" s="25"/>
      <c r="AL220" s="25"/>
      <c r="AM220" s="25"/>
      <c r="AN220" s="25"/>
      <c r="AO220" s="51" t="s">
        <v>386</v>
      </c>
      <c r="AP220" s="80">
        <v>-426.64230000030489</v>
      </c>
      <c r="AQ220" s="25"/>
      <c r="AR220" s="25"/>
      <c r="AS220" s="26"/>
      <c r="AT220" s="20" t="s">
        <v>867</v>
      </c>
      <c r="AW220" s="25"/>
      <c r="AX220" s="25"/>
      <c r="AY220" s="37"/>
      <c r="AZ220" s="25"/>
      <c r="BA220" s="35"/>
      <c r="BB220" s="25"/>
      <c r="BC220" s="25"/>
      <c r="BD220" s="25"/>
      <c r="BE220" s="25"/>
      <c r="BF220" s="25"/>
      <c r="BG220" s="25"/>
      <c r="BH220" s="25"/>
      <c r="BI220" s="37"/>
      <c r="BJ220" s="25"/>
      <c r="BK220" s="25"/>
    </row>
    <row r="221" spans="3:63" x14ac:dyDescent="0.35">
      <c r="C221" s="25" t="str">
        <f ca="1"/>
        <v>XS1572349865</v>
      </c>
      <c r="D221" s="25" t="str">
        <f ca="1"/>
        <v>SEMINARA</v>
      </c>
      <c r="E221" s="35">
        <f ca="1"/>
        <v>102.967</v>
      </c>
      <c r="F221" s="102"/>
      <c r="G221" s="102">
        <f ca="1"/>
        <v>1650000</v>
      </c>
      <c r="H221" s="25">
        <f ca="1"/>
        <v>-313.50000000009004</v>
      </c>
      <c r="I221" s="37">
        <f ca="1"/>
        <v>0</v>
      </c>
      <c r="J221" s="37" t="str">
        <f ca="1"/>
        <v>BGN</v>
      </c>
      <c r="K221" s="35" t="str">
        <f ca="1"/>
        <v>GBP</v>
      </c>
      <c r="L221" s="102">
        <f ca="1"/>
        <v>-313.50000000009004</v>
      </c>
      <c r="M221" s="102">
        <f ca="1"/>
        <v>-349.96005000010052</v>
      </c>
      <c r="N221" s="19">
        <f ca="1"/>
        <v>102.94799999999999</v>
      </c>
      <c r="Q221" s="20" t="s">
        <v>867</v>
      </c>
      <c r="R221" s="24"/>
      <c r="S221" s="25">
        <f ca="1"/>
        <v>180</v>
      </c>
      <c r="T221" s="19" t="str">
        <f ca="1"/>
        <v>XS1572349865</v>
      </c>
      <c r="U221" s="25" t="str">
        <f ca="1"/>
        <v>SSELN 3 5/8 09/16/77</v>
      </c>
      <c r="V221" s="64">
        <f ca="1"/>
        <v>1650000</v>
      </c>
      <c r="W221" s="70">
        <f ca="1"/>
        <v>1.58</v>
      </c>
      <c r="X221" s="71">
        <f ca="1"/>
        <v>102.967</v>
      </c>
      <c r="Y221" s="71">
        <f ca="1"/>
        <v>102.94799999999999</v>
      </c>
      <c r="Z221" s="57" t="str">
        <f ca="1"/>
        <v>SEMINARA</v>
      </c>
      <c r="AA221" s="57" t="str">
        <f ca="1"/>
        <v>Bond Corporate</v>
      </c>
      <c r="AB221" s="56">
        <f ca="1"/>
        <v>-349.96005000010052</v>
      </c>
      <c r="AC221" s="56">
        <f ca="1">IFERROR(IF(ISBLANK(AB221),"-",AB221-_xlfn.XLOOKUP(T221,AI:AI,AJ:AJ)),"-")</f>
        <v>9.4050000000038381E-2</v>
      </c>
      <c r="AD221" s="56">
        <f ca="1">IFERROR(IF(ISBLANK(AB221),"-",AB221-_xlfn.XLOOKUP(T221,AO:AO,AP:AP)),"-")</f>
        <v>-18.240750000087928</v>
      </c>
      <c r="AE221" s="25"/>
      <c r="AF221" s="25"/>
      <c r="AG221" s="25"/>
      <c r="AH221" s="25"/>
      <c r="AI221" s="51" t="s">
        <v>389</v>
      </c>
      <c r="AJ221" s="80">
        <v>-349.96005000010052</v>
      </c>
      <c r="AK221" s="25"/>
      <c r="AL221" s="25"/>
      <c r="AM221" s="25"/>
      <c r="AN221" s="25"/>
      <c r="AO221" s="51" t="s">
        <v>389</v>
      </c>
      <c r="AP221" s="80">
        <v>-350.05410000010056</v>
      </c>
      <c r="AQ221" s="25"/>
      <c r="AR221" s="25"/>
      <c r="AS221" s="26"/>
      <c r="AT221" s="20" t="s">
        <v>867</v>
      </c>
      <c r="AW221" s="25"/>
      <c r="AX221" s="25"/>
      <c r="AY221" s="37"/>
      <c r="AZ221" s="25"/>
      <c r="BA221" s="35"/>
      <c r="BB221" s="25"/>
      <c r="BC221" s="25"/>
      <c r="BD221" s="25"/>
      <c r="BE221" s="25"/>
      <c r="BF221" s="25"/>
      <c r="BG221" s="25"/>
      <c r="BH221" s="25"/>
      <c r="BI221" s="37"/>
      <c r="BJ221" s="25"/>
      <c r="BK221" s="25"/>
    </row>
    <row r="222" spans="3:63" x14ac:dyDescent="0.35">
      <c r="C222" s="25" t="str">
        <f ca="1"/>
        <v>XS1196713298</v>
      </c>
      <c r="D222" s="25" t="str">
        <f ca="1"/>
        <v>SEMINARA</v>
      </c>
      <c r="E222" s="35">
        <f ca="1"/>
        <v>100.75700000000001</v>
      </c>
      <c r="F222" s="102"/>
      <c r="G222" s="102">
        <f ca="1"/>
        <v>-354000</v>
      </c>
      <c r="H222" s="25">
        <f ca="1"/>
        <v>-35.399999999967804</v>
      </c>
      <c r="I222" s="37">
        <f ca="1"/>
        <v>0</v>
      </c>
      <c r="J222" s="37" t="str">
        <f ca="1"/>
        <v>BGN</v>
      </c>
      <c r="K222" s="35" t="str">
        <f ca="1"/>
        <v>EUR</v>
      </c>
      <c r="L222" s="102">
        <f ca="1"/>
        <v>-35.399999999967804</v>
      </c>
      <c r="M222" s="102">
        <f ca="1"/>
        <v>-35.399999999967804</v>
      </c>
      <c r="N222" s="19">
        <f ca="1"/>
        <v>100.767</v>
      </c>
      <c r="Q222" s="20" t="s">
        <v>867</v>
      </c>
      <c r="R222" s="24"/>
      <c r="S222" s="25">
        <f ca="1"/>
        <v>181</v>
      </c>
      <c r="T222" s="19" t="str">
        <f ca="1"/>
        <v>XS1196713298</v>
      </c>
      <c r="U222" s="25" t="str">
        <f ca="1"/>
        <v>SSELN 2 3/8 PERP</v>
      </c>
      <c r="V222" s="64">
        <f ca="1"/>
        <v>-354000</v>
      </c>
      <c r="W222" s="70">
        <f ca="1"/>
        <v>-0.03</v>
      </c>
      <c r="X222" s="71">
        <f ca="1"/>
        <v>100.75700000000001</v>
      </c>
      <c r="Y222" s="71">
        <f ca="1"/>
        <v>100.767</v>
      </c>
      <c r="Z222" s="57" t="str">
        <f ca="1"/>
        <v>SEMINARA</v>
      </c>
      <c r="AA222" s="57" t="str">
        <f ca="1"/>
        <v>Bond Corporate</v>
      </c>
      <c r="AB222" s="56">
        <f ca="1"/>
        <v>-35.399999999967804</v>
      </c>
      <c r="AC222" s="56">
        <f ca="1">IFERROR(IF(ISBLANK(AB222),"-",AB222-_xlfn.XLOOKUP(T222,AI:AI,AJ:AJ)),"-")</f>
        <v>-21.240000000000805</v>
      </c>
      <c r="AD222" s="56">
        <f ca="1">IFERROR(IF(ISBLANK(AB222),"-",AB222-_xlfn.XLOOKUP(T222,AO:AO,AP:AP)),"-")</f>
        <v>-10.620000000000399</v>
      </c>
      <c r="AE222" s="25"/>
      <c r="AF222" s="25"/>
      <c r="AG222" s="25"/>
      <c r="AH222" s="25"/>
      <c r="AI222" s="51" t="s">
        <v>391</v>
      </c>
      <c r="AJ222" s="80">
        <v>-35.399999999967804</v>
      </c>
      <c r="AK222" s="25"/>
      <c r="AL222" s="25"/>
      <c r="AM222" s="25"/>
      <c r="AN222" s="25"/>
      <c r="AO222" s="51" t="s">
        <v>391</v>
      </c>
      <c r="AP222" s="80">
        <v>-14.159999999966999</v>
      </c>
      <c r="AQ222" s="25"/>
      <c r="AR222" s="25"/>
      <c r="AS222" s="26"/>
      <c r="AT222" s="20" t="s">
        <v>867</v>
      </c>
      <c r="AW222" s="25"/>
      <c r="AX222" s="25"/>
      <c r="AY222" s="37"/>
      <c r="AZ222" s="25"/>
      <c r="BA222" s="35"/>
      <c r="BB222" s="25"/>
      <c r="BC222" s="25"/>
      <c r="BD222" s="25"/>
      <c r="BE222" s="25"/>
      <c r="BF222" s="25"/>
      <c r="BG222" s="25"/>
      <c r="BH222" s="25"/>
      <c r="BI222" s="37"/>
      <c r="BJ222" s="25"/>
      <c r="BK222" s="25"/>
    </row>
    <row r="223" spans="3:63" x14ac:dyDescent="0.35">
      <c r="C223" s="25" t="str">
        <f ca="1"/>
        <v>XS1141810991</v>
      </c>
      <c r="D223" s="25" t="str">
        <f ca="1"/>
        <v>SEMINARA</v>
      </c>
      <c r="E223" s="35">
        <f ca="1"/>
        <v>102.739</v>
      </c>
      <c r="F223" s="102"/>
      <c r="G223" s="102">
        <f ca="1"/>
        <v>5000000</v>
      </c>
      <c r="H223" s="25">
        <f ca="1"/>
        <v>450.00000000001705</v>
      </c>
      <c r="I223" s="37">
        <f ca="1"/>
        <v>0</v>
      </c>
      <c r="J223" s="37" t="str">
        <f ca="1"/>
        <v>BGN</v>
      </c>
      <c r="K223" s="35" t="str">
        <f ca="1"/>
        <v>EUR</v>
      </c>
      <c r="L223" s="102">
        <f ca="1"/>
        <v>450.00000000001705</v>
      </c>
      <c r="M223" s="102">
        <f ca="1"/>
        <v>450.00000000001705</v>
      </c>
      <c r="N223" s="19">
        <f ca="1"/>
        <v>102.748</v>
      </c>
      <c r="Q223" s="20" t="s">
        <v>867</v>
      </c>
      <c r="R223" s="24"/>
      <c r="S223" s="25">
        <f ca="1"/>
        <v>182</v>
      </c>
      <c r="T223" s="19" t="str">
        <f ca="1"/>
        <v>XS1141810991</v>
      </c>
      <c r="U223" s="25" t="str">
        <f ca="1"/>
        <v>STEDIN 3 1/4 PERP</v>
      </c>
      <c r="V223" s="64">
        <f ca="1"/>
        <v>5000000</v>
      </c>
      <c r="W223" s="70">
        <f ca="1"/>
        <v>1.82</v>
      </c>
      <c r="X223" s="71">
        <f ca="1"/>
        <v>102.739</v>
      </c>
      <c r="Y223" s="71">
        <f ca="1"/>
        <v>102.748</v>
      </c>
      <c r="Z223" s="57" t="str">
        <f ca="1"/>
        <v>SEMINARA</v>
      </c>
      <c r="AA223" s="57" t="str">
        <f ca="1"/>
        <v>Bond Corporate</v>
      </c>
      <c r="AB223" s="56">
        <f ca="1"/>
        <v>450.00000000001705</v>
      </c>
      <c r="AC223" s="56">
        <f ca="1">IFERROR(IF(ISBLANK(AB223),"-",AB223-_xlfn.XLOOKUP(T223,AI:AI,AJ:AJ)),"-")</f>
        <v>0</v>
      </c>
      <c r="AD223" s="56">
        <f ca="1">IFERROR(IF(ISBLANK(AB223),"-",AB223-_xlfn.XLOOKUP(T223,AO:AO,AP:AP)),"-")</f>
        <v>-150.00000000000568</v>
      </c>
      <c r="AE223" s="25"/>
      <c r="AF223" s="25"/>
      <c r="AG223" s="25"/>
      <c r="AH223" s="25"/>
      <c r="AI223" s="51" t="s">
        <v>1372</v>
      </c>
      <c r="AJ223" s="80">
        <v>450.00000000001705</v>
      </c>
      <c r="AK223" s="25"/>
      <c r="AL223" s="25"/>
      <c r="AM223" s="25"/>
      <c r="AN223" s="25"/>
      <c r="AO223" s="51" t="s">
        <v>1372</v>
      </c>
      <c r="AP223" s="80">
        <v>450.00000000001705</v>
      </c>
      <c r="AQ223" s="25"/>
      <c r="AR223" s="25"/>
      <c r="AS223" s="26"/>
      <c r="AT223" s="20" t="s">
        <v>867</v>
      </c>
      <c r="AW223" s="25"/>
      <c r="AX223" s="25"/>
      <c r="AY223" s="37"/>
      <c r="AZ223" s="25"/>
      <c r="BA223" s="35"/>
      <c r="BB223" s="25"/>
      <c r="BC223" s="25"/>
      <c r="BD223" s="25"/>
      <c r="BE223" s="25"/>
      <c r="BF223" s="25"/>
      <c r="BG223" s="25"/>
      <c r="BH223" s="25"/>
      <c r="BI223" s="37"/>
      <c r="BJ223" s="25"/>
      <c r="BK223" s="25"/>
    </row>
    <row r="224" spans="3:63" x14ac:dyDescent="0.35">
      <c r="C224" s="25" t="str">
        <f ca="1"/>
        <v>XS2114413565</v>
      </c>
      <c r="D224" s="25" t="str">
        <f ca="1"/>
        <v>SEMINARA</v>
      </c>
      <c r="E224" s="35">
        <f ca="1"/>
        <v>99.435000000000002</v>
      </c>
      <c r="F224" s="102"/>
      <c r="G224" s="102">
        <f ca="1"/>
        <v>1400000</v>
      </c>
      <c r="H224" s="25">
        <f ca="1"/>
        <v>-993.99999999997135</v>
      </c>
      <c r="I224" s="37">
        <f ca="1"/>
        <v>0</v>
      </c>
      <c r="J224" s="37" t="str">
        <f ca="1"/>
        <v>BGN</v>
      </c>
      <c r="K224" s="35" t="str">
        <f ca="1"/>
        <v>EUR</v>
      </c>
      <c r="L224" s="102">
        <f ca="1"/>
        <v>-993.99999999997135</v>
      </c>
      <c r="M224" s="102">
        <f ca="1"/>
        <v>-993.99999999997135</v>
      </c>
      <c r="N224" s="19">
        <f ca="1"/>
        <v>99.364000000000004</v>
      </c>
      <c r="Q224" s="20" t="s">
        <v>867</v>
      </c>
      <c r="R224" s="24"/>
      <c r="S224" s="25">
        <f ca="1"/>
        <v>183</v>
      </c>
      <c r="T224" s="19" t="str">
        <f ca="1"/>
        <v>XS2114413565</v>
      </c>
      <c r="U224" s="25" t="str">
        <f ca="1"/>
        <v>T 2 7/8 PERP</v>
      </c>
      <c r="V224" s="64">
        <f ca="1"/>
        <v>1400000</v>
      </c>
      <c r="W224" s="70">
        <f ca="1"/>
        <v>6.3</v>
      </c>
      <c r="X224" s="71">
        <f ca="1"/>
        <v>99.435000000000002</v>
      </c>
      <c r="Y224" s="71">
        <f ca="1"/>
        <v>99.364000000000004</v>
      </c>
      <c r="Z224" s="57" t="str">
        <f ca="1"/>
        <v>SEMINARA</v>
      </c>
      <c r="AA224" s="57" t="str">
        <f ca="1"/>
        <v>Bond Corporate</v>
      </c>
      <c r="AB224" s="56">
        <f ca="1"/>
        <v>-993.99999999997135</v>
      </c>
      <c r="AC224" s="56">
        <f ca="1">IFERROR(IF(ISBLANK(AB224),"-",AB224-_xlfn.XLOOKUP(T224,AI:AI,AJ:AJ)),"-")</f>
        <v>-559.99999999988859</v>
      </c>
      <c r="AD224" s="56">
        <f ca="1">IFERROR(IF(ISBLANK(AB224),"-",AB224-_xlfn.XLOOKUP(T224,AO:AO,AP:AP)),"-")</f>
        <v>-643.99999999989177</v>
      </c>
      <c r="AE224" s="25"/>
      <c r="AF224" s="25"/>
      <c r="AG224" s="25"/>
      <c r="AH224" s="25"/>
      <c r="AI224" s="51" t="s">
        <v>1318</v>
      </c>
      <c r="AJ224" s="80">
        <v>-993.99999999997135</v>
      </c>
      <c r="AK224" s="25"/>
      <c r="AL224" s="25"/>
      <c r="AM224" s="25"/>
      <c r="AN224" s="25"/>
      <c r="AO224" s="51" t="s">
        <v>1318</v>
      </c>
      <c r="AP224" s="80">
        <v>-434.00000000008282</v>
      </c>
      <c r="AQ224" s="25"/>
      <c r="AR224" s="25"/>
      <c r="AS224" s="26"/>
      <c r="AT224" s="20" t="s">
        <v>867</v>
      </c>
      <c r="AW224" s="25"/>
      <c r="AX224" s="25"/>
      <c r="AY224" s="37"/>
      <c r="AZ224" s="25"/>
      <c r="BA224" s="35"/>
      <c r="BB224" s="25"/>
      <c r="BC224" s="25"/>
      <c r="BD224" s="25"/>
      <c r="BE224" s="25"/>
      <c r="BF224" s="25"/>
      <c r="BG224" s="25"/>
      <c r="BH224" s="25"/>
      <c r="BI224" s="37"/>
      <c r="BJ224" s="25"/>
      <c r="BK224" s="25"/>
    </row>
    <row r="225" spans="3:63" x14ac:dyDescent="0.35">
      <c r="C225" s="25" t="str">
        <f ca="1"/>
        <v>XS2056371334</v>
      </c>
      <c r="D225" s="25" t="str">
        <f ca="1"/>
        <v>SEMINARA</v>
      </c>
      <c r="E225" s="35">
        <f ca="1"/>
        <v>99.388000000000005</v>
      </c>
      <c r="F225" s="102"/>
      <c r="G225" s="102">
        <f ca="1"/>
        <v>-2600000</v>
      </c>
      <c r="H225" s="25">
        <f ca="1"/>
        <v>-5953.9999999999791</v>
      </c>
      <c r="I225" s="37">
        <f ca="1"/>
        <v>0</v>
      </c>
      <c r="J225" s="37" t="str">
        <f ca="1"/>
        <v>BGN</v>
      </c>
      <c r="K225" s="35" t="str">
        <f ca="1"/>
        <v>EUR</v>
      </c>
      <c r="L225" s="102">
        <f ca="1"/>
        <v>-5953.9999999999791</v>
      </c>
      <c r="M225" s="102">
        <f ca="1"/>
        <v>-5953.9999999999791</v>
      </c>
      <c r="N225" s="19">
        <f ca="1"/>
        <v>99.617000000000004</v>
      </c>
      <c r="Q225" s="20" t="s">
        <v>867</v>
      </c>
      <c r="R225" s="24"/>
      <c r="S225" s="25">
        <f ca="1"/>
        <v>184</v>
      </c>
      <c r="T225" s="19" t="str">
        <f ca="1"/>
        <v>XS2056371334</v>
      </c>
      <c r="U225" s="25" t="str">
        <f ca="1"/>
        <v>TELEFO 2 7/8 PERP</v>
      </c>
      <c r="V225" s="64">
        <f ca="1"/>
        <v>-2600000</v>
      </c>
      <c r="W225" s="70">
        <f ca="1"/>
        <v>-16.66</v>
      </c>
      <c r="X225" s="71">
        <f ca="1"/>
        <v>99.388000000000005</v>
      </c>
      <c r="Y225" s="71">
        <f ca="1"/>
        <v>99.617000000000004</v>
      </c>
      <c r="Z225" s="57" t="str">
        <f ca="1"/>
        <v>SEMINARA</v>
      </c>
      <c r="AA225" s="57" t="str">
        <f ca="1"/>
        <v>Bond Corporate</v>
      </c>
      <c r="AB225" s="56">
        <f ca="1"/>
        <v>-5953.9999999999791</v>
      </c>
      <c r="AC225" s="56">
        <f ca="1">IFERROR(IF(ISBLANK(AB225),"-",AB225-_xlfn.XLOOKUP(T225,AI:AI,AJ:AJ)),"-")</f>
        <v>0</v>
      </c>
      <c r="AD225" s="56">
        <f ca="1">IFERROR(IF(ISBLANK(AB225),"-",AB225-_xlfn.XLOOKUP(T225,AO:AO,AP:AP)),"-")</f>
        <v>207.99999999988449</v>
      </c>
      <c r="AE225" s="25"/>
      <c r="AF225" s="25"/>
      <c r="AG225" s="25"/>
      <c r="AH225" s="25"/>
      <c r="AI225" s="51" t="s">
        <v>393</v>
      </c>
      <c r="AJ225" s="80">
        <v>-5953.9999999999791</v>
      </c>
      <c r="AK225" s="25"/>
      <c r="AL225" s="25"/>
      <c r="AM225" s="25"/>
      <c r="AN225" s="25"/>
      <c r="AO225" s="51" t="s">
        <v>393</v>
      </c>
      <c r="AP225" s="80">
        <v>-5953.9999999999791</v>
      </c>
      <c r="AQ225" s="25"/>
      <c r="AR225" s="25"/>
      <c r="AS225" s="26"/>
      <c r="AT225" s="20" t="s">
        <v>867</v>
      </c>
      <c r="AW225" s="25"/>
      <c r="AX225" s="25"/>
      <c r="AY225" s="37"/>
      <c r="AZ225" s="25"/>
      <c r="BA225" s="35"/>
      <c r="BB225" s="25"/>
      <c r="BC225" s="25"/>
      <c r="BD225" s="25"/>
      <c r="BE225" s="25"/>
      <c r="BF225" s="25"/>
      <c r="BG225" s="25"/>
      <c r="BH225" s="25"/>
      <c r="BI225" s="37"/>
      <c r="BJ225" s="25"/>
      <c r="BK225" s="25"/>
    </row>
    <row r="226" spans="3:63" x14ac:dyDescent="0.35">
      <c r="C226" s="25" t="str">
        <f ca="1"/>
        <v>XS1050461034</v>
      </c>
      <c r="D226" s="25" t="str">
        <f ca="1"/>
        <v>SEMINARA</v>
      </c>
      <c r="E226" s="35">
        <f ca="1"/>
        <v>111.498</v>
      </c>
      <c r="F226" s="102"/>
      <c r="G226" s="102">
        <f ca="1"/>
        <v>4300000</v>
      </c>
      <c r="H226" s="25">
        <f ca="1"/>
        <v>2751.9999999996967</v>
      </c>
      <c r="I226" s="37">
        <f ca="1"/>
        <v>9240.0000000002074</v>
      </c>
      <c r="J226" s="37" t="str">
        <f ca="1"/>
        <v>BGN</v>
      </c>
      <c r="K226" s="35" t="str">
        <f ca="1"/>
        <v>EUR</v>
      </c>
      <c r="L226" s="102">
        <f ca="1"/>
        <v>11991.999999999904</v>
      </c>
      <c r="M226" s="102">
        <f ca="1"/>
        <v>11991.999999999904</v>
      </c>
      <c r="N226" s="19">
        <f ca="1"/>
        <v>111.562</v>
      </c>
      <c r="Q226" s="20" t="s">
        <v>867</v>
      </c>
      <c r="R226" s="24"/>
      <c r="S226" s="25">
        <f ca="1"/>
        <v>185</v>
      </c>
      <c r="T226" s="19" t="str">
        <f ca="1"/>
        <v>XS1050461034</v>
      </c>
      <c r="U226" s="25" t="str">
        <f ca="1"/>
        <v>TELEFO 5 7/8 PERP</v>
      </c>
      <c r="V226" s="64">
        <f ca="1"/>
        <v>1300000</v>
      </c>
      <c r="W226" s="70">
        <f ca="1"/>
        <v>4.03</v>
      </c>
      <c r="X226" s="71">
        <f ca="1"/>
        <v>111.498</v>
      </c>
      <c r="Y226" s="71">
        <f ca="1"/>
        <v>111.562</v>
      </c>
      <c r="Z226" s="57" t="str">
        <f ca="1"/>
        <v>SEMINARA</v>
      </c>
      <c r="AA226" s="57" t="str">
        <f ca="1"/>
        <v>Bond Corporate</v>
      </c>
      <c r="AB226" s="56">
        <f ca="1"/>
        <v>11991.999999999904</v>
      </c>
      <c r="AC226" s="56">
        <f ca="1">IFERROR(IF(ISBLANK(AB226),"-",AB226-_xlfn.XLOOKUP(T226,AI:AI,AJ:AJ)),"-")</f>
        <v>0</v>
      </c>
      <c r="AD226" s="56">
        <f ca="1">IFERROR(IF(ISBLANK(AB226),"-",AB226-_xlfn.XLOOKUP(T226,AO:AO,AP:AP)),"-")</f>
        <v>-442.00000000007822</v>
      </c>
      <c r="AE226" s="25"/>
      <c r="AF226" s="25"/>
      <c r="AG226" s="25"/>
      <c r="AH226" s="25"/>
      <c r="AI226" s="51" t="s">
        <v>400</v>
      </c>
      <c r="AJ226" s="80">
        <v>11991.999999999904</v>
      </c>
      <c r="AK226" s="25"/>
      <c r="AL226" s="25"/>
      <c r="AM226" s="25"/>
      <c r="AN226" s="25"/>
      <c r="AO226" s="51" t="s">
        <v>400</v>
      </c>
      <c r="AP226" s="80">
        <v>11991.999999999904</v>
      </c>
      <c r="AQ226" s="25"/>
      <c r="AR226" s="25"/>
      <c r="AS226" s="26"/>
      <c r="AT226" s="20" t="s">
        <v>867</v>
      </c>
      <c r="AW226" s="25"/>
      <c r="AX226" s="25"/>
      <c r="AY226" s="37"/>
      <c r="AZ226" s="25"/>
      <c r="BA226" s="35"/>
      <c r="BB226" s="25"/>
      <c r="BC226" s="25"/>
      <c r="BD226" s="25"/>
      <c r="BE226" s="25"/>
      <c r="BF226" s="25"/>
      <c r="BG226" s="25"/>
      <c r="BH226" s="25"/>
      <c r="BI226" s="37"/>
      <c r="BJ226" s="25"/>
      <c r="BK226" s="25"/>
    </row>
    <row r="227" spans="3:63" x14ac:dyDescent="0.35">
      <c r="C227" s="25" t="str">
        <f ca="1"/>
        <v>XS1795406575</v>
      </c>
      <c r="D227" s="25" t="str">
        <f ca="1"/>
        <v>SEMINARA</v>
      </c>
      <c r="E227" s="35">
        <f ca="1"/>
        <v>101.90600000000001</v>
      </c>
      <c r="F227" s="102"/>
      <c r="G227" s="102">
        <f ca="1"/>
        <v>-1800000</v>
      </c>
      <c r="H227" s="25">
        <f ca="1"/>
        <v>-1367.9999999998813</v>
      </c>
      <c r="I227" s="37">
        <f ca="1"/>
        <v>0</v>
      </c>
      <c r="J227" s="37" t="str">
        <f ca="1"/>
        <v>BGN</v>
      </c>
      <c r="K227" s="35" t="str">
        <f ca="1"/>
        <v>EUR</v>
      </c>
      <c r="L227" s="102">
        <f ca="1"/>
        <v>-1367.9999999998813</v>
      </c>
      <c r="M227" s="102">
        <f ca="1"/>
        <v>-1367.9999999998813</v>
      </c>
      <c r="N227" s="19">
        <f ca="1"/>
        <v>101.982</v>
      </c>
      <c r="Q227" s="20" t="s">
        <v>867</v>
      </c>
      <c r="R227" s="24"/>
      <c r="S227" s="25">
        <f ca="1"/>
        <v>186</v>
      </c>
      <c r="T227" s="19" t="str">
        <f ca="1"/>
        <v>XS1795406575</v>
      </c>
      <c r="U227" s="25" t="str">
        <f ca="1"/>
        <v>TELEFO 3 PERP</v>
      </c>
      <c r="V227" s="64">
        <f ca="1"/>
        <v>-1800000</v>
      </c>
      <c r="W227" s="70">
        <f ca="1"/>
        <v>-4.4000000000000004</v>
      </c>
      <c r="X227" s="71">
        <f ca="1"/>
        <v>101.90600000000001</v>
      </c>
      <c r="Y227" s="71">
        <f ca="1"/>
        <v>101.982</v>
      </c>
      <c r="Z227" s="57" t="str">
        <f ca="1"/>
        <v>SEMINARA</v>
      </c>
      <c r="AA227" s="57" t="str">
        <f ca="1"/>
        <v>Bond Corporate</v>
      </c>
      <c r="AB227" s="56">
        <f ca="1"/>
        <v>-1367.9999999998813</v>
      </c>
      <c r="AC227" s="56">
        <f ca="1">IFERROR(IF(ISBLANK(AB227),"-",AB227-_xlfn.XLOOKUP(T227,AI:AI,AJ:AJ)),"-")</f>
        <v>0</v>
      </c>
      <c r="AD227" s="56">
        <f ca="1">IFERROR(IF(ISBLANK(AB227),"-",AB227-_xlfn.XLOOKUP(T227,AO:AO,AP:AP)),"-")</f>
        <v>89.999999999918145</v>
      </c>
      <c r="AE227" s="25"/>
      <c r="AF227" s="25"/>
      <c r="AG227" s="25"/>
      <c r="AH227" s="25"/>
      <c r="AI227" s="51" t="s">
        <v>402</v>
      </c>
      <c r="AJ227" s="80">
        <v>-1367.9999999998813</v>
      </c>
      <c r="AK227" s="25"/>
      <c r="AL227" s="25"/>
      <c r="AM227" s="25"/>
      <c r="AN227" s="25"/>
      <c r="AO227" s="51" t="s">
        <v>402</v>
      </c>
      <c r="AP227" s="80">
        <v>-1367.9999999998813</v>
      </c>
      <c r="AQ227" s="25"/>
      <c r="AR227" s="25"/>
      <c r="AS227" s="26"/>
      <c r="AT227" s="20" t="s">
        <v>867</v>
      </c>
      <c r="AW227" s="25"/>
      <c r="AX227" s="25"/>
      <c r="AY227" s="37"/>
      <c r="AZ227" s="25"/>
      <c r="BA227" s="35"/>
      <c r="BB227" s="25"/>
      <c r="BC227" s="25"/>
      <c r="BD227" s="25"/>
      <c r="BE227" s="25"/>
      <c r="BF227" s="25"/>
      <c r="BG227" s="25"/>
      <c r="BH227" s="25"/>
      <c r="BI227" s="37"/>
      <c r="BJ227" s="25"/>
      <c r="BK227" s="25"/>
    </row>
    <row r="228" spans="3:63" x14ac:dyDescent="0.35">
      <c r="C228" s="25" t="str">
        <f ca="1"/>
        <v>XS1490960942</v>
      </c>
      <c r="D228" s="25" t="str">
        <f ca="1"/>
        <v>SEMINARA</v>
      </c>
      <c r="E228" s="35">
        <f ca="1"/>
        <v>103.021</v>
      </c>
      <c r="F228" s="102"/>
      <c r="G228" s="102">
        <f ca="1"/>
        <v>4000000</v>
      </c>
      <c r="H228" s="25">
        <f ca="1"/>
        <v>-439.9999999998272</v>
      </c>
      <c r="I228" s="37">
        <f ca="1"/>
        <v>0</v>
      </c>
      <c r="J228" s="37" t="str">
        <f ca="1"/>
        <v>BGN</v>
      </c>
      <c r="K228" s="35" t="str">
        <f ca="1"/>
        <v>EUR</v>
      </c>
      <c r="L228" s="102">
        <f ca="1"/>
        <v>-439.9999999998272</v>
      </c>
      <c r="M228" s="102">
        <f ca="1"/>
        <v>-439.9999999998272</v>
      </c>
      <c r="N228" s="19">
        <f ca="1"/>
        <v>103.01</v>
      </c>
      <c r="Q228" s="20" t="s">
        <v>867</v>
      </c>
      <c r="R228" s="24"/>
      <c r="S228" s="25">
        <f ca="1"/>
        <v>187</v>
      </c>
      <c r="T228" s="19" t="str">
        <f ca="1"/>
        <v>XS1490960942</v>
      </c>
      <c r="U228" s="25" t="str">
        <f ca="1"/>
        <v>TELEFO 3 3/4 PERP</v>
      </c>
      <c r="V228" s="64">
        <f ca="1"/>
        <v>4000000</v>
      </c>
      <c r="W228" s="70">
        <f ca="1"/>
        <v>3.34</v>
      </c>
      <c r="X228" s="71">
        <f ca="1"/>
        <v>103.021</v>
      </c>
      <c r="Y228" s="71">
        <f ca="1"/>
        <v>103.01</v>
      </c>
      <c r="Z228" s="57" t="str">
        <f ca="1"/>
        <v>SEMINARA</v>
      </c>
      <c r="AA228" s="57" t="str">
        <f ca="1"/>
        <v>Bond Corporate</v>
      </c>
      <c r="AB228" s="56">
        <f ca="1"/>
        <v>-439.9999999998272</v>
      </c>
      <c r="AC228" s="56">
        <f ca="1">IFERROR(IF(ISBLANK(AB228),"-",AB228-_xlfn.XLOOKUP(T228,AI:AI,AJ:AJ)),"-")</f>
        <v>0</v>
      </c>
      <c r="AD228" s="56">
        <f ca="1">IFERROR(IF(ISBLANK(AB228),"-",AB228-_xlfn.XLOOKUP(T228,AO:AO,AP:AP)),"-")</f>
        <v>-720.00000000002728</v>
      </c>
      <c r="AE228" s="25"/>
      <c r="AF228" s="25"/>
      <c r="AG228" s="25"/>
      <c r="AH228" s="25"/>
      <c r="AI228" s="51" t="s">
        <v>406</v>
      </c>
      <c r="AJ228" s="80">
        <v>-439.9999999998272</v>
      </c>
      <c r="AK228" s="25"/>
      <c r="AL228" s="25"/>
      <c r="AM228" s="25"/>
      <c r="AN228" s="25"/>
      <c r="AO228" s="51" t="s">
        <v>406</v>
      </c>
      <c r="AP228" s="80">
        <v>-439.9999999998272</v>
      </c>
      <c r="AQ228" s="25"/>
      <c r="AR228" s="25"/>
      <c r="AS228" s="26"/>
      <c r="AT228" s="20" t="s">
        <v>867</v>
      </c>
      <c r="AW228" s="25"/>
      <c r="AX228" s="25"/>
      <c r="AY228" s="37"/>
      <c r="AZ228" s="25"/>
      <c r="BA228" s="35"/>
      <c r="BB228" s="25"/>
      <c r="BC228" s="25"/>
      <c r="BD228" s="25"/>
      <c r="BE228" s="25"/>
      <c r="BF228" s="25"/>
      <c r="BG228" s="25"/>
      <c r="BH228" s="25"/>
      <c r="BI228" s="37"/>
      <c r="BJ228" s="25"/>
      <c r="BK228" s="25"/>
    </row>
    <row r="229" spans="3:63" x14ac:dyDescent="0.35">
      <c r="C229" s="25" t="str">
        <f ca="1"/>
        <v>XS2082429890</v>
      </c>
      <c r="D229" s="25" t="str">
        <f ca="1"/>
        <v>SEMINARA</v>
      </c>
      <c r="E229" s="35">
        <f ca="1"/>
        <v>100.158</v>
      </c>
      <c r="F229" s="102"/>
      <c r="G229" s="102">
        <f ca="1"/>
        <v>-1565000</v>
      </c>
      <c r="H229" s="25">
        <f ca="1"/>
        <v>-1815.3999999999949</v>
      </c>
      <c r="I229" s="37">
        <f ca="1"/>
        <v>0</v>
      </c>
      <c r="J229" s="37" t="str">
        <f ca="1"/>
        <v>BGN</v>
      </c>
      <c r="K229" s="35" t="str">
        <f ca="1"/>
        <v>EUR</v>
      </c>
      <c r="L229" s="102">
        <f ca="1"/>
        <v>-1815.3999999999949</v>
      </c>
      <c r="M229" s="102">
        <f ca="1"/>
        <v>-1815.3999999999949</v>
      </c>
      <c r="N229" s="19">
        <f ca="1"/>
        <v>100.274</v>
      </c>
      <c r="Q229" s="20" t="s">
        <v>867</v>
      </c>
      <c r="R229" s="24"/>
      <c r="S229" s="25">
        <f ca="1"/>
        <v>188</v>
      </c>
      <c r="T229" s="19" t="str">
        <f ca="1"/>
        <v>XS2082429890</v>
      </c>
      <c r="U229" s="25" t="str">
        <f ca="1"/>
        <v>TELIAS 1 3/8 05/11/81</v>
      </c>
      <c r="V229" s="64">
        <f ca="1"/>
        <v>-1565000</v>
      </c>
      <c r="W229" s="70">
        <f ca="1"/>
        <v>-4.5199999999999996</v>
      </c>
      <c r="X229" s="71">
        <f ca="1"/>
        <v>100.158</v>
      </c>
      <c r="Y229" s="71">
        <f ca="1"/>
        <v>100.274</v>
      </c>
      <c r="Z229" s="57" t="str">
        <f ca="1"/>
        <v>SEMINARA</v>
      </c>
      <c r="AA229" s="57" t="str">
        <f ca="1"/>
        <v>Bond Corporate</v>
      </c>
      <c r="AB229" s="56">
        <f ca="1"/>
        <v>-1815.3999999999949</v>
      </c>
      <c r="AC229" s="56">
        <f ca="1">IFERROR(IF(ISBLANK(AB229),"-",AB229-_xlfn.XLOOKUP(T229,AI:AI,AJ:AJ)),"-")</f>
        <v>0</v>
      </c>
      <c r="AD229" s="56">
        <f ca="1">IFERROR(IF(ISBLANK(AB229),"-",AB229-_xlfn.XLOOKUP(T229,AO:AO,AP:AP)),"-")</f>
        <v>0</v>
      </c>
      <c r="AE229" s="25"/>
      <c r="AF229" s="25"/>
      <c r="AG229" s="25"/>
      <c r="AH229" s="25"/>
      <c r="AI229" s="51" t="s">
        <v>408</v>
      </c>
      <c r="AJ229" s="80">
        <v>-1815.3999999999949</v>
      </c>
      <c r="AK229" s="25"/>
      <c r="AL229" s="25"/>
      <c r="AM229" s="25"/>
      <c r="AN229" s="25"/>
      <c r="AO229" s="51" t="s">
        <v>408</v>
      </c>
      <c r="AP229" s="80">
        <v>-1815.3999999999949</v>
      </c>
      <c r="AQ229" s="25"/>
      <c r="AR229" s="25"/>
      <c r="AS229" s="26"/>
      <c r="AT229" s="20" t="s">
        <v>867</v>
      </c>
      <c r="AW229" s="25"/>
      <c r="AX229" s="25"/>
      <c r="AY229" s="37"/>
      <c r="AZ229" s="25"/>
      <c r="BA229" s="35"/>
      <c r="BB229" s="25"/>
      <c r="BC229" s="25"/>
      <c r="BD229" s="25"/>
      <c r="BE229" s="25"/>
      <c r="BF229" s="25"/>
      <c r="BG229" s="25"/>
      <c r="BH229" s="25"/>
      <c r="BI229" s="37"/>
      <c r="BJ229" s="25"/>
      <c r="BK229" s="25"/>
    </row>
    <row r="230" spans="3:63" x14ac:dyDescent="0.35">
      <c r="C230" s="25" t="str">
        <f ca="1"/>
        <v>XS1590787799</v>
      </c>
      <c r="D230" s="25" t="str">
        <f ca="1"/>
        <v>SEMINARA</v>
      </c>
      <c r="E230" s="35">
        <f ca="1"/>
        <v>105.254</v>
      </c>
      <c r="F230" s="102"/>
      <c r="G230" s="102">
        <f ca="1"/>
        <v>-1840000</v>
      </c>
      <c r="H230" s="25">
        <f ca="1"/>
        <v>-2042.3999999998161</v>
      </c>
      <c r="I230" s="37">
        <f ca="1"/>
        <v>0</v>
      </c>
      <c r="J230" s="37" t="str">
        <f ca="1"/>
        <v>BGN</v>
      </c>
      <c r="K230" s="35" t="str">
        <f ca="1"/>
        <v>EUR</v>
      </c>
      <c r="L230" s="102">
        <f ca="1"/>
        <v>-2042.3999999998161</v>
      </c>
      <c r="M230" s="102">
        <f ca="1"/>
        <v>-2042.3999999998161</v>
      </c>
      <c r="N230" s="19">
        <f ca="1"/>
        <v>105.36499999999999</v>
      </c>
      <c r="Q230" s="20" t="s">
        <v>867</v>
      </c>
      <c r="R230" s="24"/>
      <c r="S230" s="25">
        <f ca="1"/>
        <v>189</v>
      </c>
      <c r="T230" s="19" t="str">
        <f ca="1"/>
        <v>XS1590787799</v>
      </c>
      <c r="U230" s="25" t="str">
        <f ca="1"/>
        <v>TELIAS 3 04/04/78</v>
      </c>
      <c r="V230" s="64">
        <f ca="1"/>
        <v>-1840000</v>
      </c>
      <c r="W230" s="70">
        <f ca="1"/>
        <v>-1.78</v>
      </c>
      <c r="X230" s="71">
        <f ca="1"/>
        <v>105.254</v>
      </c>
      <c r="Y230" s="71">
        <f ca="1"/>
        <v>105.36499999999999</v>
      </c>
      <c r="Z230" s="57" t="str">
        <f ca="1"/>
        <v>SEMINARA</v>
      </c>
      <c r="AA230" s="57" t="str">
        <f ca="1"/>
        <v>Bond Corporate</v>
      </c>
      <c r="AB230" s="56">
        <f ca="1"/>
        <v>-2042.3999999998161</v>
      </c>
      <c r="AC230" s="56">
        <f ca="1">IFERROR(IF(ISBLANK(AB230),"-",AB230-_xlfn.XLOOKUP(T230,AI:AI,AJ:AJ)),"-")</f>
        <v>0</v>
      </c>
      <c r="AD230" s="56">
        <f ca="1">IFERROR(IF(ISBLANK(AB230),"-",AB230-_xlfn.XLOOKUP(T230,AO:AO,AP:AP)),"-")</f>
        <v>36.800000000175487</v>
      </c>
      <c r="AE230" s="25"/>
      <c r="AF230" s="25"/>
      <c r="AG230" s="25"/>
      <c r="AH230" s="25"/>
      <c r="AI230" s="51" t="s">
        <v>932</v>
      </c>
      <c r="AJ230" s="80">
        <v>-2042.3999999998161</v>
      </c>
      <c r="AK230" s="25"/>
      <c r="AL230" s="25"/>
      <c r="AM230" s="25"/>
      <c r="AN230" s="25"/>
      <c r="AO230" s="51" t="s">
        <v>932</v>
      </c>
      <c r="AP230" s="80">
        <v>-2042.3999999998161</v>
      </c>
      <c r="AQ230" s="25"/>
      <c r="AR230" s="25"/>
      <c r="AS230" s="26"/>
      <c r="AT230" s="20" t="s">
        <v>867</v>
      </c>
      <c r="AW230" s="25"/>
      <c r="AX230" s="25"/>
      <c r="AY230" s="37"/>
      <c r="AZ230" s="25"/>
      <c r="BA230" s="35"/>
      <c r="BB230" s="25"/>
      <c r="BC230" s="25"/>
      <c r="BD230" s="25"/>
      <c r="BE230" s="25"/>
      <c r="BF230" s="25"/>
      <c r="BG230" s="25"/>
      <c r="BH230" s="25"/>
      <c r="BI230" s="37"/>
      <c r="BJ230" s="25"/>
      <c r="BK230" s="25"/>
    </row>
    <row r="231" spans="3:63" x14ac:dyDescent="0.35">
      <c r="C231" s="25" t="str">
        <f ca="1"/>
        <v>XS1591694481</v>
      </c>
      <c r="D231" s="25" t="str">
        <f ca="1"/>
        <v>SEMINARA</v>
      </c>
      <c r="E231" s="35">
        <f ca="1"/>
        <v>105.2</v>
      </c>
      <c r="F231" s="102"/>
      <c r="G231" s="102">
        <f ca="1"/>
        <v>0</v>
      </c>
      <c r="H231" s="25">
        <f ca="1"/>
        <v>0</v>
      </c>
      <c r="I231" s="37">
        <f ca="1"/>
        <v>0</v>
      </c>
      <c r="J231" s="37" t="str">
        <f ca="1"/>
        <v>BGN</v>
      </c>
      <c r="K231" s="35" t="str">
        <f ca="1"/>
        <v>EUR</v>
      </c>
      <c r="L231" s="102">
        <f ca="1"/>
        <v>0</v>
      </c>
      <c r="M231" s="102">
        <f ca="1"/>
        <v>0</v>
      </c>
      <c r="N231" s="19">
        <f ca="1"/>
        <v>105.157</v>
      </c>
      <c r="Q231" s="20" t="s">
        <v>867</v>
      </c>
      <c r="R231" s="24"/>
      <c r="S231" s="25">
        <f ca="1"/>
        <v>190</v>
      </c>
      <c r="T231" s="19" t="str">
        <f ca="1"/>
        <v>XS1591694481</v>
      </c>
      <c r="U231" s="25" t="str">
        <f ca="1"/>
        <v>TENN 2.995 PERP</v>
      </c>
      <c r="V231" s="64">
        <f ca="1"/>
        <v>0</v>
      </c>
      <c r="W231" s="70">
        <f ca="1"/>
        <v>0</v>
      </c>
      <c r="X231" s="71">
        <f ca="1"/>
        <v>105.2</v>
      </c>
      <c r="Y231" s="71">
        <f ca="1"/>
        <v>105.157</v>
      </c>
      <c r="Z231" s="57" t="str">
        <f ca="1"/>
        <v>SEMINARA</v>
      </c>
      <c r="AA231" s="57" t="str">
        <f ca="1"/>
        <v>Bond Corporate</v>
      </c>
      <c r="AB231" s="56">
        <f ca="1"/>
        <v>0</v>
      </c>
      <c r="AC231" s="56">
        <f ca="1">IFERROR(IF(ISBLANK(AB231),"-",AB231-_xlfn.XLOOKUP(T231,AI:AI,AJ:AJ)),"-")</f>
        <v>0</v>
      </c>
      <c r="AD231" s="56">
        <f ca="1">IFERROR(IF(ISBLANK(AB231),"-",AB231-_xlfn.XLOOKUP(T231,AO:AO,AP:AP)),"-")</f>
        <v>0</v>
      </c>
      <c r="AE231" s="25"/>
      <c r="AF231" s="25"/>
      <c r="AG231" s="25"/>
      <c r="AH231" s="25"/>
      <c r="AI231" s="51" t="s">
        <v>1376</v>
      </c>
      <c r="AJ231" s="80">
        <v>0</v>
      </c>
      <c r="AK231" s="25"/>
      <c r="AL231" s="25"/>
      <c r="AM231" s="25"/>
      <c r="AN231" s="25"/>
      <c r="AO231" s="51" t="s">
        <v>1376</v>
      </c>
      <c r="AP231" s="80">
        <v>0</v>
      </c>
      <c r="AQ231" s="25"/>
      <c r="AR231" s="25"/>
      <c r="AS231" s="26"/>
      <c r="AT231" s="20" t="s">
        <v>867</v>
      </c>
      <c r="AW231" s="25"/>
      <c r="AX231" s="25"/>
      <c r="AY231" s="37"/>
      <c r="AZ231" s="25"/>
      <c r="BA231" s="35"/>
      <c r="BB231" s="25"/>
      <c r="BC231" s="25"/>
      <c r="BD231" s="25"/>
      <c r="BE231" s="25"/>
      <c r="BF231" s="25"/>
      <c r="BG231" s="25"/>
      <c r="BH231" s="25"/>
      <c r="BI231" s="37"/>
      <c r="BJ231" s="25"/>
      <c r="BK231" s="25"/>
    </row>
    <row r="232" spans="3:63" x14ac:dyDescent="0.35">
      <c r="C232" s="25" t="str">
        <f ca="1"/>
        <v>XS1974787480</v>
      </c>
      <c r="D232" s="25" t="str">
        <f ca="1"/>
        <v>SEMINARA</v>
      </c>
      <c r="E232" s="35">
        <f ca="1"/>
        <v>102.04300000000001</v>
      </c>
      <c r="F232" s="102"/>
      <c r="G232" s="102">
        <f ca="1"/>
        <v>593000</v>
      </c>
      <c r="H232" s="25">
        <f ca="1"/>
        <v>-379.5200000000425</v>
      </c>
      <c r="I232" s="37">
        <f ca="1"/>
        <v>4471.0400000000745</v>
      </c>
      <c r="J232" s="37" t="str">
        <f ca="1"/>
        <v>BGN</v>
      </c>
      <c r="K232" s="35" t="str">
        <f ca="1"/>
        <v>EUR</v>
      </c>
      <c r="L232" s="102">
        <f ca="1"/>
        <v>4091.5200000000323</v>
      </c>
      <c r="M232" s="102">
        <f ca="1"/>
        <v>4091.5200000000323</v>
      </c>
      <c r="N232" s="19">
        <f ca="1"/>
        <v>101.979</v>
      </c>
      <c r="Q232" s="20" t="s">
        <v>867</v>
      </c>
      <c r="R232" s="24"/>
      <c r="S232" s="25">
        <f ca="1"/>
        <v>191</v>
      </c>
      <c r="T232" s="19" t="str">
        <f ca="1"/>
        <v>XS1974787480</v>
      </c>
      <c r="U232" s="25" t="str">
        <f ca="1"/>
        <v>TOTAL 1 3/4 PERP</v>
      </c>
      <c r="V232" s="64">
        <f ca="1"/>
        <v>2589000</v>
      </c>
      <c r="W232" s="70">
        <f ca="1"/>
        <v>4.62</v>
      </c>
      <c r="X232" s="71">
        <f ca="1"/>
        <v>102.04300000000001</v>
      </c>
      <c r="Y232" s="71">
        <f ca="1"/>
        <v>101.979</v>
      </c>
      <c r="Z232" s="57" t="str">
        <f ca="1"/>
        <v>SEMINARA</v>
      </c>
      <c r="AA232" s="57" t="str">
        <f ca="1"/>
        <v>Bond Corporate</v>
      </c>
      <c r="AB232" s="56">
        <f ca="1"/>
        <v>4091.5200000000323</v>
      </c>
      <c r="AC232" s="56">
        <f ca="1">IFERROR(IF(ISBLANK(AB232),"-",AB232-_xlfn.XLOOKUP(T232,AI:AI,AJ:AJ)),"-")</f>
        <v>0</v>
      </c>
      <c r="AD232" s="56">
        <f ca="1">IFERROR(IF(ISBLANK(AB232),"-",AB232-_xlfn.XLOOKUP(T232,AO:AO,AP:AP)),"-")</f>
        <v>4471.0400000000745</v>
      </c>
      <c r="AE232" s="25"/>
      <c r="AF232" s="25"/>
      <c r="AG232" s="25"/>
      <c r="AH232" s="25"/>
      <c r="AI232" s="51" t="s">
        <v>417</v>
      </c>
      <c r="AJ232" s="80">
        <v>4091.5200000000323</v>
      </c>
      <c r="AK232" s="25"/>
      <c r="AL232" s="25"/>
      <c r="AM232" s="25"/>
      <c r="AN232" s="25"/>
      <c r="AO232" s="51" t="s">
        <v>417</v>
      </c>
      <c r="AP232" s="80">
        <v>4091.5200000000323</v>
      </c>
      <c r="AQ232" s="25"/>
      <c r="AR232" s="25"/>
      <c r="AS232" s="26"/>
      <c r="AT232" s="20" t="s">
        <v>867</v>
      </c>
      <c r="AW232" s="25"/>
      <c r="AX232" s="25"/>
      <c r="AY232" s="37"/>
      <c r="AZ232" s="25"/>
      <c r="BA232" s="35"/>
      <c r="BB232" s="25"/>
      <c r="BC232" s="25"/>
      <c r="BD232" s="25"/>
      <c r="BE232" s="25"/>
      <c r="BF232" s="25"/>
      <c r="BG232" s="25"/>
      <c r="BH232" s="25"/>
      <c r="BI232" s="37"/>
      <c r="BJ232" s="25"/>
      <c r="BK232" s="25"/>
    </row>
    <row r="233" spans="3:63" x14ac:dyDescent="0.35">
      <c r="C233" s="25" t="str">
        <f ca="1"/>
        <v>XS1413581205</v>
      </c>
      <c r="D233" s="25" t="str">
        <f ca="1"/>
        <v>SEMINARA</v>
      </c>
      <c r="E233" s="35">
        <f ca="1"/>
        <v>105.09</v>
      </c>
      <c r="F233" s="102"/>
      <c r="G233" s="102">
        <f ca="1"/>
        <v>5950000</v>
      </c>
      <c r="H233" s="25">
        <f ca="1"/>
        <v>-1428.0000000000541</v>
      </c>
      <c r="I233" s="37">
        <f ca="1"/>
        <v>0</v>
      </c>
      <c r="J233" s="37" t="str">
        <f ca="1"/>
        <v>BGN</v>
      </c>
      <c r="K233" s="35" t="str">
        <f ca="1"/>
        <v>EUR</v>
      </c>
      <c r="L233" s="102">
        <f ca="1"/>
        <v>-1428.0000000000541</v>
      </c>
      <c r="M233" s="102">
        <f ca="1"/>
        <v>-1428.0000000000541</v>
      </c>
      <c r="N233" s="19">
        <f ca="1"/>
        <v>105.066</v>
      </c>
      <c r="Q233" s="20" t="s">
        <v>867</v>
      </c>
      <c r="R233" s="24"/>
      <c r="S233" s="25">
        <f ca="1"/>
        <v>192</v>
      </c>
      <c r="T233" s="19" t="str">
        <f ca="1"/>
        <v>XS1413581205</v>
      </c>
      <c r="U233" s="25" t="str">
        <f ca="1"/>
        <v>TOTAL 3 7/8 PERP</v>
      </c>
      <c r="V233" s="64">
        <f ca="1"/>
        <v>5950000</v>
      </c>
      <c r="W233" s="70">
        <f ca="1"/>
        <v>2.9</v>
      </c>
      <c r="X233" s="71">
        <f ca="1"/>
        <v>105.09</v>
      </c>
      <c r="Y233" s="71">
        <f ca="1"/>
        <v>105.066</v>
      </c>
      <c r="Z233" s="57" t="str">
        <f ca="1"/>
        <v>SEMINARA</v>
      </c>
      <c r="AA233" s="57" t="str">
        <f ca="1"/>
        <v>Bond Corporate</v>
      </c>
      <c r="AB233" s="56">
        <f ca="1"/>
        <v>-1428.0000000000541</v>
      </c>
      <c r="AC233" s="56">
        <f ca="1">IFERROR(IF(ISBLANK(AB233),"-",AB233-_xlfn.XLOOKUP(T233,AI:AI,AJ:AJ)),"-")</f>
        <v>0</v>
      </c>
      <c r="AD233" s="56">
        <f ca="1">IFERROR(IF(ISBLANK(AB233),"-",AB233-_xlfn.XLOOKUP(T233,AO:AO,AP:AP)),"-")</f>
        <v>-475.99999999973613</v>
      </c>
      <c r="AE233" s="25"/>
      <c r="AF233" s="25"/>
      <c r="AG233" s="25"/>
      <c r="AH233" s="25"/>
      <c r="AI233" s="51" t="s">
        <v>1462</v>
      </c>
      <c r="AJ233" s="80">
        <v>-1428.0000000000541</v>
      </c>
      <c r="AK233" s="25"/>
      <c r="AL233" s="25"/>
      <c r="AM233" s="25"/>
      <c r="AN233" s="25"/>
      <c r="AO233" s="51" t="s">
        <v>1462</v>
      </c>
      <c r="AP233" s="80">
        <v>-1428.0000000000541</v>
      </c>
      <c r="AQ233" s="25"/>
      <c r="AR233" s="25"/>
      <c r="AS233" s="26"/>
      <c r="AT233" s="20" t="s">
        <v>867</v>
      </c>
      <c r="AW233" s="25"/>
      <c r="AX233" s="25"/>
      <c r="AY233" s="37"/>
      <c r="AZ233" s="25"/>
      <c r="BA233" s="35"/>
      <c r="BB233" s="25"/>
      <c r="BC233" s="25"/>
      <c r="BD233" s="25"/>
      <c r="BE233" s="25"/>
      <c r="BF233" s="25"/>
      <c r="BG233" s="25"/>
      <c r="BH233" s="25"/>
      <c r="BI233" s="37"/>
      <c r="BJ233" s="25"/>
      <c r="BK233" s="25"/>
    </row>
    <row r="234" spans="3:63" x14ac:dyDescent="0.35">
      <c r="C234" s="25" t="str">
        <f ca="1"/>
        <v>XS1195201931</v>
      </c>
      <c r="D234" s="25" t="str">
        <f ca="1"/>
        <v>SEMINARA</v>
      </c>
      <c r="E234" s="35">
        <f ca="1"/>
        <v>100.68300000000001</v>
      </c>
      <c r="F234" s="102"/>
      <c r="G234" s="102">
        <f ca="1"/>
        <v>-748000</v>
      </c>
      <c r="H234" s="25">
        <f ca="1"/>
        <v>1234.2000000000467</v>
      </c>
      <c r="I234" s="37">
        <f ca="1"/>
        <v>0</v>
      </c>
      <c r="J234" s="37" t="str">
        <f ca="1"/>
        <v>BGN</v>
      </c>
      <c r="K234" s="35" t="str">
        <f ca="1"/>
        <v>EUR</v>
      </c>
      <c r="L234" s="102">
        <f ca="1"/>
        <v>1234.2000000000467</v>
      </c>
      <c r="M234" s="102">
        <f ca="1"/>
        <v>1234.2000000000467</v>
      </c>
      <c r="N234" s="19">
        <f ca="1"/>
        <v>100.518</v>
      </c>
      <c r="Q234" s="20" t="s">
        <v>867</v>
      </c>
      <c r="R234" s="24"/>
      <c r="S234" s="25">
        <f ca="1"/>
        <v>193</v>
      </c>
      <c r="T234" s="19" t="str">
        <f ca="1"/>
        <v>XS1195201931</v>
      </c>
      <c r="U234" s="25" t="str">
        <f ca="1"/>
        <v>TOTAL 2 1/4 PERP</v>
      </c>
      <c r="V234" s="64">
        <f ca="1"/>
        <v>-748000</v>
      </c>
      <c r="W234" s="70">
        <f ca="1"/>
        <v>-0.06</v>
      </c>
      <c r="X234" s="71">
        <f ca="1"/>
        <v>100.68300000000001</v>
      </c>
      <c r="Y234" s="71">
        <f ca="1"/>
        <v>100.518</v>
      </c>
      <c r="Z234" s="57" t="str">
        <f ca="1"/>
        <v>SEMINARA</v>
      </c>
      <c r="AA234" s="57" t="str">
        <f ca="1"/>
        <v>Bond Corporate</v>
      </c>
      <c r="AB234" s="56">
        <f ca="1"/>
        <v>1234.2000000000467</v>
      </c>
      <c r="AC234" s="56">
        <f ca="1">IFERROR(IF(ISBLANK(AB234),"-",AB234-_xlfn.XLOOKUP(T234,AI:AI,AJ:AJ)),"-")</f>
        <v>0</v>
      </c>
      <c r="AD234" s="56">
        <f ca="1">IFERROR(IF(ISBLANK(AB234),"-",AB234-_xlfn.XLOOKUP(T234,AO:AO,AP:AP)),"-")</f>
        <v>0</v>
      </c>
      <c r="AE234" s="25"/>
      <c r="AF234" s="25"/>
      <c r="AG234" s="25"/>
      <c r="AH234" s="25"/>
      <c r="AI234" s="51" t="s">
        <v>844</v>
      </c>
      <c r="AJ234" s="80">
        <v>1234.2000000000467</v>
      </c>
      <c r="AK234" s="25"/>
      <c r="AL234" s="25"/>
      <c r="AM234" s="25"/>
      <c r="AN234" s="25"/>
      <c r="AO234" s="51" t="s">
        <v>844</v>
      </c>
      <c r="AP234" s="80">
        <v>1234.2000000000467</v>
      </c>
      <c r="AQ234" s="25"/>
      <c r="AR234" s="25"/>
      <c r="AS234" s="26"/>
      <c r="AT234" s="20" t="s">
        <v>867</v>
      </c>
      <c r="AW234" s="25"/>
      <c r="AX234" s="25"/>
      <c r="AY234" s="37"/>
      <c r="AZ234" s="25"/>
      <c r="BA234" s="35"/>
      <c r="BB234" s="25"/>
      <c r="BC234" s="25"/>
      <c r="BD234" s="25"/>
      <c r="BE234" s="25"/>
      <c r="BF234" s="25"/>
      <c r="BG234" s="25"/>
      <c r="BH234" s="25"/>
      <c r="BI234" s="37"/>
      <c r="BJ234" s="25"/>
      <c r="BK234" s="25"/>
    </row>
    <row r="235" spans="3:63" x14ac:dyDescent="0.35">
      <c r="C235" s="25" t="str">
        <f ca="1"/>
        <v>FR00140007L3</v>
      </c>
      <c r="D235" s="25" t="str">
        <f ca="1"/>
        <v>SEMINARA</v>
      </c>
      <c r="E235" s="35">
        <f ca="1"/>
        <v>99.397000000000006</v>
      </c>
      <c r="F235" s="102"/>
      <c r="G235" s="102">
        <f ca="1"/>
        <v>7400000</v>
      </c>
      <c r="H235" s="25">
        <f ca="1"/>
        <v>-9546.000000000362</v>
      </c>
      <c r="I235" s="37">
        <f ca="1"/>
        <v>0</v>
      </c>
      <c r="J235" s="37" t="str">
        <f ca="1"/>
        <v>BGN</v>
      </c>
      <c r="K235" s="35" t="str">
        <f ca="1"/>
        <v>EUR</v>
      </c>
      <c r="L235" s="102">
        <f ca="1"/>
        <v>-9546.000000000362</v>
      </c>
      <c r="M235" s="102">
        <f ca="1"/>
        <v>-9546.000000000362</v>
      </c>
      <c r="N235" s="19">
        <f ca="1"/>
        <v>99.268000000000001</v>
      </c>
      <c r="Q235" s="20" t="s">
        <v>867</v>
      </c>
      <c r="R235" s="24"/>
      <c r="S235" s="25">
        <f ca="1"/>
        <v>194</v>
      </c>
      <c r="T235" s="19" t="str">
        <f ca="1"/>
        <v>FR00140007L3</v>
      </c>
      <c r="U235" s="25" t="str">
        <f ca="1"/>
        <v>VIEFP 2 1/2 PERP</v>
      </c>
      <c r="V235" s="64">
        <f ca="1"/>
        <v>7400000</v>
      </c>
      <c r="W235" s="70">
        <f ca="1"/>
        <v>51.14</v>
      </c>
      <c r="X235" s="71">
        <f ca="1"/>
        <v>99.397000000000006</v>
      </c>
      <c r="Y235" s="71">
        <f ca="1"/>
        <v>99.268000000000001</v>
      </c>
      <c r="Z235" s="57" t="str">
        <f ca="1"/>
        <v>SEMINARA</v>
      </c>
      <c r="AA235" s="57" t="str">
        <f ca="1"/>
        <v>Bond Corporate</v>
      </c>
      <c r="AB235" s="56">
        <f ca="1"/>
        <v>-9546.000000000362</v>
      </c>
      <c r="AC235" s="56">
        <f ca="1">IFERROR(IF(ISBLANK(AB235),"-",AB235-_xlfn.XLOOKUP(T235,AI:AI,AJ:AJ)),"-")</f>
        <v>0</v>
      </c>
      <c r="AD235" s="56">
        <f ca="1">IFERROR(IF(ISBLANK(AB235),"-",AB235-_xlfn.XLOOKUP(T235,AO:AO,AP:AP)),"-")</f>
        <v>-1776.0000000000673</v>
      </c>
      <c r="AE235" s="25"/>
      <c r="AF235" s="25"/>
      <c r="AG235" s="25"/>
      <c r="AH235" s="25"/>
      <c r="AI235" s="51" t="s">
        <v>422</v>
      </c>
      <c r="AJ235" s="80">
        <v>-9546.000000000362</v>
      </c>
      <c r="AK235" s="25"/>
      <c r="AL235" s="25"/>
      <c r="AM235" s="25"/>
      <c r="AN235" s="25"/>
      <c r="AO235" s="51" t="s">
        <v>422</v>
      </c>
      <c r="AP235" s="80">
        <v>-9546.000000000362</v>
      </c>
      <c r="AQ235" s="25"/>
      <c r="AR235" s="25"/>
      <c r="AS235" s="26"/>
      <c r="AT235" s="20" t="s">
        <v>867</v>
      </c>
      <c r="AW235" s="25"/>
      <c r="AX235" s="25"/>
      <c r="AY235" s="37"/>
      <c r="AZ235" s="25"/>
      <c r="BA235" s="35"/>
      <c r="BB235" s="25"/>
      <c r="BC235" s="25"/>
      <c r="BD235" s="25"/>
      <c r="BE235" s="25"/>
      <c r="BF235" s="25"/>
      <c r="BG235" s="25"/>
      <c r="BH235" s="25"/>
      <c r="BI235" s="37"/>
      <c r="BJ235" s="25"/>
      <c r="BK235" s="25"/>
    </row>
    <row r="236" spans="3:63" x14ac:dyDescent="0.35">
      <c r="C236" s="25" t="str">
        <f ca="1"/>
        <v>XS2225204010</v>
      </c>
      <c r="D236" s="25" t="str">
        <f ca="1"/>
        <v>SEMINARA</v>
      </c>
      <c r="E236" s="35">
        <f ca="1"/>
        <v>102.197</v>
      </c>
      <c r="F236" s="102"/>
      <c r="G236" s="102">
        <f ca="1"/>
        <v>-5000000</v>
      </c>
      <c r="H236" s="25">
        <f ca="1"/>
        <v>-2349.9999999998522</v>
      </c>
      <c r="I236" s="37">
        <f ca="1"/>
        <v>6465.0000000001746</v>
      </c>
      <c r="J236" s="37" t="str">
        <f ca="1"/>
        <v>BGN</v>
      </c>
      <c r="K236" s="35" t="str">
        <f ca="1"/>
        <v>EUR</v>
      </c>
      <c r="L236" s="102">
        <f ca="1"/>
        <v>4115.000000000322</v>
      </c>
      <c r="M236" s="102">
        <f ca="1"/>
        <v>4115.000000000322</v>
      </c>
      <c r="N236" s="19">
        <f ca="1"/>
        <v>102.244</v>
      </c>
      <c r="Q236" s="20" t="s">
        <v>867</v>
      </c>
      <c r="R236" s="24"/>
      <c r="S236" s="25">
        <f ca="1"/>
        <v>195</v>
      </c>
      <c r="T236" s="19" t="str">
        <f ca="1"/>
        <v>XS2225204010</v>
      </c>
      <c r="U236" s="25" t="str">
        <f ca="1"/>
        <v>VOD 3 08/27/80</v>
      </c>
      <c r="V236" s="64">
        <f ca="1"/>
        <v>-11500000</v>
      </c>
      <c r="W236" s="70">
        <f ca="1"/>
        <v>-94.31</v>
      </c>
      <c r="X236" s="71">
        <f ca="1"/>
        <v>102.197</v>
      </c>
      <c r="Y236" s="71">
        <f ca="1"/>
        <v>102.244</v>
      </c>
      <c r="Z236" s="57" t="str">
        <f ca="1"/>
        <v>SEMINARA</v>
      </c>
      <c r="AA236" s="57" t="str">
        <f ca="1"/>
        <v>Bond Corporate</v>
      </c>
      <c r="AB236" s="56">
        <f ca="1"/>
        <v>4115.000000000322</v>
      </c>
      <c r="AC236" s="56">
        <f ca="1">IFERROR(IF(ISBLANK(AB236),"-",AB236-_xlfn.XLOOKUP(T236,AI:AI,AJ:AJ)),"-")</f>
        <v>6365.0000000005493</v>
      </c>
      <c r="AD236" s="56">
        <f ca="1">IFERROR(IF(ISBLANK(AB236),"-",AB236-_xlfn.XLOOKUP(T236,AO:AO,AP:AP)),"-")</f>
        <v>7730.0000000006012</v>
      </c>
      <c r="AE236" s="25"/>
      <c r="AF236" s="25"/>
      <c r="AG236" s="25"/>
      <c r="AH236" s="25"/>
      <c r="AI236" s="51" t="s">
        <v>426</v>
      </c>
      <c r="AJ236" s="80">
        <v>4115.000000000322</v>
      </c>
      <c r="AK236" s="25"/>
      <c r="AL236" s="25"/>
      <c r="AM236" s="25"/>
      <c r="AN236" s="25"/>
      <c r="AO236" s="51" t="s">
        <v>426</v>
      </c>
      <c r="AP236" s="80">
        <v>-2250.0000000002274</v>
      </c>
      <c r="AQ236" s="25"/>
      <c r="AR236" s="25"/>
      <c r="AS236" s="26"/>
      <c r="AT236" s="20" t="s">
        <v>867</v>
      </c>
      <c r="AW236" s="25"/>
      <c r="AX236" s="25"/>
      <c r="AY236" s="37"/>
      <c r="AZ236" s="25"/>
      <c r="BA236" s="35"/>
      <c r="BB236" s="25"/>
      <c r="BC236" s="25"/>
      <c r="BD236" s="25"/>
      <c r="BE236" s="25"/>
      <c r="BF236" s="25"/>
      <c r="BG236" s="25"/>
      <c r="BH236" s="25"/>
      <c r="BI236" s="37"/>
      <c r="BJ236" s="25"/>
      <c r="BK236" s="25"/>
    </row>
    <row r="237" spans="3:63" x14ac:dyDescent="0.35">
      <c r="C237" s="25" t="str">
        <f ca="1"/>
        <v>US92857WBQ24</v>
      </c>
      <c r="D237" s="25" t="str">
        <f ca="1"/>
        <v>SEMINARA</v>
      </c>
      <c r="E237" s="35">
        <f ca="1"/>
        <v>121.6</v>
      </c>
      <c r="F237" s="102"/>
      <c r="G237" s="102">
        <f ca="1"/>
        <v>-8000000</v>
      </c>
      <c r="H237" s="25">
        <f ca="1"/>
        <v>-18799.999999999953</v>
      </c>
      <c r="I237" s="37">
        <f ca="1"/>
        <v>0</v>
      </c>
      <c r="J237" s="37" t="str">
        <f ca="1"/>
        <v>BGN</v>
      </c>
      <c r="K237" s="35" t="str">
        <f ca="1"/>
        <v>USD</v>
      </c>
      <c r="L237" s="102">
        <f ca="1"/>
        <v>-18799.999999999953</v>
      </c>
      <c r="M237" s="102">
        <f ca="1"/>
        <v>-15844.639999999959</v>
      </c>
      <c r="N237" s="19">
        <f ca="1"/>
        <v>121.83499999999999</v>
      </c>
      <c r="Q237" s="20" t="s">
        <v>867</v>
      </c>
      <c r="R237" s="24"/>
      <c r="S237" s="25">
        <f ca="1"/>
        <v>196</v>
      </c>
      <c r="T237" s="19" t="str">
        <f ca="1"/>
        <v>US92857WBQ24</v>
      </c>
      <c r="U237" s="25" t="str">
        <f ca="1"/>
        <v>VOD 7 04/04/79</v>
      </c>
      <c r="V237" s="64">
        <f ca="1"/>
        <v>-8000000</v>
      </c>
      <c r="W237" s="70">
        <f ca="1"/>
        <v>-54.06</v>
      </c>
      <c r="X237" s="71">
        <f ca="1"/>
        <v>121.6</v>
      </c>
      <c r="Y237" s="71">
        <f ca="1"/>
        <v>121.83499999999999</v>
      </c>
      <c r="Z237" s="57" t="str">
        <f ca="1"/>
        <v>SEMINARA</v>
      </c>
      <c r="AA237" s="57" t="str">
        <f ca="1"/>
        <v>Bond Corporate</v>
      </c>
      <c r="AB237" s="56">
        <f ca="1"/>
        <v>-15844.639999999959</v>
      </c>
      <c r="AC237" s="56">
        <f ca="1">IFERROR(IF(ISBLANK(AB237),"-",AB237-_xlfn.XLOOKUP(T237,AI:AI,AJ:AJ)),"-")</f>
        <v>-2086.879999999439</v>
      </c>
      <c r="AD237" s="56">
        <f ca="1">IFERROR(IF(ISBLANK(AB237),"-",AB237-_xlfn.XLOOKUP(T237,AO:AO,AP:AP)),"-")</f>
        <v>-14226.463999999898</v>
      </c>
      <c r="AE237" s="25"/>
      <c r="AF237" s="25"/>
      <c r="AG237" s="25"/>
      <c r="AH237" s="25"/>
      <c r="AI237" s="51" t="s">
        <v>429</v>
      </c>
      <c r="AJ237" s="80">
        <v>-15844.639999999959</v>
      </c>
      <c r="AK237" s="25"/>
      <c r="AL237" s="25"/>
      <c r="AM237" s="25"/>
      <c r="AN237" s="25"/>
      <c r="AO237" s="51" t="s">
        <v>429</v>
      </c>
      <c r="AP237" s="80">
        <v>-13757.76000000052</v>
      </c>
      <c r="AQ237" s="25"/>
      <c r="AR237" s="25"/>
      <c r="AS237" s="26"/>
      <c r="AT237" s="20" t="s">
        <v>867</v>
      </c>
      <c r="AW237" s="25"/>
      <c r="AX237" s="25"/>
      <c r="AY237" s="37"/>
      <c r="AZ237" s="25"/>
      <c r="BA237" s="35"/>
      <c r="BB237" s="25"/>
      <c r="BC237" s="25"/>
      <c r="BD237" s="25"/>
      <c r="BE237" s="25"/>
      <c r="BF237" s="25"/>
      <c r="BG237" s="25"/>
      <c r="BH237" s="25"/>
      <c r="BI237" s="37"/>
      <c r="BJ237" s="25"/>
      <c r="BK237" s="25"/>
    </row>
    <row r="238" spans="3:63" x14ac:dyDescent="0.35">
      <c r="C238" s="25" t="str">
        <f ca="1"/>
        <v>XS1888179550</v>
      </c>
      <c r="D238" s="25" t="str">
        <f ca="1"/>
        <v>SEMINARA</v>
      </c>
      <c r="E238" s="35">
        <f ca="1"/>
        <v>112.977</v>
      </c>
      <c r="F238" s="102"/>
      <c r="G238" s="102">
        <f ca="1"/>
        <v>2000000</v>
      </c>
      <c r="H238" s="25">
        <f ca="1"/>
        <v>-400.00000000020458</v>
      </c>
      <c r="I238" s="37">
        <f ca="1"/>
        <v>0</v>
      </c>
      <c r="J238" s="37" t="str">
        <f ca="1"/>
        <v>BGN</v>
      </c>
      <c r="K238" s="35" t="str">
        <f ca="1"/>
        <v>EUR</v>
      </c>
      <c r="L238" s="102">
        <f ca="1"/>
        <v>-400.00000000020458</v>
      </c>
      <c r="M238" s="102">
        <f ca="1"/>
        <v>-400.00000000020458</v>
      </c>
      <c r="N238" s="19">
        <f ca="1"/>
        <v>112.95699999999999</v>
      </c>
      <c r="Q238" s="20" t="s">
        <v>867</v>
      </c>
      <c r="R238" s="24"/>
      <c r="S238" s="25">
        <f ca="1"/>
        <v>197</v>
      </c>
      <c r="T238" s="19" t="str">
        <f ca="1"/>
        <v>XS1888179550</v>
      </c>
      <c r="U238" s="25" t="str">
        <f ca="1"/>
        <v>VOD 4.2 10/03/78</v>
      </c>
      <c r="V238" s="64">
        <f ca="1"/>
        <v>2000000</v>
      </c>
      <c r="W238" s="70">
        <f ca="1"/>
        <v>12.99</v>
      </c>
      <c r="X238" s="71">
        <f ca="1"/>
        <v>112.977</v>
      </c>
      <c r="Y238" s="71">
        <f ca="1"/>
        <v>112.95699999999999</v>
      </c>
      <c r="Z238" s="57" t="str">
        <f ca="1"/>
        <v>SEMINARA</v>
      </c>
      <c r="AA238" s="57" t="str">
        <f ca="1"/>
        <v>Bond Corporate</v>
      </c>
      <c r="AB238" s="56">
        <f ca="1"/>
        <v>-400.00000000020458</v>
      </c>
      <c r="AC238" s="56">
        <f ca="1">IFERROR(IF(ISBLANK(AB238),"-",AB238-_xlfn.XLOOKUP(T238,AI:AI,AJ:AJ)),"-")</f>
        <v>259.99999999982043</v>
      </c>
      <c r="AD238" s="56">
        <f ca="1">IFERROR(IF(ISBLANK(AB238),"-",AB238-_xlfn.XLOOKUP(T238,AO:AO,AP:AP)),"-")</f>
        <v>-280.00000000020003</v>
      </c>
      <c r="AE238" s="25"/>
      <c r="AF238" s="25"/>
      <c r="AG238" s="25"/>
      <c r="AH238" s="25"/>
      <c r="AI238" s="51" t="s">
        <v>431</v>
      </c>
      <c r="AJ238" s="80">
        <v>-400.00000000020458</v>
      </c>
      <c r="AK238" s="25"/>
      <c r="AL238" s="25"/>
      <c r="AM238" s="25"/>
      <c r="AN238" s="25"/>
      <c r="AO238" s="51" t="s">
        <v>431</v>
      </c>
      <c r="AP238" s="80">
        <v>-660.00000000002501</v>
      </c>
      <c r="AQ238" s="25"/>
      <c r="AR238" s="25"/>
      <c r="AS238" s="26"/>
      <c r="AT238" s="20" t="s">
        <v>867</v>
      </c>
      <c r="AW238" s="25"/>
      <c r="AX238" s="25"/>
      <c r="AY238" s="37"/>
      <c r="AZ238" s="25"/>
      <c r="BA238" s="35"/>
      <c r="BB238" s="25"/>
      <c r="BC238" s="25"/>
      <c r="BD238" s="25"/>
      <c r="BE238" s="25"/>
      <c r="BF238" s="25"/>
      <c r="BG238" s="25"/>
      <c r="BH238" s="25"/>
      <c r="BI238" s="37"/>
      <c r="BJ238" s="25"/>
      <c r="BK238" s="25"/>
    </row>
    <row r="239" spans="3:63" x14ac:dyDescent="0.35">
      <c r="C239" s="25" t="str">
        <f ca="1"/>
        <v>XS2225157424</v>
      </c>
      <c r="D239" s="25" t="str">
        <f ca="1"/>
        <v>SEMINARA</v>
      </c>
      <c r="E239" s="35">
        <f ca="1"/>
        <v>102.209</v>
      </c>
      <c r="F239" s="102"/>
      <c r="G239" s="102">
        <f ca="1"/>
        <v>19377000</v>
      </c>
      <c r="H239" s="25">
        <f ca="1"/>
        <v>-10463.580000000396</v>
      </c>
      <c r="I239" s="37">
        <f ca="1"/>
        <v>1640.0000000000148</v>
      </c>
      <c r="J239" s="37" t="str">
        <f ca="1"/>
        <v>BGN</v>
      </c>
      <c r="K239" s="35" t="str">
        <f ca="1"/>
        <v>EUR</v>
      </c>
      <c r="L239" s="102">
        <f ca="1"/>
        <v>-8823.5800000003819</v>
      </c>
      <c r="M239" s="102">
        <f ca="1"/>
        <v>-8823.5800000003819</v>
      </c>
      <c r="N239" s="19">
        <f ca="1"/>
        <v>102.155</v>
      </c>
      <c r="Q239" s="20" t="s">
        <v>867</v>
      </c>
      <c r="R239" s="24"/>
      <c r="S239" s="25">
        <f ca="1"/>
        <v>198</v>
      </c>
      <c r="T239" s="19" t="str">
        <f ca="1"/>
        <v>XS2225157424</v>
      </c>
      <c r="U239" s="25" t="str">
        <f ca="1"/>
        <v>VOD 2 5/8 08/27/80</v>
      </c>
      <c r="V239" s="64">
        <f ca="1"/>
        <v>18777000</v>
      </c>
      <c r="W239" s="70">
        <f ca="1"/>
        <v>84.03</v>
      </c>
      <c r="X239" s="71">
        <f ca="1"/>
        <v>102.209</v>
      </c>
      <c r="Y239" s="71">
        <f ca="1"/>
        <v>102.155</v>
      </c>
      <c r="Z239" s="57" t="str">
        <f ca="1"/>
        <v>SEMINARA</v>
      </c>
      <c r="AA239" s="57" t="str">
        <f ca="1"/>
        <v>Bond Corporate</v>
      </c>
      <c r="AB239" s="56">
        <f ca="1"/>
        <v>-8823.5800000003819</v>
      </c>
      <c r="AC239" s="56">
        <f ca="1">IFERROR(IF(ISBLANK(AB239),"-",AB239-_xlfn.XLOOKUP(T239,AI:AI,AJ:AJ)),"-")</f>
        <v>-751.08000000091852</v>
      </c>
      <c r="AD239" s="56">
        <f ca="1">IFERROR(IF(ISBLANK(AB239),"-",AB239-_xlfn.XLOOKUP(T239,AO:AO,AP:AP)),"-")</f>
        <v>-3943.1700000001501</v>
      </c>
      <c r="AE239" s="25"/>
      <c r="AF239" s="25"/>
      <c r="AG239" s="25"/>
      <c r="AH239" s="25"/>
      <c r="AI239" s="51" t="s">
        <v>433</v>
      </c>
      <c r="AJ239" s="80">
        <v>-8823.5800000003819</v>
      </c>
      <c r="AK239" s="25"/>
      <c r="AL239" s="25"/>
      <c r="AM239" s="25"/>
      <c r="AN239" s="25"/>
      <c r="AO239" s="51" t="s">
        <v>433</v>
      </c>
      <c r="AP239" s="80">
        <v>-8072.4999999994634</v>
      </c>
      <c r="AQ239" s="25"/>
      <c r="AR239" s="25"/>
      <c r="AS239" s="26"/>
      <c r="AT239" s="20" t="s">
        <v>867</v>
      </c>
      <c r="AW239" s="25"/>
      <c r="AX239" s="25"/>
      <c r="AY239" s="37"/>
      <c r="AZ239" s="25"/>
      <c r="BA239" s="35"/>
      <c r="BB239" s="25"/>
      <c r="BC239" s="25"/>
      <c r="BD239" s="25"/>
      <c r="BE239" s="25"/>
      <c r="BF239" s="25"/>
      <c r="BG239" s="25"/>
      <c r="BH239" s="25"/>
      <c r="BI239" s="37"/>
      <c r="BJ239" s="25"/>
      <c r="BK239" s="25"/>
    </row>
    <row r="240" spans="3:63" x14ac:dyDescent="0.35">
      <c r="C240" s="25" t="str">
        <f ca="1"/>
        <v>XS1888180996</v>
      </c>
      <c r="D240" s="25" t="str">
        <f ca="1"/>
        <v>SEMINARA</v>
      </c>
      <c r="E240" s="35">
        <f ca="1"/>
        <v>108.22799999999999</v>
      </c>
      <c r="F240" s="102"/>
      <c r="G240" s="102">
        <f ca="1"/>
        <v>-1000000</v>
      </c>
      <c r="H240" s="25">
        <f ca="1"/>
        <v>-1890.0000000000716</v>
      </c>
      <c r="I240" s="37">
        <f ca="1"/>
        <v>0</v>
      </c>
      <c r="J240" s="37" t="str">
        <f ca="1"/>
        <v>BGN</v>
      </c>
      <c r="K240" s="35" t="str">
        <f ca="1"/>
        <v>GBP</v>
      </c>
      <c r="L240" s="102">
        <f ca="1"/>
        <v>-1890.0000000000716</v>
      </c>
      <c r="M240" s="102">
        <f ca="1"/>
        <v>-2109.8070000000803</v>
      </c>
      <c r="N240" s="19">
        <f ca="1"/>
        <v>108.417</v>
      </c>
      <c r="Q240" s="20" t="s">
        <v>867</v>
      </c>
      <c r="R240" s="24"/>
      <c r="S240" s="25">
        <f ca="1"/>
        <v>199</v>
      </c>
      <c r="T240" s="19" t="str">
        <f ca="1"/>
        <v>XS1888180996</v>
      </c>
      <c r="U240" s="25" t="str">
        <f ca="1"/>
        <v>VOD 4 7/8 10/03/78</v>
      </c>
      <c r="V240" s="64">
        <f ca="1"/>
        <v>-1000000</v>
      </c>
      <c r="W240" s="70">
        <f ca="1"/>
        <v>-4.4000000000000004</v>
      </c>
      <c r="X240" s="71">
        <f ca="1"/>
        <v>108.22799999999999</v>
      </c>
      <c r="Y240" s="71">
        <f ca="1"/>
        <v>108.417</v>
      </c>
      <c r="Z240" s="57" t="str">
        <f ca="1"/>
        <v>SEMINARA</v>
      </c>
      <c r="AA240" s="57" t="str">
        <f ca="1"/>
        <v>Bond Corporate</v>
      </c>
      <c r="AB240" s="56">
        <f ca="1"/>
        <v>-2109.8070000000803</v>
      </c>
      <c r="AC240" s="56">
        <f ca="1">IFERROR(IF(ISBLANK(AB240),"-",AB240-_xlfn.XLOOKUP(T240,AI:AI,AJ:AJ)),"-")</f>
        <v>-166.92300000000637</v>
      </c>
      <c r="AD240" s="56">
        <f ca="1">IFERROR(IF(ISBLANK(AB240),"-",AB240-_xlfn.XLOOKUP(T240,AO:AO,AP:AP)),"-")</f>
        <v>-367.44300000001431</v>
      </c>
      <c r="AE240" s="25"/>
      <c r="AF240" s="25"/>
      <c r="AG240" s="25"/>
      <c r="AH240" s="25"/>
      <c r="AI240" s="51" t="s">
        <v>435</v>
      </c>
      <c r="AJ240" s="80">
        <v>-2109.8070000000803</v>
      </c>
      <c r="AK240" s="25"/>
      <c r="AL240" s="25"/>
      <c r="AM240" s="25"/>
      <c r="AN240" s="25"/>
      <c r="AO240" s="51" t="s">
        <v>435</v>
      </c>
      <c r="AP240" s="80">
        <v>-1942.8840000000739</v>
      </c>
      <c r="AQ240" s="25"/>
      <c r="AR240" s="25"/>
      <c r="AS240" s="26"/>
      <c r="AT240" s="20" t="s">
        <v>867</v>
      </c>
      <c r="AW240" s="25"/>
      <c r="AX240" s="25"/>
      <c r="AY240" s="37"/>
      <c r="AZ240" s="25"/>
      <c r="BA240" s="35"/>
      <c r="BB240" s="25"/>
      <c r="BC240" s="25"/>
      <c r="BD240" s="25"/>
      <c r="BE240" s="25"/>
      <c r="BF240" s="25"/>
      <c r="BG240" s="25"/>
      <c r="BH240" s="25"/>
      <c r="BI240" s="37"/>
      <c r="BJ240" s="25"/>
      <c r="BK240" s="25"/>
    </row>
    <row r="241" spans="3:63" x14ac:dyDescent="0.35">
      <c r="C241" s="25" t="str">
        <f ca="1"/>
        <v>XS1888180640</v>
      </c>
      <c r="D241" s="25" t="str">
        <f ca="1"/>
        <v>SEMINARA</v>
      </c>
      <c r="E241" s="35">
        <f ca="1"/>
        <v>109.956</v>
      </c>
      <c r="F241" s="102"/>
      <c r="G241" s="102">
        <f ca="1"/>
        <v>-8689000</v>
      </c>
      <c r="H241" s="25">
        <f ca="1"/>
        <v>-9731.6799999995455</v>
      </c>
      <c r="I241" s="37">
        <f ca="1"/>
        <v>0</v>
      </c>
      <c r="J241" s="37" t="str">
        <f ca="1"/>
        <v>BGN</v>
      </c>
      <c r="K241" s="35" t="str">
        <f ca="1"/>
        <v>USD</v>
      </c>
      <c r="L241" s="102">
        <f ca="1"/>
        <v>-9731.6799999995455</v>
      </c>
      <c r="M241" s="102">
        <f ca="1"/>
        <v>-8201.859903999617</v>
      </c>
      <c r="N241" s="19">
        <f ca="1"/>
        <v>110.068</v>
      </c>
      <c r="Q241" s="20" t="s">
        <v>867</v>
      </c>
      <c r="R241" s="24"/>
      <c r="S241" s="25">
        <f ca="1"/>
        <v>200</v>
      </c>
      <c r="T241" s="19" t="str">
        <f ca="1"/>
        <v>XS1888180640</v>
      </c>
      <c r="U241" s="25" t="str">
        <f ca="1"/>
        <v>VOD 6 1/4 10/03/78</v>
      </c>
      <c r="V241" s="64">
        <f ca="1"/>
        <v>-8689000</v>
      </c>
      <c r="W241" s="70">
        <f ca="1"/>
        <v>-25.21</v>
      </c>
      <c r="X241" s="71">
        <f ca="1"/>
        <v>109.956</v>
      </c>
      <c r="Y241" s="71">
        <f ca="1"/>
        <v>110.068</v>
      </c>
      <c r="Z241" s="57" t="str">
        <f ca="1"/>
        <v>SEMINARA</v>
      </c>
      <c r="AA241" s="57" t="str">
        <f ca="1"/>
        <v>Bond Corporate</v>
      </c>
      <c r="AB241" s="56">
        <f ca="1"/>
        <v>-8201.859903999617</v>
      </c>
      <c r="AC241" s="56">
        <f ca="1">IFERROR(IF(ISBLANK(AB241),"-",AB241-_xlfn.XLOOKUP(T241,AI:AI,AJ:AJ)),"-")</f>
        <v>-1536.2673340000592</v>
      </c>
      <c r="AD241" s="56">
        <f ca="1">IFERROR(IF(ISBLANK(AB241),"-",AB241-_xlfn.XLOOKUP(T241,AO:AO,AP:AP)),"-")</f>
        <v>-3661.5445999997919</v>
      </c>
      <c r="AE241" s="25"/>
      <c r="AF241" s="25"/>
      <c r="AG241" s="25"/>
      <c r="AH241" s="25"/>
      <c r="AI241" s="51" t="s">
        <v>437</v>
      </c>
      <c r="AJ241" s="80">
        <v>-8201.859903999617</v>
      </c>
      <c r="AK241" s="25"/>
      <c r="AL241" s="25"/>
      <c r="AM241" s="25"/>
      <c r="AN241" s="25"/>
      <c r="AO241" s="51" t="s">
        <v>437</v>
      </c>
      <c r="AP241" s="80">
        <v>-6665.5925699995578</v>
      </c>
      <c r="AQ241" s="25"/>
      <c r="AR241" s="25"/>
      <c r="AS241" s="26"/>
      <c r="AT241" s="20" t="s">
        <v>867</v>
      </c>
      <c r="AW241" s="25"/>
      <c r="AX241" s="25"/>
      <c r="AY241" s="37"/>
      <c r="AZ241" s="25"/>
      <c r="BA241" s="35"/>
      <c r="BB241" s="25"/>
      <c r="BC241" s="25"/>
      <c r="BD241" s="25"/>
      <c r="BE241" s="25"/>
      <c r="BF241" s="25"/>
      <c r="BG241" s="25"/>
      <c r="BH241" s="25"/>
      <c r="BI241" s="37"/>
      <c r="BJ241" s="25"/>
      <c r="BK241" s="25"/>
    </row>
    <row r="242" spans="3:63" x14ac:dyDescent="0.35">
      <c r="C242" s="25" t="str">
        <f ca="1"/>
        <v>RPZ0</v>
      </c>
      <c r="D242" s="25" t="str">
        <f ca="1"/>
        <v>GIORGETTI</v>
      </c>
      <c r="E242" s="35">
        <f ca="1"/>
        <v>0.89800000000000002</v>
      </c>
      <c r="F242" s="102"/>
      <c r="G242" s="102">
        <f ca="1"/>
        <v>42</v>
      </c>
      <c r="H242" s="25">
        <f ca="1"/>
        <v>-81.900000000000304</v>
      </c>
      <c r="I242" s="37">
        <f ca="1"/>
        <v>0</v>
      </c>
      <c r="J242" s="37" t="str">
        <f ca="1"/>
        <v>EX</v>
      </c>
      <c r="K242" s="35" t="str">
        <f ca="1"/>
        <v>GBP</v>
      </c>
      <c r="L242" s="102">
        <f ca="1"/>
        <v>-81.900000000000304</v>
      </c>
      <c r="M242" s="102">
        <f ca="1"/>
        <v>-91.424970000000343</v>
      </c>
      <c r="N242" s="19" t="str">
        <f ca="1"/>
        <v>#N/A Invalid Security</v>
      </c>
      <c r="Q242" s="20" t="s">
        <v>867</v>
      </c>
      <c r="R242" s="24"/>
      <c r="S242" s="25">
        <f ca="1"/>
        <v>201</v>
      </c>
      <c r="T242" s="19" t="str">
        <f ca="1"/>
        <v>RPZ0</v>
      </c>
      <c r="U242" s="25" t="str">
        <f ca="1"/>
        <v>RPZ0 Curncy</v>
      </c>
      <c r="V242" s="64">
        <f ca="1"/>
        <v>42</v>
      </c>
      <c r="W242" s="70">
        <f ca="1"/>
        <v>0</v>
      </c>
      <c r="X242" s="71">
        <f ca="1"/>
        <v>0.89800000000000002</v>
      </c>
      <c r="Y242" s="71">
        <f ca="1"/>
        <v>0.89605000000000001</v>
      </c>
      <c r="Z242" s="57" t="str">
        <f ca="1"/>
        <v>GIORGETTI</v>
      </c>
      <c r="AA242" s="57" t="str">
        <f ca="1"/>
        <v>Future</v>
      </c>
      <c r="AB242" s="56">
        <f ca="1"/>
        <v>-91.424970000000343</v>
      </c>
      <c r="AC242" s="56">
        <f ca="1">IFERROR(IF(ISBLANK(AB242),"-",AB242-_xlfn.XLOOKUP(T242,AI:AI,AJ:AJ)),"-")</f>
        <v>7.0591499999992351</v>
      </c>
      <c r="AD242" s="56">
        <f ca="1">IFERROR(IF(ISBLANK(AB242),"-",AB242-_xlfn.XLOOKUP(T242,AO:AO,AP:AP)),"-")</f>
        <v>4.7401199999994788</v>
      </c>
      <c r="AE242" s="25"/>
      <c r="AF242" s="25"/>
      <c r="AG242" s="25"/>
      <c r="AH242" s="25"/>
      <c r="AI242" s="51" t="s">
        <v>478</v>
      </c>
      <c r="AJ242" s="80">
        <v>-91.424970000000343</v>
      </c>
      <c r="AK242" s="25"/>
      <c r="AL242" s="25"/>
      <c r="AM242" s="25"/>
      <c r="AN242" s="25"/>
      <c r="AO242" s="51" t="s">
        <v>478</v>
      </c>
      <c r="AP242" s="80">
        <v>-98.484119999999578</v>
      </c>
      <c r="AQ242" s="25"/>
      <c r="AR242" s="25"/>
      <c r="AS242" s="26"/>
      <c r="AT242" s="20" t="s">
        <v>867</v>
      </c>
      <c r="AW242" s="25"/>
      <c r="AX242" s="25"/>
      <c r="AY242" s="37"/>
      <c r="AZ242" s="25"/>
      <c r="BA242" s="35"/>
      <c r="BB242" s="25"/>
      <c r="BC242" s="25"/>
      <c r="BD242" s="25"/>
      <c r="BE242" s="25"/>
      <c r="BF242" s="25"/>
      <c r="BG242" s="25"/>
      <c r="BH242" s="25"/>
      <c r="BI242" s="37"/>
      <c r="BJ242" s="25"/>
      <c r="BK242" s="25"/>
    </row>
    <row r="243" spans="3:63" x14ac:dyDescent="0.35">
      <c r="C243" s="25" t="str">
        <f ca="1"/>
        <v>ECZ0</v>
      </c>
      <c r="D243" s="25" t="str">
        <f ca="1"/>
        <v>GIORGETTI</v>
      </c>
      <c r="E243" s="35">
        <f ca="1"/>
        <v>1.1839999999999999</v>
      </c>
      <c r="F243" s="102"/>
      <c r="G243" s="102">
        <f ca="1"/>
        <v>76</v>
      </c>
      <c r="H243" s="25">
        <f ca="1"/>
        <v>239.39999999999895</v>
      </c>
      <c r="I243" s="37">
        <f ca="1"/>
        <v>0</v>
      </c>
      <c r="J243" s="37" t="str">
        <f ca="1"/>
        <v>EX</v>
      </c>
      <c r="K243" s="35" t="str">
        <f ca="1"/>
        <v>USD</v>
      </c>
      <c r="L243" s="102">
        <f ca="1"/>
        <v>239.39999999999895</v>
      </c>
      <c r="M243" s="102">
        <f ca="1"/>
        <v>201.76631999999913</v>
      </c>
      <c r="N243" s="19" t="str">
        <f ca="1"/>
        <v>#N/A Invalid Security</v>
      </c>
      <c r="Q243" s="20" t="s">
        <v>867</v>
      </c>
      <c r="R243" s="24"/>
      <c r="S243" s="25">
        <f ca="1"/>
        <v>202</v>
      </c>
      <c r="T243" s="19" t="str">
        <f ca="1"/>
        <v>ECZ0</v>
      </c>
      <c r="U243" s="25" t="str">
        <f ca="1"/>
        <v>ECZ0 Curncy</v>
      </c>
      <c r="V243" s="64">
        <f ca="1"/>
        <v>76</v>
      </c>
      <c r="W243" s="70">
        <f ca="1"/>
        <v>0</v>
      </c>
      <c r="X243" s="71">
        <f ca="1"/>
        <v>1.1839999999999999</v>
      </c>
      <c r="Y243" s="71">
        <f ca="1"/>
        <v>1.1871499999999999</v>
      </c>
      <c r="Z243" s="57" t="str">
        <f ca="1"/>
        <v>GIORGETTI</v>
      </c>
      <c r="AA243" s="57" t="str">
        <f ca="1"/>
        <v>Future</v>
      </c>
      <c r="AB243" s="56">
        <f ca="1"/>
        <v>201.76631999999913</v>
      </c>
      <c r="AC243" s="56">
        <f ca="1">IFERROR(IF(ISBLANK(AB243),"-",AB243-_xlfn.XLOOKUP(T243,AI:AI,AJ:AJ)),"-")</f>
        <v>15.969119999991136</v>
      </c>
      <c r="AD243" s="56">
        <f ca="1">IFERROR(IF(ISBLANK(AB243),"-",AB243-_xlfn.XLOOKUP(T243,AO:AO,AP:AP)),"-")</f>
        <v>-9.6079200000060325</v>
      </c>
      <c r="AE243" s="25"/>
      <c r="AF243" s="25"/>
      <c r="AG243" s="25"/>
      <c r="AH243" s="25"/>
      <c r="AI243" s="51" t="s">
        <v>551</v>
      </c>
      <c r="AJ243" s="80">
        <v>201.76631999999913</v>
      </c>
      <c r="AK243" s="25"/>
      <c r="AL243" s="25"/>
      <c r="AM243" s="25"/>
      <c r="AN243" s="25"/>
      <c r="AO243" s="51" t="s">
        <v>551</v>
      </c>
      <c r="AP243" s="80">
        <v>185.79720000000799</v>
      </c>
      <c r="AQ243" s="25"/>
      <c r="AR243" s="25"/>
      <c r="AS243" s="26"/>
      <c r="AT243" s="20" t="s">
        <v>867</v>
      </c>
      <c r="AW243" s="25"/>
      <c r="AX243" s="25"/>
      <c r="AY243" s="37"/>
      <c r="AZ243" s="25"/>
      <c r="BA243" s="35"/>
      <c r="BB243" s="25"/>
      <c r="BC243" s="25"/>
      <c r="BD243" s="25"/>
      <c r="BE243" s="25"/>
      <c r="BF243" s="25"/>
      <c r="BG243" s="25"/>
      <c r="BH243" s="25"/>
      <c r="BI243" s="37"/>
      <c r="BJ243" s="25"/>
      <c r="BK243" s="25"/>
    </row>
    <row r="244" spans="3:63" x14ac:dyDescent="0.35">
      <c r="C244" s="25" t="str">
        <f ca="1"/>
        <v>XS1693822634</v>
      </c>
      <c r="D244" s="25" t="str">
        <f ca="1"/>
        <v>CAZZANIGA</v>
      </c>
      <c r="E244" s="35">
        <f ca="1"/>
        <v>104.411</v>
      </c>
      <c r="F244" s="102"/>
      <c r="G244" s="102">
        <f ca="1"/>
        <v>-500000</v>
      </c>
      <c r="H244" s="25">
        <f ca="1"/>
        <v>-474.99999999999432</v>
      </c>
      <c r="I244" s="37">
        <f ca="1"/>
        <v>0</v>
      </c>
      <c r="J244" s="37" t="str">
        <f ca="1"/>
        <v>BGN</v>
      </c>
      <c r="K244" s="35" t="str">
        <f ca="1"/>
        <v>EUR</v>
      </c>
      <c r="L244" s="102">
        <f ca="1"/>
        <v>-474.99999999999432</v>
      </c>
      <c r="M244" s="102">
        <f ca="1"/>
        <v>-474.99999999999432</v>
      </c>
      <c r="N244" s="19">
        <f ca="1"/>
        <v>104.506</v>
      </c>
      <c r="Q244" s="20" t="s">
        <v>867</v>
      </c>
      <c r="R244" s="24"/>
      <c r="S244" s="25">
        <f ca="1"/>
        <v>203</v>
      </c>
      <c r="T244" s="19" t="str">
        <f ca="1"/>
        <v>XS1693822634</v>
      </c>
      <c r="U244" s="25" t="str">
        <f ca="1"/>
        <v>ABNANV 4 3/4 PERP</v>
      </c>
      <c r="V244" s="64">
        <f ca="1"/>
        <v>-500000</v>
      </c>
      <c r="W244" s="70">
        <f ca="1"/>
        <v>-4.3499999999999996</v>
      </c>
      <c r="X244" s="71">
        <f ca="1"/>
        <v>104.411</v>
      </c>
      <c r="Y244" s="71">
        <f ca="1"/>
        <v>104.506</v>
      </c>
      <c r="Z244" s="57" t="str">
        <f ca="1"/>
        <v>CAZZANIGA</v>
      </c>
      <c r="AA244" s="57" t="str">
        <f ca="1"/>
        <v>Bond Corporate</v>
      </c>
      <c r="AB244" s="56">
        <f ca="1"/>
        <v>-474.99999999999432</v>
      </c>
      <c r="AC244" s="56">
        <f ca="1">IFERROR(IF(ISBLANK(AB244),"-",AB244-_xlfn.XLOOKUP(T244,AI:AI,AJ:AJ)),"-")</f>
        <v>0</v>
      </c>
      <c r="AD244" s="56">
        <f ca="1">IFERROR(IF(ISBLANK(AB244),"-",AB244-_xlfn.XLOOKUP(T244,AO:AO,AP:AP)),"-")</f>
        <v>39.999999999977831</v>
      </c>
      <c r="AE244" s="25"/>
      <c r="AF244" s="25"/>
      <c r="AG244" s="25"/>
      <c r="AH244" s="25"/>
      <c r="AI244" s="51" t="s">
        <v>560</v>
      </c>
      <c r="AJ244" s="80">
        <v>-474.99999999999432</v>
      </c>
      <c r="AK244" s="25"/>
      <c r="AL244" s="25"/>
      <c r="AM244" s="25"/>
      <c r="AN244" s="25"/>
      <c r="AO244" s="51" t="s">
        <v>560</v>
      </c>
      <c r="AP244" s="80">
        <v>-474.99999999999432</v>
      </c>
      <c r="AQ244" s="25"/>
      <c r="AR244" s="25"/>
      <c r="AS244" s="26"/>
      <c r="AT244" s="20" t="s">
        <v>867</v>
      </c>
      <c r="AW244" s="25"/>
      <c r="AX244" s="25"/>
      <c r="AY244" s="37"/>
      <c r="AZ244" s="25"/>
      <c r="BA244" s="35"/>
      <c r="BB244" s="25"/>
      <c r="BC244" s="25"/>
      <c r="BD244" s="25"/>
      <c r="BE244" s="25"/>
      <c r="BF244" s="25"/>
      <c r="BG244" s="25"/>
      <c r="BH244" s="25"/>
      <c r="BI244" s="37"/>
      <c r="BJ244" s="25"/>
      <c r="BK244" s="25"/>
    </row>
    <row r="245" spans="3:63" x14ac:dyDescent="0.35">
      <c r="C245" s="25" t="str">
        <f ca="1"/>
        <v>XS1658012023</v>
      </c>
      <c r="D245" s="25" t="str">
        <f ca="1"/>
        <v>CAZZANIGA</v>
      </c>
      <c r="E245" s="35">
        <f ca="1"/>
        <v>101.086</v>
      </c>
      <c r="F245" s="102"/>
      <c r="G245" s="102">
        <f ca="1"/>
        <v>-200000</v>
      </c>
      <c r="H245" s="25">
        <f ca="1"/>
        <v>-280.00000000000114</v>
      </c>
      <c r="I245" s="37">
        <f ca="1"/>
        <v>0</v>
      </c>
      <c r="J245" s="37" t="str">
        <f ca="1"/>
        <v>BGN</v>
      </c>
      <c r="K245" s="35" t="str">
        <f ca="1"/>
        <v>GBP</v>
      </c>
      <c r="L245" s="102">
        <f ca="1"/>
        <v>-280.00000000000114</v>
      </c>
      <c r="M245" s="102">
        <f ca="1"/>
        <v>-312.56400000000127</v>
      </c>
      <c r="N245" s="19">
        <f ca="1"/>
        <v>101.226</v>
      </c>
      <c r="Q245" s="20" t="s">
        <v>867</v>
      </c>
      <c r="R245" s="24"/>
      <c r="S245" s="25">
        <f ca="1"/>
        <v>204</v>
      </c>
      <c r="T245" s="19" t="str">
        <f ca="1"/>
        <v>XS1658012023</v>
      </c>
      <c r="U245" s="25" t="str">
        <f ca="1"/>
        <v>BACR 5 7/8 PERP</v>
      </c>
      <c r="V245" s="64">
        <f ca="1"/>
        <v>-200000</v>
      </c>
      <c r="W245" s="70">
        <f ca="1"/>
        <v>-1.34</v>
      </c>
      <c r="X245" s="71">
        <f ca="1"/>
        <v>101.086</v>
      </c>
      <c r="Y245" s="71">
        <f ca="1"/>
        <v>101.226</v>
      </c>
      <c r="Z245" s="57" t="str">
        <f ca="1"/>
        <v>CAZZANIGA</v>
      </c>
      <c r="AA245" s="57" t="str">
        <f ca="1"/>
        <v>Bond Corporate</v>
      </c>
      <c r="AB245" s="56">
        <f ca="1"/>
        <v>-312.56400000000127</v>
      </c>
      <c r="AC245" s="56">
        <f ca="1">IFERROR(IF(ISBLANK(AB245),"-",AB245-_xlfn.XLOOKUP(T245,AI:AI,AJ:AJ)),"-")</f>
        <v>15.716400000011163</v>
      </c>
      <c r="AD245" s="56">
        <f ca="1">IFERROR(IF(ISBLANK(AB245),"-",AB245-_xlfn.XLOOKUP(T245,AO:AO,AP:AP)),"-")</f>
        <v>47.077800000001787</v>
      </c>
      <c r="AE245" s="25"/>
      <c r="AF245" s="25"/>
      <c r="AG245" s="25"/>
      <c r="AH245" s="25"/>
      <c r="AI245" s="51" t="s">
        <v>567</v>
      </c>
      <c r="AJ245" s="80">
        <v>-312.56400000000127</v>
      </c>
      <c r="AK245" s="25"/>
      <c r="AL245" s="25"/>
      <c r="AM245" s="25"/>
      <c r="AN245" s="25"/>
      <c r="AO245" s="51" t="s">
        <v>567</v>
      </c>
      <c r="AP245" s="80">
        <v>-328.28040000001243</v>
      </c>
      <c r="AQ245" s="25"/>
      <c r="AR245" s="25"/>
      <c r="AS245" s="26"/>
      <c r="AT245" s="20" t="s">
        <v>867</v>
      </c>
      <c r="AW245" s="25"/>
      <c r="AX245" s="25"/>
      <c r="AY245" s="37"/>
      <c r="AZ245" s="25"/>
      <c r="BA245" s="35"/>
      <c r="BB245" s="25"/>
      <c r="BC245" s="25"/>
      <c r="BD245" s="25"/>
      <c r="BE245" s="25"/>
      <c r="BF245" s="25"/>
      <c r="BG245" s="25"/>
      <c r="BH245" s="25"/>
      <c r="BI245" s="37"/>
      <c r="BJ245" s="25"/>
      <c r="BK245" s="25"/>
    </row>
    <row r="246" spans="3:63" x14ac:dyDescent="0.35">
      <c r="C246" s="25" t="str">
        <f ca="1"/>
        <v>XS1571333811</v>
      </c>
      <c r="D246" s="25" t="str">
        <f ca="1"/>
        <v>CAZZANIGA</v>
      </c>
      <c r="E246" s="35">
        <f ca="1"/>
        <v>106.63200000000001</v>
      </c>
      <c r="F246" s="102"/>
      <c r="G246" s="102">
        <f ca="1"/>
        <v>200000</v>
      </c>
      <c r="H246" s="25">
        <f ca="1"/>
        <v>18.000000000000682</v>
      </c>
      <c r="I246" s="37">
        <f ca="1"/>
        <v>0</v>
      </c>
      <c r="J246" s="37" t="str">
        <f ca="1"/>
        <v>BGN</v>
      </c>
      <c r="K246" s="35" t="str">
        <f ca="1"/>
        <v>GBP</v>
      </c>
      <c r="L246" s="102">
        <f ca="1"/>
        <v>18.000000000000682</v>
      </c>
      <c r="M246" s="102">
        <f ca="1"/>
        <v>20.093400000000763</v>
      </c>
      <c r="N246" s="19">
        <f ca="1"/>
        <v>106.64100000000001</v>
      </c>
      <c r="Q246" s="20" t="s">
        <v>867</v>
      </c>
      <c r="R246" s="24"/>
      <c r="S246" s="25">
        <f ca="1"/>
        <v>205</v>
      </c>
      <c r="T246" s="19" t="str">
        <f ca="1"/>
        <v>XS1571333811</v>
      </c>
      <c r="U246" s="25" t="str">
        <f ca="1"/>
        <v>BACR 7 1/4 PERP</v>
      </c>
      <c r="V246" s="64">
        <f ca="1"/>
        <v>200000</v>
      </c>
      <c r="W246" s="70">
        <f ca="1"/>
        <v>0.69</v>
      </c>
      <c r="X246" s="71">
        <f ca="1"/>
        <v>106.63200000000001</v>
      </c>
      <c r="Y246" s="71">
        <f ca="1"/>
        <v>106.64100000000001</v>
      </c>
      <c r="Z246" s="57" t="str">
        <f ca="1"/>
        <v>CAZZANIGA</v>
      </c>
      <c r="AA246" s="57" t="str">
        <f ca="1"/>
        <v>Bond Corporate</v>
      </c>
      <c r="AB246" s="56">
        <f ca="1"/>
        <v>20.093400000000763</v>
      </c>
      <c r="AC246" s="56">
        <f ca="1">IFERROR(IF(ISBLANK(AB246),"-",AB246-_xlfn.XLOOKUP(T246,AI:AI,AJ:AJ)),"-")</f>
        <v>-55.835399999980957</v>
      </c>
      <c r="AD246" s="56">
        <f ca="1">IFERROR(IF(ISBLANK(AB246),"-",AB246-_xlfn.XLOOKUP(T246,AO:AO,AP:AP)),"-")</f>
        <v>-69.25859999998147</v>
      </c>
      <c r="AE246" s="25"/>
      <c r="AF246" s="25"/>
      <c r="AG246" s="25"/>
      <c r="AH246" s="25"/>
      <c r="AI246" s="51" t="s">
        <v>570</v>
      </c>
      <c r="AJ246" s="80">
        <v>20.093400000000763</v>
      </c>
      <c r="AK246" s="25"/>
      <c r="AL246" s="25"/>
      <c r="AM246" s="25"/>
      <c r="AN246" s="25"/>
      <c r="AO246" s="51" t="s">
        <v>570</v>
      </c>
      <c r="AP246" s="80">
        <v>75.92879999998172</v>
      </c>
      <c r="AQ246" s="25"/>
      <c r="AR246" s="25"/>
      <c r="AS246" s="26"/>
      <c r="AT246" s="20" t="s">
        <v>867</v>
      </c>
      <c r="AW246" s="25"/>
      <c r="AX246" s="25"/>
      <c r="AY246" s="37"/>
      <c r="AZ246" s="25"/>
      <c r="BA246" s="35"/>
      <c r="BB246" s="25"/>
      <c r="BC246" s="25"/>
      <c r="BD246" s="25"/>
      <c r="BE246" s="25"/>
      <c r="BF246" s="25"/>
      <c r="BG246" s="25"/>
      <c r="BH246" s="25"/>
      <c r="BI246" s="37"/>
      <c r="BJ246" s="25"/>
      <c r="BK246" s="25"/>
    </row>
    <row r="247" spans="3:63" x14ac:dyDescent="0.35">
      <c r="C247" s="25" t="str">
        <f ca="1"/>
        <v>USF1R15XK938</v>
      </c>
      <c r="D247" s="25" t="str">
        <f ca="1"/>
        <v>CAZZANIGA</v>
      </c>
      <c r="E247" s="35">
        <f ca="1"/>
        <v>108.898</v>
      </c>
      <c r="F247" s="102"/>
      <c r="G247" s="102">
        <f ca="1"/>
        <v>250000</v>
      </c>
      <c r="H247" s="25">
        <f ca="1"/>
        <v>-169.99999999999463</v>
      </c>
      <c r="I247" s="37">
        <f ca="1"/>
        <v>0</v>
      </c>
      <c r="J247" s="37" t="str">
        <f ca="1"/>
        <v>BGN</v>
      </c>
      <c r="K247" s="35" t="str">
        <f ca="1"/>
        <v>USD</v>
      </c>
      <c r="L247" s="102">
        <f ca="1"/>
        <v>-169.99999999999463</v>
      </c>
      <c r="M247" s="102">
        <f ca="1"/>
        <v>-143.27599999999546</v>
      </c>
      <c r="N247" s="19">
        <f ca="1"/>
        <v>108.83</v>
      </c>
      <c r="Q247" s="20" t="s">
        <v>867</v>
      </c>
      <c r="R247" s="24"/>
      <c r="S247" s="25">
        <f ca="1"/>
        <v>206</v>
      </c>
      <c r="T247" s="19" t="str">
        <f ca="1"/>
        <v>USF1R15XK938</v>
      </c>
      <c r="U247" s="25" t="str">
        <f ca="1"/>
        <v>BNP 6 5/8 PERP</v>
      </c>
      <c r="V247" s="64">
        <f ca="1"/>
        <v>250000</v>
      </c>
      <c r="W247" s="70">
        <f ca="1"/>
        <v>0.79</v>
      </c>
      <c r="X247" s="71">
        <f ca="1"/>
        <v>108.898</v>
      </c>
      <c r="Y247" s="71">
        <f ca="1"/>
        <v>108.83</v>
      </c>
      <c r="Z247" s="57" t="str">
        <f ca="1"/>
        <v>CAZZANIGA</v>
      </c>
      <c r="AA247" s="57" t="str">
        <f ca="1"/>
        <v>Bond Corporate</v>
      </c>
      <c r="AB247" s="56">
        <f ca="1"/>
        <v>-143.27599999999546</v>
      </c>
      <c r="AC247" s="56">
        <f ca="1">IFERROR(IF(ISBLANK(AB247),"-",AB247-_xlfn.XLOOKUP(T247,AI:AI,AJ:AJ)),"-")</f>
        <v>3.3999999999991815E-2</v>
      </c>
      <c r="AD247" s="56">
        <f ca="1">IFERROR(IF(ISBLANK(AB247),"-",AB247-_xlfn.XLOOKUP(T247,AO:AO,AP:AP)),"-")</f>
        <v>-25.284000000000972</v>
      </c>
      <c r="AE247" s="25"/>
      <c r="AF247" s="25"/>
      <c r="AG247" s="25"/>
      <c r="AH247" s="25"/>
      <c r="AI247" s="51" t="s">
        <v>572</v>
      </c>
      <c r="AJ247" s="80">
        <v>-143.27599999999546</v>
      </c>
      <c r="AK247" s="25"/>
      <c r="AL247" s="25"/>
      <c r="AM247" s="25"/>
      <c r="AN247" s="25"/>
      <c r="AO247" s="51" t="s">
        <v>572</v>
      </c>
      <c r="AP247" s="80">
        <v>-143.30999999999545</v>
      </c>
      <c r="AQ247" s="25"/>
      <c r="AR247" s="25"/>
      <c r="AS247" s="26"/>
      <c r="AT247" s="20" t="s">
        <v>867</v>
      </c>
      <c r="AW247" s="25"/>
      <c r="AX247" s="25"/>
      <c r="AY247" s="37"/>
      <c r="AZ247" s="25"/>
      <c r="BA247" s="35"/>
      <c r="BB247" s="25"/>
      <c r="BC247" s="25"/>
      <c r="BD247" s="25"/>
      <c r="BE247" s="25"/>
      <c r="BF247" s="25"/>
      <c r="BG247" s="25"/>
      <c r="BH247" s="25"/>
      <c r="BI247" s="37"/>
      <c r="BJ247" s="25"/>
      <c r="BK247" s="25"/>
    </row>
    <row r="248" spans="3:63" x14ac:dyDescent="0.35">
      <c r="C248" s="25" t="str">
        <f ca="1"/>
        <v>USH3698DCP71</v>
      </c>
      <c r="D248" s="25" t="str">
        <f ca="1"/>
        <v>CAZZANIGA</v>
      </c>
      <c r="E248" s="35">
        <f ca="1"/>
        <v>110.61499999999999</v>
      </c>
      <c r="F248" s="102"/>
      <c r="G248" s="102">
        <f ca="1"/>
        <v>250000</v>
      </c>
      <c r="H248" s="25">
        <f ca="1"/>
        <v>152.50000000001762</v>
      </c>
      <c r="I248" s="37">
        <f ca="1"/>
        <v>0</v>
      </c>
      <c r="J248" s="37" t="str">
        <f ca="1"/>
        <v>BGN</v>
      </c>
      <c r="K248" s="35" t="str">
        <f ca="1"/>
        <v>USD</v>
      </c>
      <c r="L248" s="102">
        <f ca="1"/>
        <v>152.50000000001762</v>
      </c>
      <c r="M248" s="102">
        <f ca="1"/>
        <v>128.52700000001485</v>
      </c>
      <c r="N248" s="19">
        <f ca="1"/>
        <v>110.676</v>
      </c>
      <c r="Q248" s="20" t="s">
        <v>867</v>
      </c>
      <c r="R248" s="24"/>
      <c r="S248" s="25">
        <f ca="1"/>
        <v>207</v>
      </c>
      <c r="T248" s="19" t="str">
        <f ca="1"/>
        <v>USH3698DCP71</v>
      </c>
      <c r="U248" s="25" t="str">
        <f ca="1"/>
        <v>CS 6 3/8 PERP</v>
      </c>
      <c r="V248" s="64">
        <f ca="1"/>
        <v>250000</v>
      </c>
      <c r="W248" s="70">
        <f ca="1"/>
        <v>1.39</v>
      </c>
      <c r="X248" s="71">
        <f ca="1"/>
        <v>110.61499999999999</v>
      </c>
      <c r="Y248" s="71">
        <f ca="1"/>
        <v>110.676</v>
      </c>
      <c r="Z248" s="57" t="str">
        <f ca="1"/>
        <v>CAZZANIGA</v>
      </c>
      <c r="AA248" s="57" t="str">
        <f ca="1"/>
        <v>Bond Corporate</v>
      </c>
      <c r="AB248" s="56">
        <f ca="1"/>
        <v>128.52700000001485</v>
      </c>
      <c r="AC248" s="56">
        <f ca="1">IFERROR(IF(ISBLANK(AB248),"-",AB248-_xlfn.XLOOKUP(T248,AI:AI,AJ:AJ)),"-")</f>
        <v>107.45200000000408</v>
      </c>
      <c r="AD248" s="56">
        <f ca="1">IFERROR(IF(ISBLANK(AB248),"-",AB248-_xlfn.XLOOKUP(T248,AO:AO,AP:AP)),"-")</f>
        <v>58.996000000012216</v>
      </c>
      <c r="AE248" s="25"/>
      <c r="AF248" s="25"/>
      <c r="AG248" s="25"/>
      <c r="AH248" s="25"/>
      <c r="AI248" s="51" t="s">
        <v>1356</v>
      </c>
      <c r="AJ248" s="80">
        <v>128.52700000001485</v>
      </c>
      <c r="AK248" s="25"/>
      <c r="AL248" s="25"/>
      <c r="AM248" s="25"/>
      <c r="AN248" s="25"/>
      <c r="AO248" s="51" t="s">
        <v>1356</v>
      </c>
      <c r="AP248" s="80">
        <v>21.075000000010778</v>
      </c>
      <c r="AQ248" s="25"/>
      <c r="AR248" s="25"/>
      <c r="AS248" s="26"/>
      <c r="AT248" s="20" t="s">
        <v>867</v>
      </c>
      <c r="AW248" s="25"/>
      <c r="AX248" s="25"/>
      <c r="AY248" s="37"/>
      <c r="AZ248" s="25"/>
      <c r="BA248" s="35"/>
      <c r="BB248" s="25"/>
      <c r="BC248" s="25"/>
      <c r="BD248" s="25"/>
      <c r="BE248" s="25"/>
      <c r="BF248" s="25"/>
      <c r="BG248" s="25"/>
      <c r="BH248" s="25"/>
      <c r="BI248" s="37"/>
      <c r="BJ248" s="25"/>
      <c r="BK248" s="25"/>
    </row>
    <row r="249" spans="3:63" x14ac:dyDescent="0.35">
      <c r="C249" s="25" t="str">
        <f ca="1"/>
        <v>US456837AR44</v>
      </c>
      <c r="D249" s="25" t="str">
        <f ca="1"/>
        <v>CAZZANIGA</v>
      </c>
      <c r="E249" s="35">
        <f ca="1"/>
        <v>107.54</v>
      </c>
      <c r="F249" s="102"/>
      <c r="G249" s="102">
        <f ca="1"/>
        <v>50000</v>
      </c>
      <c r="H249" s="25">
        <f ca="1"/>
        <v>19.999999999996021</v>
      </c>
      <c r="I249" s="37">
        <f ca="1"/>
        <v>0</v>
      </c>
      <c r="J249" s="37" t="str">
        <f ca="1"/>
        <v>BGN</v>
      </c>
      <c r="K249" s="35" t="str">
        <f ca="1"/>
        <v>USD</v>
      </c>
      <c r="L249" s="102">
        <f ca="1"/>
        <v>19.999999999996021</v>
      </c>
      <c r="M249" s="102">
        <f ca="1"/>
        <v>16.855999999996648</v>
      </c>
      <c r="N249" s="19">
        <f ca="1"/>
        <v>107.58</v>
      </c>
      <c r="Q249" s="20" t="s">
        <v>867</v>
      </c>
      <c r="R249" s="24"/>
      <c r="S249" s="25">
        <f ca="1"/>
        <v>208</v>
      </c>
      <c r="T249" s="19" t="str">
        <f ca="1"/>
        <v>US456837AR44</v>
      </c>
      <c r="U249" s="25" t="str">
        <f ca="1"/>
        <v>INTNED 5 3/4 PERP</v>
      </c>
      <c r="V249" s="64">
        <f ca="1"/>
        <v>50000</v>
      </c>
      <c r="W249" s="70">
        <f ca="1"/>
        <v>0.28000000000000003</v>
      </c>
      <c r="X249" s="71">
        <f ca="1"/>
        <v>107.54</v>
      </c>
      <c r="Y249" s="71">
        <f ca="1"/>
        <v>107.58</v>
      </c>
      <c r="Z249" s="57" t="str">
        <f ca="1"/>
        <v>CAZZANIGA</v>
      </c>
      <c r="AA249" s="57" t="str">
        <f ca="1"/>
        <v>Bond Corporate</v>
      </c>
      <c r="AB249" s="56">
        <f ca="1"/>
        <v>16.855999999996648</v>
      </c>
      <c r="AC249" s="56">
        <f ca="1">IFERROR(IF(ISBLANK(AB249),"-",AB249-_xlfn.XLOOKUP(T249,AI:AI,AJ:AJ)),"-")</f>
        <v>-3.9999999999977831E-3</v>
      </c>
      <c r="AD249" s="56">
        <f ca="1">IFERROR(IF(ISBLANK(AB249),"-",AB249-_xlfn.XLOOKUP(T249,AO:AO,AP:AP)),"-")</f>
        <v>-6.7424000000022488</v>
      </c>
      <c r="AE249" s="25"/>
      <c r="AF249" s="25"/>
      <c r="AG249" s="25"/>
      <c r="AH249" s="25"/>
      <c r="AI249" s="51" t="s">
        <v>578</v>
      </c>
      <c r="AJ249" s="80">
        <v>16.855999999996648</v>
      </c>
      <c r="AK249" s="25"/>
      <c r="AL249" s="25"/>
      <c r="AM249" s="25"/>
      <c r="AN249" s="25"/>
      <c r="AO249" s="51" t="s">
        <v>578</v>
      </c>
      <c r="AP249" s="80">
        <v>16.859999999996646</v>
      </c>
      <c r="AQ249" s="25"/>
      <c r="AR249" s="25"/>
      <c r="AS249" s="26"/>
      <c r="AT249" s="20" t="s">
        <v>867</v>
      </c>
      <c r="AW249" s="25"/>
      <c r="AX249" s="25"/>
      <c r="AY249" s="37"/>
      <c r="AZ249" s="25"/>
      <c r="BA249" s="35"/>
      <c r="BB249" s="25"/>
      <c r="BC249" s="25"/>
      <c r="BD249" s="25"/>
      <c r="BE249" s="25"/>
      <c r="BF249" s="25"/>
      <c r="BG249" s="25"/>
      <c r="BH249" s="25"/>
      <c r="BI249" s="37"/>
      <c r="BJ249" s="25"/>
      <c r="BK249" s="25"/>
    </row>
    <row r="250" spans="3:63" x14ac:dyDescent="0.35">
      <c r="C250" s="25" t="str">
        <f ca="1"/>
        <v>XS1956051145</v>
      </c>
      <c r="D250" s="25" t="str">
        <f ca="1"/>
        <v>CAZZANIGA</v>
      </c>
      <c r="E250" s="35">
        <f ca="1"/>
        <v>108.568</v>
      </c>
      <c r="F250" s="102"/>
      <c r="G250" s="102">
        <f ca="1"/>
        <v>500000</v>
      </c>
      <c r="H250" s="25">
        <f ca="1"/>
        <v>-34.999999999953957</v>
      </c>
      <c r="I250" s="37">
        <f ca="1"/>
        <v>0</v>
      </c>
      <c r="J250" s="37" t="str">
        <f ca="1"/>
        <v>BGN</v>
      </c>
      <c r="K250" s="35" t="str">
        <f ca="1"/>
        <v>USD</v>
      </c>
      <c r="L250" s="102">
        <f ca="1"/>
        <v>-34.999999999953957</v>
      </c>
      <c r="M250" s="102">
        <f ca="1"/>
        <v>-29.497999999961195</v>
      </c>
      <c r="N250" s="19">
        <f ca="1"/>
        <v>108.56100000000001</v>
      </c>
      <c r="Q250" s="20" t="s">
        <v>867</v>
      </c>
      <c r="R250" s="24"/>
      <c r="S250" s="25">
        <f ca="1"/>
        <v>209</v>
      </c>
      <c r="T250" s="19" t="str">
        <f ca="1"/>
        <v>XS1956051145</v>
      </c>
      <c r="U250" s="25" t="str">
        <f ca="1"/>
        <v>INTNED 6 3/4 PERP</v>
      </c>
      <c r="V250" s="64">
        <f ca="1"/>
        <v>500000</v>
      </c>
      <c r="W250" s="70">
        <f ca="1"/>
        <v>1.7</v>
      </c>
      <c r="X250" s="71">
        <f ca="1"/>
        <v>108.568</v>
      </c>
      <c r="Y250" s="71">
        <f ca="1"/>
        <v>108.56100000000001</v>
      </c>
      <c r="Z250" s="57" t="str">
        <f ca="1"/>
        <v>CAZZANIGA</v>
      </c>
      <c r="AA250" s="57" t="str">
        <f ca="1"/>
        <v>Bond Corporate</v>
      </c>
      <c r="AB250" s="56">
        <f ca="1"/>
        <v>-29.497999999961195</v>
      </c>
      <c r="AC250" s="56">
        <f ca="1">IFERROR(IF(ISBLANK(AB250),"-",AB250-_xlfn.XLOOKUP(T250,AI:AI,AJ:AJ)),"-")</f>
        <v>6.9999999999907914E-3</v>
      </c>
      <c r="AD250" s="56">
        <f ca="1">IFERROR(IF(ISBLANK(AB250),"-",AB250-_xlfn.XLOOKUP(T250,AO:AO,AP:AP)),"-")</f>
        <v>8.4280000000402495</v>
      </c>
      <c r="AE250" s="25"/>
      <c r="AF250" s="25"/>
      <c r="AG250" s="25"/>
      <c r="AH250" s="25"/>
      <c r="AI250" s="51" t="s">
        <v>581</v>
      </c>
      <c r="AJ250" s="80">
        <v>-29.497999999961195</v>
      </c>
      <c r="AK250" s="25"/>
      <c r="AL250" s="25"/>
      <c r="AM250" s="25"/>
      <c r="AN250" s="25"/>
      <c r="AO250" s="51" t="s">
        <v>581</v>
      </c>
      <c r="AP250" s="80">
        <v>-29.504999999961186</v>
      </c>
      <c r="AQ250" s="25"/>
      <c r="AR250" s="25"/>
      <c r="AS250" s="26"/>
      <c r="AT250" s="20" t="s">
        <v>867</v>
      </c>
      <c r="AW250" s="25"/>
      <c r="AX250" s="25"/>
      <c r="AY250" s="37"/>
      <c r="AZ250" s="25"/>
      <c r="BA250" s="35"/>
      <c r="BB250" s="25"/>
      <c r="BC250" s="25"/>
      <c r="BD250" s="25"/>
      <c r="BE250" s="25"/>
      <c r="BF250" s="25"/>
      <c r="BG250" s="25"/>
      <c r="BH250" s="25"/>
      <c r="BI250" s="37"/>
      <c r="BJ250" s="25"/>
      <c r="BK250" s="25"/>
    </row>
    <row r="251" spans="3:63" x14ac:dyDescent="0.35">
      <c r="C251" s="25" t="str">
        <f ca="1"/>
        <v>XS1548475968</v>
      </c>
      <c r="D251" s="25" t="str">
        <f ca="1"/>
        <v>CAZZANIGA</v>
      </c>
      <c r="E251" s="35">
        <f ca="1"/>
        <v>117.58199999999999</v>
      </c>
      <c r="F251" s="102"/>
      <c r="G251" s="102">
        <f ca="1"/>
        <v>200000</v>
      </c>
      <c r="H251" s="25">
        <f ca="1"/>
        <v>-609.99999999998522</v>
      </c>
      <c r="I251" s="37">
        <f ca="1"/>
        <v>0</v>
      </c>
      <c r="J251" s="37" t="str">
        <f ca="1"/>
        <v>BGN</v>
      </c>
      <c r="K251" s="35" t="str">
        <f ca="1"/>
        <v>EUR</v>
      </c>
      <c r="L251" s="102">
        <f ca="1"/>
        <v>-609.99999999998522</v>
      </c>
      <c r="M251" s="102">
        <f ca="1"/>
        <v>-609.99999999998522</v>
      </c>
      <c r="N251" s="19">
        <f ca="1"/>
        <v>117.277</v>
      </c>
      <c r="Q251" s="20" t="s">
        <v>867</v>
      </c>
      <c r="R251" s="24"/>
      <c r="S251" s="25">
        <f ca="1"/>
        <v>210</v>
      </c>
      <c r="T251" s="19" t="str">
        <f ca="1"/>
        <v>XS1548475968</v>
      </c>
      <c r="U251" s="25" t="str">
        <f ca="1"/>
        <v>ISPIM 7 3/4 PERP</v>
      </c>
      <c r="V251" s="64">
        <f ca="1"/>
        <v>200000</v>
      </c>
      <c r="W251" s="70">
        <f ca="1"/>
        <v>1.88</v>
      </c>
      <c r="X251" s="71">
        <f ca="1"/>
        <v>117.58199999999999</v>
      </c>
      <c r="Y251" s="71">
        <f ca="1"/>
        <v>117.277</v>
      </c>
      <c r="Z251" s="57" t="str">
        <f ca="1"/>
        <v>CAZZANIGA</v>
      </c>
      <c r="AA251" s="57" t="str">
        <f ca="1"/>
        <v>Bond Corporate</v>
      </c>
      <c r="AB251" s="56">
        <f ca="1"/>
        <v>-609.99999999998522</v>
      </c>
      <c r="AC251" s="56">
        <f ca="1">IFERROR(IF(ISBLANK(AB251),"-",AB251-_xlfn.XLOOKUP(T251,AI:AI,AJ:AJ)),"-")</f>
        <v>0</v>
      </c>
      <c r="AD251" s="56">
        <f ca="1">IFERROR(IF(ISBLANK(AB251),"-",AB251-_xlfn.XLOOKUP(T251,AO:AO,AP:AP)),"-")</f>
        <v>-20.000000000010232</v>
      </c>
      <c r="AE251" s="25"/>
      <c r="AF251" s="25"/>
      <c r="AG251" s="25"/>
      <c r="AH251" s="25"/>
      <c r="AI251" s="51" t="s">
        <v>882</v>
      </c>
      <c r="AJ251" s="80">
        <v>-609.99999999998522</v>
      </c>
      <c r="AK251" s="25"/>
      <c r="AL251" s="25"/>
      <c r="AM251" s="25"/>
      <c r="AN251" s="25"/>
      <c r="AO251" s="51" t="s">
        <v>882</v>
      </c>
      <c r="AP251" s="80">
        <v>-609.99999999998522</v>
      </c>
      <c r="AQ251" s="25"/>
      <c r="AR251" s="25"/>
      <c r="AS251" s="26"/>
      <c r="AT251" s="20" t="s">
        <v>867</v>
      </c>
      <c r="AW251" s="25"/>
      <c r="AX251" s="25"/>
      <c r="AY251" s="37"/>
      <c r="AZ251" s="25"/>
      <c r="BA251" s="35"/>
      <c r="BB251" s="25"/>
      <c r="BC251" s="25"/>
      <c r="BD251" s="25"/>
      <c r="BE251" s="25"/>
      <c r="BF251" s="25"/>
      <c r="BG251" s="25"/>
      <c r="BH251" s="25"/>
      <c r="BI251" s="37"/>
      <c r="BJ251" s="25"/>
      <c r="BK251" s="25"/>
    </row>
    <row r="252" spans="3:63" x14ac:dyDescent="0.35">
      <c r="C252" s="25" t="str">
        <f ca="1"/>
        <v>USF8500RAA08</v>
      </c>
      <c r="D252" s="25" t="str">
        <f ca="1"/>
        <v>CAZZANIGA</v>
      </c>
      <c r="E252" s="35">
        <f ca="1"/>
        <v>101.77</v>
      </c>
      <c r="F252" s="102"/>
      <c r="G252" s="102">
        <f ca="1"/>
        <v>0</v>
      </c>
      <c r="H252" s="25" t="str">
        <f ca="1"/>
        <v>-</v>
      </c>
      <c r="I252" s="37">
        <f ca="1"/>
        <v>0</v>
      </c>
      <c r="J252" s="37" t="str">
        <f ca="1"/>
        <v/>
      </c>
      <c r="K252" s="35" t="str">
        <f ca="1"/>
        <v>USD</v>
      </c>
      <c r="L252" s="102" t="str">
        <f ca="1"/>
        <v>-</v>
      </c>
      <c r="M252" s="102" t="str">
        <f ca="1"/>
        <v>-</v>
      </c>
      <c r="N252" s="19" t="str">
        <f ca="1"/>
        <v>#N/A Invalid Security</v>
      </c>
      <c r="Q252" s="20" t="s">
        <v>867</v>
      </c>
      <c r="R252" s="24"/>
      <c r="S252" s="25">
        <f ca="1"/>
        <v>211</v>
      </c>
      <c r="T252" s="19" t="str">
        <f ca="1"/>
        <v>USF8500RAA08</v>
      </c>
      <c r="U252" s="25" t="str">
        <f ca="1"/>
        <v>SOCGEN 5 3/8 PERP</v>
      </c>
      <c r="V252" s="64">
        <f ca="1"/>
        <v>0</v>
      </c>
      <c r="W252" s="70">
        <f ca="1"/>
        <v>0</v>
      </c>
      <c r="X252" s="71">
        <f ca="1"/>
        <v>101.77</v>
      </c>
      <c r="Y252" s="71" t="str">
        <f ca="1"/>
        <v>-</v>
      </c>
      <c r="Z252" s="57" t="str">
        <f ca="1"/>
        <v>CAZZANIGA</v>
      </c>
      <c r="AA252" s="57" t="str">
        <f ca="1"/>
        <v>Bond Corporate</v>
      </c>
      <c r="AB252" s="56" t="str">
        <f ca="1"/>
        <v>-</v>
      </c>
      <c r="AC252" s="56" t="str">
        <f ca="1">IFERROR(IF(ISBLANK(AB252),"-",AB252-_xlfn.XLOOKUP(T252,AI:AI,AJ:AJ)),"-")</f>
        <v>-</v>
      </c>
      <c r="AD252" s="56" t="str">
        <f ca="1">IFERROR(IF(ISBLANK(AB252),"-",AB252-_xlfn.XLOOKUP(T252,AO:AO,AP:AP)),"-")</f>
        <v>-</v>
      </c>
      <c r="AE252" s="25"/>
      <c r="AF252" s="25"/>
      <c r="AG252" s="25"/>
      <c r="AH252" s="25"/>
      <c r="AI252" s="51" t="s">
        <v>1441</v>
      </c>
      <c r="AJ252" s="80" t="s">
        <v>1181</v>
      </c>
      <c r="AK252" s="25"/>
      <c r="AL252" s="25"/>
      <c r="AM252" s="25"/>
      <c r="AN252" s="25"/>
      <c r="AO252" s="51" t="s">
        <v>1441</v>
      </c>
      <c r="AP252" s="80" t="s">
        <v>1181</v>
      </c>
      <c r="AQ252" s="25"/>
      <c r="AR252" s="25"/>
      <c r="AS252" s="26"/>
      <c r="AT252" s="20" t="s">
        <v>867</v>
      </c>
      <c r="AW252" s="25"/>
      <c r="AX252" s="25"/>
      <c r="AY252" s="37"/>
      <c r="AZ252" s="25"/>
      <c r="BA252" s="35"/>
      <c r="BB252" s="25"/>
      <c r="BC252" s="25"/>
      <c r="BD252" s="25"/>
      <c r="BE252" s="25"/>
      <c r="BF252" s="25"/>
      <c r="BG252" s="25"/>
      <c r="BH252" s="25"/>
      <c r="BI252" s="37"/>
      <c r="BJ252" s="25"/>
      <c r="BK252" s="25"/>
    </row>
    <row r="253" spans="3:63" x14ac:dyDescent="0.35">
      <c r="C253" s="25" t="str">
        <f ca="1"/>
        <v>XS2105110329</v>
      </c>
      <c r="D253" s="25" t="str">
        <f ca="1"/>
        <v>CAZZANIGA</v>
      </c>
      <c r="E253" s="35">
        <f ca="1"/>
        <v>103.068</v>
      </c>
      <c r="F253" s="102"/>
      <c r="G253" s="102">
        <f ca="1"/>
        <v>-200000</v>
      </c>
      <c r="H253" s="25">
        <f ca="1"/>
        <v>-274.00000000000091</v>
      </c>
      <c r="I253" s="37">
        <f ca="1"/>
        <v>0</v>
      </c>
      <c r="J253" s="37" t="str">
        <f ca="1"/>
        <v>BGN</v>
      </c>
      <c r="K253" s="35" t="str">
        <f ca="1"/>
        <v>EUR</v>
      </c>
      <c r="L253" s="102">
        <f ca="1"/>
        <v>-274.00000000000091</v>
      </c>
      <c r="M253" s="102">
        <f ca="1"/>
        <v>-274.00000000000091</v>
      </c>
      <c r="N253" s="19">
        <f ca="1"/>
        <v>103.205</v>
      </c>
      <c r="Q253" s="20" t="s">
        <v>867</v>
      </c>
      <c r="R253" s="24"/>
      <c r="S253" s="25">
        <f ca="1"/>
        <v>212</v>
      </c>
      <c r="T253" s="19" t="str">
        <f ca="1"/>
        <v>XS2105110329</v>
      </c>
      <c r="U253" s="25" t="str">
        <f ca="1"/>
        <v>UBIIM 5 7/8 PERP</v>
      </c>
      <c r="V253" s="64">
        <f ca="1"/>
        <v>-200000</v>
      </c>
      <c r="W253" s="70">
        <f ca="1"/>
        <v>-1.36</v>
      </c>
      <c r="X253" s="71">
        <f ca="1"/>
        <v>103.068</v>
      </c>
      <c r="Y253" s="71">
        <f ca="1"/>
        <v>103.205</v>
      </c>
      <c r="Z253" s="57" t="str">
        <f ca="1"/>
        <v>CAZZANIGA</v>
      </c>
      <c r="AA253" s="57" t="str">
        <f ca="1"/>
        <v>Bond Corporate</v>
      </c>
      <c r="AB253" s="56">
        <f ca="1"/>
        <v>-274.00000000000091</v>
      </c>
      <c r="AC253" s="56">
        <f ca="1">IFERROR(IF(ISBLANK(AB253),"-",AB253-_xlfn.XLOOKUP(T253,AI:AI,AJ:AJ)),"-")</f>
        <v>0</v>
      </c>
      <c r="AD253" s="56">
        <f ca="1">IFERROR(IF(ISBLANK(AB253),"-",AB253-_xlfn.XLOOKUP(T253,AO:AO,AP:AP)),"-")</f>
        <v>-9.9999999999909051</v>
      </c>
      <c r="AE253" s="25"/>
      <c r="AF253" s="25"/>
      <c r="AG253" s="25"/>
      <c r="AH253" s="25"/>
      <c r="AI253" s="51" t="s">
        <v>885</v>
      </c>
      <c r="AJ253" s="80">
        <v>-274.00000000000091</v>
      </c>
      <c r="AK253" s="25"/>
      <c r="AL253" s="25"/>
      <c r="AM253" s="25"/>
      <c r="AN253" s="25"/>
      <c r="AO253" s="51" t="s">
        <v>885</v>
      </c>
      <c r="AP253" s="80">
        <v>-274.00000000000091</v>
      </c>
      <c r="AQ253" s="25"/>
      <c r="AR253" s="25"/>
      <c r="AS253" s="26"/>
      <c r="AT253" s="20" t="s">
        <v>867</v>
      </c>
      <c r="AW253" s="25"/>
      <c r="AX253" s="25"/>
      <c r="AY253" s="37"/>
      <c r="AZ253" s="25"/>
      <c r="BA253" s="35"/>
      <c r="BB253" s="25"/>
      <c r="BC253" s="25"/>
      <c r="BD253" s="25"/>
      <c r="BE253" s="25"/>
      <c r="BF253" s="25"/>
      <c r="BG253" s="25"/>
      <c r="BH253" s="25"/>
      <c r="BI253" s="37"/>
      <c r="BJ253" s="25"/>
      <c r="BK253" s="25"/>
    </row>
    <row r="254" spans="3:63" x14ac:dyDescent="0.35">
      <c r="C254" s="25" t="str">
        <f ca="1"/>
        <v>MT7000016820</v>
      </c>
      <c r="D254" s="25" t="str">
        <f ca="1"/>
        <v>GIORGETTI</v>
      </c>
      <c r="E254" s="35">
        <f ca="1"/>
        <v>106.49</v>
      </c>
      <c r="F254" s="102"/>
      <c r="G254" s="102">
        <f ca="1"/>
        <v>2348</v>
      </c>
      <c r="H254" s="25" t="str">
        <f ca="1"/>
        <v>-</v>
      </c>
      <c r="I254" s="37">
        <f ca="1"/>
        <v>0</v>
      </c>
      <c r="J254" s="37" t="str">
        <f ca="1"/>
        <v/>
      </c>
      <c r="K254" s="109" t="str">
        <f ca="1"/>
        <v>EUR</v>
      </c>
      <c r="L254" s="111" t="str">
        <f ca="1"/>
        <v>-</v>
      </c>
      <c r="M254" s="111" t="str">
        <f ca="1"/>
        <v>-</v>
      </c>
      <c r="N254" s="19" t="str">
        <f ca="1"/>
        <v>#N/A Invalid Security</v>
      </c>
      <c r="Q254" s="20" t="s">
        <v>867</v>
      </c>
      <c r="R254" s="24"/>
      <c r="S254" s="25">
        <f ca="1"/>
        <v>213</v>
      </c>
      <c r="T254" s="19" t="str">
        <f ca="1"/>
        <v>MT7000016820</v>
      </c>
      <c r="U254" s="25" t="str">
        <f ca="1"/>
        <v/>
      </c>
      <c r="V254" s="64">
        <f ca="1"/>
        <v>2348</v>
      </c>
      <c r="W254" s="70">
        <f ca="1"/>
        <v>0</v>
      </c>
      <c r="X254" s="71">
        <f ca="1"/>
        <v>106.49</v>
      </c>
      <c r="Y254" s="71" t="str">
        <f ca="1"/>
        <v>-</v>
      </c>
      <c r="Z254" s="57" t="str">
        <f ca="1"/>
        <v>GIORGETTI</v>
      </c>
      <c r="AA254" s="57" t="str">
        <f ca="1"/>
        <v>Fund</v>
      </c>
      <c r="AB254" s="56" t="str">
        <f ca="1"/>
        <v>-</v>
      </c>
      <c r="AC254" s="56" t="str">
        <f ca="1">IFERROR(IF(ISBLANK(AB254),"-",AB254-_xlfn.XLOOKUP(T254,AI:AI,AJ:AJ)),"-")</f>
        <v>-</v>
      </c>
      <c r="AD254" s="56" t="str">
        <f ca="1">IFERROR(IF(ISBLANK(AB254),"-",AB254-_xlfn.XLOOKUP(T254,AO:AO,AP:AP)),"-")</f>
        <v>-</v>
      </c>
      <c r="AE254" s="25"/>
      <c r="AF254" s="25"/>
      <c r="AG254" s="25"/>
      <c r="AH254" s="25"/>
      <c r="AI254" s="51" t="s">
        <v>831</v>
      </c>
      <c r="AJ254" s="80" t="s">
        <v>1181</v>
      </c>
      <c r="AK254" s="25"/>
      <c r="AL254" s="25"/>
      <c r="AM254" s="25"/>
      <c r="AN254" s="25"/>
      <c r="AO254" s="51" t="s">
        <v>831</v>
      </c>
      <c r="AP254" s="80" t="s">
        <v>1181</v>
      </c>
      <c r="AQ254" s="25"/>
      <c r="AR254" s="25"/>
      <c r="AS254" s="26"/>
      <c r="AT254" s="20" t="s">
        <v>867</v>
      </c>
      <c r="AW254" s="25"/>
      <c r="AX254" s="25"/>
      <c r="AY254" s="37"/>
      <c r="AZ254" s="25"/>
      <c r="BA254" s="35"/>
      <c r="BB254" s="25"/>
      <c r="BC254" s="25"/>
      <c r="BD254" s="25"/>
      <c r="BE254" s="25"/>
      <c r="BF254" s="25"/>
      <c r="BG254" s="25"/>
      <c r="BH254" s="25"/>
      <c r="BI254" s="37"/>
      <c r="BJ254" s="25"/>
      <c r="BK254" s="25"/>
    </row>
    <row r="255" spans="3:63" x14ac:dyDescent="0.35">
      <c r="C255" s="25" t="str">
        <f ca="1"/>
        <v>IE00BD3WYB25</v>
      </c>
      <c r="D255" s="25" t="str">
        <f ca="1"/>
        <v>GIORGETTI</v>
      </c>
      <c r="E255" s="35">
        <f ca="1"/>
        <v>119.408</v>
      </c>
      <c r="F255" s="102"/>
      <c r="G255" s="102">
        <f ca="1"/>
        <v>21028</v>
      </c>
      <c r="H255" s="25" t="str">
        <f ca="1"/>
        <v>-</v>
      </c>
      <c r="I255" s="37">
        <f ca="1"/>
        <v>0</v>
      </c>
      <c r="J255" s="37" t="str">
        <f ca="1"/>
        <v>ID</v>
      </c>
      <c r="K255" s="109" t="str">
        <f ca="1"/>
        <v>EUR</v>
      </c>
      <c r="L255" s="111" t="str">
        <f ca="1"/>
        <v>-</v>
      </c>
      <c r="M255" s="111" t="str">
        <f ca="1"/>
        <v>-</v>
      </c>
      <c r="N255" s="19" t="str">
        <f ca="1"/>
        <v>#N/A Invalid Security</v>
      </c>
      <c r="Q255" s="20" t="s">
        <v>867</v>
      </c>
      <c r="R255" s="24"/>
      <c r="S255" s="25">
        <f ca="1"/>
        <v>214</v>
      </c>
      <c r="T255" s="19" t="str">
        <f ca="1"/>
        <v>IE00BD3WYB25</v>
      </c>
      <c r="U255" s="25" t="str">
        <f ca="1"/>
        <v/>
      </c>
      <c r="V255" s="64">
        <f ca="1"/>
        <v>21028</v>
      </c>
      <c r="W255" s="70">
        <f ca="1"/>
        <v>0</v>
      </c>
      <c r="X255" s="71">
        <f ca="1"/>
        <v>119.408</v>
      </c>
      <c r="Y255" s="71" t="str">
        <f ca="1"/>
        <v>-</v>
      </c>
      <c r="Z255" s="57" t="str">
        <f ca="1"/>
        <v>GIORGETTI</v>
      </c>
      <c r="AA255" s="57" t="str">
        <f ca="1"/>
        <v>Fund</v>
      </c>
      <c r="AB255" s="56" t="str">
        <f ca="1"/>
        <v>-</v>
      </c>
      <c r="AC255" s="56" t="str">
        <f ca="1">IFERROR(IF(ISBLANK(AB255),"-",AB255-_xlfn.XLOOKUP(T255,AI:AI,AJ:AJ)),"-")</f>
        <v>-</v>
      </c>
      <c r="AD255" s="56" t="str">
        <f ca="1">IFERROR(IF(ISBLANK(AB255),"-",AB255-_xlfn.XLOOKUP(T255,AO:AO,AP:AP)),"-")</f>
        <v>-</v>
      </c>
      <c r="AE255" s="25"/>
      <c r="AF255" s="25"/>
      <c r="AG255" s="25"/>
      <c r="AH255" s="25"/>
      <c r="AI255" s="51" t="s">
        <v>834</v>
      </c>
      <c r="AJ255" s="80" t="s">
        <v>1181</v>
      </c>
      <c r="AK255" s="25"/>
      <c r="AL255" s="25"/>
      <c r="AM255" s="25"/>
      <c r="AN255" s="25"/>
      <c r="AO255" s="51" t="s">
        <v>834</v>
      </c>
      <c r="AP255" s="80" t="s">
        <v>1181</v>
      </c>
      <c r="AQ255" s="25"/>
      <c r="AR255" s="25"/>
      <c r="AS255" s="26"/>
      <c r="AT255" s="20" t="s">
        <v>867</v>
      </c>
      <c r="AW255" s="25"/>
      <c r="AX255" s="25"/>
      <c r="AY255" s="37"/>
      <c r="AZ255" s="25"/>
      <c r="BA255" s="35"/>
      <c r="BB255" s="25"/>
      <c r="BC255" s="25"/>
      <c r="BD255" s="25"/>
      <c r="BE255" s="25"/>
      <c r="BF255" s="25"/>
      <c r="BG255" s="25"/>
      <c r="BH255" s="25"/>
      <c r="BI255" s="37"/>
      <c r="BJ255" s="25"/>
      <c r="BK255" s="25"/>
    </row>
    <row r="256" spans="3:63" x14ac:dyDescent="0.35">
      <c r="C256" s="25"/>
      <c r="D256" s="25"/>
      <c r="E256" s="35"/>
      <c r="F256" s="102"/>
      <c r="G256" s="102"/>
      <c r="H256" s="25"/>
      <c r="I256" s="37"/>
      <c r="J256" s="37"/>
      <c r="K256" s="109"/>
      <c r="L256" s="111"/>
      <c r="M256" s="111"/>
      <c r="Q256" s="20" t="s">
        <v>867</v>
      </c>
      <c r="R256" s="24"/>
      <c r="S256" s="25"/>
      <c r="U256" s="25"/>
      <c r="V256" s="64"/>
      <c r="W256" s="70"/>
      <c r="X256" s="71"/>
      <c r="Y256" s="71"/>
      <c r="Z256" s="57"/>
      <c r="AA256" s="57"/>
      <c r="AB256" s="56"/>
      <c r="AC256" s="56" t="str">
        <f ca="1">IFERROR(IF(ISBLANK(AB256),"-",AB256-_xlfn.XLOOKUP(T256,AI:AI,AJ:AJ)),"-")</f>
        <v>-</v>
      </c>
      <c r="AD256" s="56" t="str">
        <f ca="1">IFERROR(IF(ISBLANK(AB256),"-",AB256-_xlfn.XLOOKUP(T256,AO:AO,AP:AP)),"-")</f>
        <v>-</v>
      </c>
      <c r="AE256" s="25"/>
      <c r="AF256" s="25"/>
      <c r="AG256" s="25"/>
      <c r="AH256" s="25"/>
      <c r="AI256" s="51"/>
      <c r="AJ256" s="80"/>
      <c r="AK256" s="25"/>
      <c r="AL256" s="25"/>
      <c r="AM256" s="25"/>
      <c r="AN256" s="25"/>
      <c r="AO256" s="51"/>
      <c r="AP256" s="80"/>
      <c r="AQ256" s="25"/>
      <c r="AR256" s="25"/>
      <c r="AS256" s="26"/>
      <c r="AT256" s="20" t="s">
        <v>867</v>
      </c>
      <c r="AW256" s="25"/>
      <c r="AX256" s="25"/>
      <c r="AY256" s="37"/>
      <c r="AZ256" s="25"/>
      <c r="BA256" s="35"/>
      <c r="BB256" s="25"/>
      <c r="BC256" s="25"/>
      <c r="BD256" s="25"/>
      <c r="BE256" s="25"/>
      <c r="BF256" s="25"/>
      <c r="BG256" s="25"/>
      <c r="BH256" s="25"/>
      <c r="BI256" s="37"/>
      <c r="BJ256" s="25"/>
      <c r="BK256" s="25"/>
    </row>
    <row r="257" spans="3:63" x14ac:dyDescent="0.35">
      <c r="C257" s="25"/>
      <c r="D257" s="25"/>
      <c r="E257" s="35"/>
      <c r="F257" s="102"/>
      <c r="G257" s="102"/>
      <c r="H257" s="25"/>
      <c r="I257" s="37"/>
      <c r="J257" s="37"/>
      <c r="K257" s="109"/>
      <c r="L257" s="111"/>
      <c r="M257" s="111"/>
      <c r="Q257" s="20" t="s">
        <v>867</v>
      </c>
      <c r="R257" s="24"/>
      <c r="S257" s="25"/>
      <c r="U257" s="25"/>
      <c r="V257" s="64"/>
      <c r="W257" s="70"/>
      <c r="X257" s="71"/>
      <c r="Y257" s="71"/>
      <c r="Z257" s="57"/>
      <c r="AA257" s="57"/>
      <c r="AB257" s="56"/>
      <c r="AC257" s="56" t="str">
        <f ca="1">IFERROR(IF(ISBLANK(AB257),"-",AB257-_xlfn.XLOOKUP(T257,AI:AI,AJ:AJ)),"-")</f>
        <v>-</v>
      </c>
      <c r="AD257" s="56" t="str">
        <f ca="1">IFERROR(IF(ISBLANK(AB257),"-",AB257-_xlfn.XLOOKUP(T257,AO:AO,AP:AP)),"-")</f>
        <v>-</v>
      </c>
      <c r="AE257" s="25"/>
      <c r="AF257" s="25"/>
      <c r="AG257" s="25"/>
      <c r="AH257" s="25"/>
      <c r="AI257" s="51"/>
      <c r="AJ257" s="80"/>
      <c r="AK257" s="25"/>
      <c r="AL257" s="25"/>
      <c r="AM257" s="25"/>
      <c r="AN257" s="25"/>
      <c r="AO257" s="51"/>
      <c r="AP257" s="80"/>
      <c r="AQ257" s="25"/>
      <c r="AR257" s="25"/>
      <c r="AS257" s="26"/>
      <c r="AT257" s="20" t="s">
        <v>867</v>
      </c>
      <c r="AW257" s="25"/>
      <c r="AX257" s="25"/>
      <c r="AY257" s="37"/>
      <c r="AZ257" s="25"/>
      <c r="BA257" s="35"/>
      <c r="BB257" s="25"/>
      <c r="BC257" s="25"/>
      <c r="BD257" s="25"/>
      <c r="BE257" s="25"/>
      <c r="BF257" s="25"/>
      <c r="BG257" s="25"/>
      <c r="BH257" s="25"/>
      <c r="BI257" s="37"/>
      <c r="BJ257" s="25"/>
      <c r="BK257" s="25"/>
    </row>
    <row r="258" spans="3:63" x14ac:dyDescent="0.35">
      <c r="C258" s="25"/>
      <c r="D258" s="25"/>
      <c r="E258" s="35"/>
      <c r="F258" s="102"/>
      <c r="G258" s="102"/>
      <c r="H258" s="25"/>
      <c r="I258" s="37"/>
      <c r="J258" s="37"/>
      <c r="K258" s="109"/>
      <c r="L258" s="111"/>
      <c r="M258" s="111"/>
      <c r="Q258" s="20" t="s">
        <v>867</v>
      </c>
      <c r="R258" s="24"/>
      <c r="S258" s="25"/>
      <c r="U258" s="25"/>
      <c r="V258" s="64"/>
      <c r="W258" s="70"/>
      <c r="X258" s="71"/>
      <c r="Y258" s="71"/>
      <c r="Z258" s="57"/>
      <c r="AA258" s="57"/>
      <c r="AB258" s="56"/>
      <c r="AC258" s="56" t="str">
        <f ca="1">IFERROR(IF(ISBLANK(AB258),"-",AB258-_xlfn.XLOOKUP(T258,AI:AI,AJ:AJ)),"-")</f>
        <v>-</v>
      </c>
      <c r="AD258" s="56" t="str">
        <f ca="1">IFERROR(IF(ISBLANK(AB258),"-",AB258-_xlfn.XLOOKUP(T258,AO:AO,AP:AP)),"-")</f>
        <v>-</v>
      </c>
      <c r="AE258" s="25"/>
      <c r="AF258" s="25"/>
      <c r="AG258" s="25"/>
      <c r="AH258" s="25"/>
      <c r="AI258" s="51"/>
      <c r="AJ258" s="80"/>
      <c r="AK258" s="25"/>
      <c r="AL258" s="25"/>
      <c r="AM258" s="25"/>
      <c r="AN258" s="25"/>
      <c r="AO258" s="51"/>
      <c r="AP258" s="80"/>
      <c r="AQ258" s="25"/>
      <c r="AR258" s="25"/>
      <c r="AS258" s="26"/>
      <c r="AT258" s="20" t="s">
        <v>867</v>
      </c>
      <c r="AW258" s="25"/>
      <c r="AX258" s="25"/>
      <c r="AY258" s="37"/>
      <c r="AZ258" s="25"/>
      <c r="BA258" s="35"/>
      <c r="BB258" s="25"/>
      <c r="BC258" s="25"/>
      <c r="BD258" s="25"/>
      <c r="BE258" s="25"/>
      <c r="BF258" s="25"/>
      <c r="BG258" s="25"/>
      <c r="BH258" s="25"/>
      <c r="BI258" s="37"/>
      <c r="BJ258" s="25"/>
      <c r="BK258" s="25"/>
    </row>
    <row r="259" spans="3:63" x14ac:dyDescent="0.35">
      <c r="C259" s="25"/>
      <c r="D259" s="25"/>
      <c r="E259" s="35"/>
      <c r="F259" s="102"/>
      <c r="G259" s="102"/>
      <c r="H259" s="25"/>
      <c r="I259" s="37"/>
      <c r="J259" s="37"/>
      <c r="K259" s="109"/>
      <c r="L259" s="111"/>
      <c r="M259" s="111"/>
      <c r="Q259" s="20" t="s">
        <v>867</v>
      </c>
      <c r="R259" s="24"/>
      <c r="S259" s="25"/>
      <c r="U259" s="25"/>
      <c r="V259" s="64"/>
      <c r="W259" s="70"/>
      <c r="X259" s="71"/>
      <c r="Y259" s="71"/>
      <c r="Z259" s="57"/>
      <c r="AA259" s="57"/>
      <c r="AB259" s="56"/>
      <c r="AC259" s="56" t="str">
        <f ca="1">IFERROR(IF(ISBLANK(AB259),"-",AB259-_xlfn.XLOOKUP(T259,AI:AI,AJ:AJ)),"-")</f>
        <v>-</v>
      </c>
      <c r="AD259" s="56" t="str">
        <f ca="1">IFERROR(IF(ISBLANK(AB259),"-",AB259-_xlfn.XLOOKUP(T259,AO:AO,AP:AP)),"-")</f>
        <v>-</v>
      </c>
      <c r="AE259" s="25"/>
      <c r="AF259" s="25"/>
      <c r="AG259" s="25"/>
      <c r="AH259" s="25"/>
      <c r="AI259" s="51"/>
      <c r="AJ259" s="80"/>
      <c r="AK259" s="25"/>
      <c r="AL259" s="25"/>
      <c r="AM259" s="25"/>
      <c r="AN259" s="25"/>
      <c r="AO259" s="51"/>
      <c r="AP259" s="80"/>
      <c r="AQ259" s="25"/>
      <c r="AR259" s="25"/>
      <c r="AS259" s="26"/>
      <c r="AT259" s="20" t="s">
        <v>867</v>
      </c>
      <c r="AW259" s="25"/>
      <c r="AX259" s="25"/>
      <c r="AY259" s="37"/>
      <c r="AZ259" s="25"/>
      <c r="BA259" s="35"/>
      <c r="BB259" s="25"/>
      <c r="BC259" s="25"/>
      <c r="BD259" s="25"/>
      <c r="BE259" s="25"/>
      <c r="BF259" s="25"/>
      <c r="BG259" s="25"/>
      <c r="BH259" s="25"/>
      <c r="BI259" s="37"/>
      <c r="BJ259" s="25"/>
      <c r="BK259" s="25"/>
    </row>
    <row r="260" spans="3:63" x14ac:dyDescent="0.35">
      <c r="C260" s="25"/>
      <c r="D260" s="25"/>
      <c r="E260" s="35"/>
      <c r="F260" s="102"/>
      <c r="G260" s="102"/>
      <c r="H260" s="25"/>
      <c r="I260" s="37"/>
      <c r="J260" s="37"/>
      <c r="K260" s="109"/>
      <c r="L260" s="111"/>
      <c r="M260" s="111"/>
      <c r="Q260" s="20" t="s">
        <v>867</v>
      </c>
      <c r="R260" s="24"/>
      <c r="S260" s="25"/>
      <c r="U260" s="25"/>
      <c r="V260" s="64"/>
      <c r="W260" s="70"/>
      <c r="X260" s="71"/>
      <c r="Y260" s="71"/>
      <c r="Z260" s="57"/>
      <c r="AA260" s="57"/>
      <c r="AB260" s="56"/>
      <c r="AC260" s="56" t="str">
        <f ca="1">IFERROR(IF(ISBLANK(AB260),"-",AB260-_xlfn.XLOOKUP(T260,AI:AI,AJ:AJ)),"-")</f>
        <v>-</v>
      </c>
      <c r="AD260" s="56" t="str">
        <f ca="1">IFERROR(IF(ISBLANK(AB260),"-",AB260-_xlfn.XLOOKUP(T260,AO:AO,AP:AP)),"-")</f>
        <v>-</v>
      </c>
      <c r="AE260" s="25"/>
      <c r="AF260" s="25"/>
      <c r="AG260" s="25"/>
      <c r="AH260" s="25"/>
      <c r="AI260" s="51"/>
      <c r="AJ260" s="80"/>
      <c r="AK260" s="25"/>
      <c r="AL260" s="25"/>
      <c r="AM260" s="25"/>
      <c r="AN260" s="25"/>
      <c r="AO260" s="51"/>
      <c r="AP260" s="80"/>
      <c r="AQ260" s="25"/>
      <c r="AR260" s="25"/>
      <c r="AS260" s="26"/>
      <c r="AT260" s="20" t="s">
        <v>867</v>
      </c>
      <c r="AW260" s="25"/>
      <c r="AX260" s="25"/>
      <c r="AY260" s="37"/>
      <c r="AZ260" s="25"/>
      <c r="BA260" s="35"/>
      <c r="BB260" s="25"/>
      <c r="BC260" s="25"/>
      <c r="BD260" s="25"/>
      <c r="BE260" s="25"/>
      <c r="BF260" s="25"/>
      <c r="BG260" s="25"/>
      <c r="BH260" s="25"/>
      <c r="BI260" s="37"/>
      <c r="BJ260" s="25"/>
      <c r="BK260" s="25"/>
    </row>
    <row r="261" spans="3:63" x14ac:dyDescent="0.35">
      <c r="C261" s="25"/>
      <c r="D261" s="25"/>
      <c r="E261" s="35"/>
      <c r="F261" s="102"/>
      <c r="G261" s="102"/>
      <c r="H261" s="25"/>
      <c r="I261" s="37"/>
      <c r="J261" s="37"/>
      <c r="K261" s="109"/>
      <c r="L261" s="111"/>
      <c r="M261" s="111"/>
      <c r="Q261" s="20" t="s">
        <v>867</v>
      </c>
      <c r="R261" s="24"/>
      <c r="S261" s="25"/>
      <c r="U261" s="25"/>
      <c r="V261" s="64"/>
      <c r="W261" s="70"/>
      <c r="X261" s="71"/>
      <c r="Y261" s="71"/>
      <c r="Z261" s="57"/>
      <c r="AA261" s="57"/>
      <c r="AB261" s="56"/>
      <c r="AC261" s="56" t="str">
        <f ca="1">IFERROR(IF(ISBLANK(AB261),"-",AB261-_xlfn.XLOOKUP(T261,AI:AI,AJ:AJ)),"-")</f>
        <v>-</v>
      </c>
      <c r="AD261" s="56" t="str">
        <f ca="1">IFERROR(IF(ISBLANK(AB261),"-",AB261-_xlfn.XLOOKUP(T261,AO:AO,AP:AP)),"-")</f>
        <v>-</v>
      </c>
      <c r="AE261" s="25"/>
      <c r="AF261" s="25"/>
      <c r="AG261" s="25"/>
      <c r="AH261" s="25"/>
      <c r="AI261" s="51"/>
      <c r="AJ261" s="80"/>
      <c r="AK261" s="25"/>
      <c r="AL261" s="25"/>
      <c r="AM261" s="25"/>
      <c r="AN261" s="25"/>
      <c r="AO261" s="51"/>
      <c r="AP261" s="80"/>
      <c r="AQ261" s="25"/>
      <c r="AR261" s="25"/>
      <c r="AS261" s="26"/>
      <c r="AT261" s="20" t="s">
        <v>867</v>
      </c>
      <c r="AW261" s="25"/>
      <c r="AX261" s="25"/>
      <c r="AY261" s="37"/>
      <c r="AZ261" s="25"/>
      <c r="BA261" s="35"/>
      <c r="BB261" s="25"/>
      <c r="BC261" s="25"/>
      <c r="BD261" s="25"/>
      <c r="BE261" s="25"/>
      <c r="BF261" s="25"/>
      <c r="BG261" s="25"/>
      <c r="BH261" s="25"/>
      <c r="BI261" s="37"/>
      <c r="BJ261" s="25"/>
      <c r="BK261" s="25"/>
    </row>
    <row r="262" spans="3:63" x14ac:dyDescent="0.35">
      <c r="C262" s="25"/>
      <c r="D262" s="25"/>
      <c r="E262" s="35"/>
      <c r="F262" s="102"/>
      <c r="G262" s="102"/>
      <c r="H262" s="25"/>
      <c r="I262" s="37"/>
      <c r="J262" s="37"/>
      <c r="K262" s="109"/>
      <c r="L262" s="111"/>
      <c r="M262" s="111"/>
      <c r="Q262" s="20" t="s">
        <v>867</v>
      </c>
      <c r="R262" s="24"/>
      <c r="S262" s="25"/>
      <c r="U262" s="25"/>
      <c r="V262" s="64"/>
      <c r="W262" s="70"/>
      <c r="X262" s="71"/>
      <c r="Y262" s="71"/>
      <c r="Z262" s="57"/>
      <c r="AA262" s="57"/>
      <c r="AB262" s="56"/>
      <c r="AC262" s="56" t="str">
        <f ca="1">IFERROR(IF(ISBLANK(AB262),"-",AB262-_xlfn.XLOOKUP(T262,AI:AI,AJ:AJ)),"-")</f>
        <v>-</v>
      </c>
      <c r="AD262" s="56" t="str">
        <f ca="1">IFERROR(IF(ISBLANK(AB262),"-",AB262-_xlfn.XLOOKUP(T262,AO:AO,AP:AP)),"-")</f>
        <v>-</v>
      </c>
      <c r="AE262" s="25"/>
      <c r="AF262" s="25"/>
      <c r="AG262" s="25"/>
      <c r="AH262" s="25"/>
      <c r="AI262" s="51"/>
      <c r="AJ262" s="80"/>
      <c r="AK262" s="25"/>
      <c r="AL262" s="25"/>
      <c r="AM262" s="25"/>
      <c r="AN262" s="25"/>
      <c r="AO262" s="51"/>
      <c r="AP262" s="80"/>
      <c r="AQ262" s="25"/>
      <c r="AR262" s="25"/>
      <c r="AS262" s="26"/>
      <c r="AT262" s="20" t="s">
        <v>867</v>
      </c>
      <c r="AW262" s="25"/>
      <c r="AX262" s="25"/>
      <c r="AY262" s="37"/>
      <c r="AZ262" s="25"/>
      <c r="BA262" s="35"/>
      <c r="BB262" s="25"/>
      <c r="BC262" s="25"/>
      <c r="BD262" s="25"/>
      <c r="BE262" s="25"/>
      <c r="BF262" s="25"/>
      <c r="BG262" s="25"/>
      <c r="BH262" s="25"/>
      <c r="BI262" s="37"/>
      <c r="BJ262" s="25"/>
      <c r="BK262" s="25"/>
    </row>
    <row r="263" spans="3:63" x14ac:dyDescent="0.35">
      <c r="C263" s="25"/>
      <c r="D263" s="25"/>
      <c r="E263" s="35"/>
      <c r="F263" s="102"/>
      <c r="G263" s="102"/>
      <c r="H263" s="25"/>
      <c r="I263" s="37"/>
      <c r="J263" s="37"/>
      <c r="K263" s="109"/>
      <c r="L263" s="111"/>
      <c r="M263" s="111"/>
      <c r="Q263" s="20" t="s">
        <v>867</v>
      </c>
      <c r="R263" s="24"/>
      <c r="S263" s="25"/>
      <c r="U263" s="25"/>
      <c r="V263" s="64"/>
      <c r="W263" s="70"/>
      <c r="X263" s="71"/>
      <c r="Y263" s="71"/>
      <c r="Z263" s="57"/>
      <c r="AA263" s="57"/>
      <c r="AB263" s="56"/>
      <c r="AC263" s="56" t="str">
        <f ca="1">IFERROR(IF(ISBLANK(AB263),"-",AB263-_xlfn.XLOOKUP(T263,AI:AI,AJ:AJ)),"-")</f>
        <v>-</v>
      </c>
      <c r="AD263" s="56" t="str">
        <f ca="1">IFERROR(IF(ISBLANK(AB263),"-",AB263-_xlfn.XLOOKUP(T263,AO:AO,AP:AP)),"-")</f>
        <v>-</v>
      </c>
      <c r="AE263" s="25"/>
      <c r="AF263" s="25"/>
      <c r="AG263" s="25"/>
      <c r="AH263" s="25"/>
      <c r="AI263" s="51"/>
      <c r="AJ263" s="80"/>
      <c r="AK263" s="25"/>
      <c r="AL263" s="25"/>
      <c r="AM263" s="25"/>
      <c r="AN263" s="25"/>
      <c r="AO263" s="51"/>
      <c r="AP263" s="80"/>
      <c r="AQ263" s="25"/>
      <c r="AR263" s="25"/>
      <c r="AS263" s="26"/>
      <c r="AT263" s="20" t="s">
        <v>867</v>
      </c>
      <c r="AW263" s="25"/>
      <c r="AX263" s="25"/>
      <c r="AY263" s="37"/>
      <c r="AZ263" s="25"/>
      <c r="BA263" s="35"/>
      <c r="BB263" s="25"/>
      <c r="BC263" s="25"/>
      <c r="BD263" s="25"/>
      <c r="BE263" s="25"/>
      <c r="BF263" s="25"/>
      <c r="BG263" s="25"/>
      <c r="BH263" s="25"/>
      <c r="BI263" s="37"/>
      <c r="BJ263" s="25"/>
      <c r="BK263" s="25"/>
    </row>
    <row r="264" spans="3:63" x14ac:dyDescent="0.35">
      <c r="C264" s="25"/>
      <c r="D264" s="25"/>
      <c r="E264" s="35"/>
      <c r="F264" s="102"/>
      <c r="G264" s="102"/>
      <c r="H264" s="25"/>
      <c r="I264" s="37"/>
      <c r="J264" s="37"/>
      <c r="K264" s="109"/>
      <c r="L264" s="111"/>
      <c r="M264" s="111"/>
      <c r="Q264" s="20" t="s">
        <v>867</v>
      </c>
      <c r="R264" s="24"/>
      <c r="S264" s="25"/>
      <c r="U264" s="25"/>
      <c r="V264" s="64"/>
      <c r="W264" s="70"/>
      <c r="X264" s="71"/>
      <c r="Y264" s="71"/>
      <c r="Z264" s="57"/>
      <c r="AA264" s="57"/>
      <c r="AB264" s="56"/>
      <c r="AC264" s="56" t="str">
        <f ca="1">IFERROR(IF(ISBLANK(AB264),"-",AB264-_xlfn.XLOOKUP(T264,AI:AI,AJ:AJ)),"-")</f>
        <v>-</v>
      </c>
      <c r="AD264" s="56" t="str">
        <f ca="1">IFERROR(IF(ISBLANK(AB264),"-",AB264-_xlfn.XLOOKUP(T264,AO:AO,AP:AP)),"-")</f>
        <v>-</v>
      </c>
      <c r="AE264" s="25"/>
      <c r="AF264" s="25"/>
      <c r="AG264" s="25"/>
      <c r="AH264" s="25"/>
      <c r="AI264" s="51"/>
      <c r="AJ264" s="80"/>
      <c r="AK264" s="25"/>
      <c r="AL264" s="25"/>
      <c r="AM264" s="25"/>
      <c r="AN264" s="25"/>
      <c r="AO264" s="51"/>
      <c r="AP264" s="80"/>
      <c r="AQ264" s="25"/>
      <c r="AR264" s="25"/>
      <c r="AS264" s="26"/>
      <c r="AT264" s="20" t="s">
        <v>867</v>
      </c>
      <c r="AW264" s="25"/>
      <c r="AX264" s="25"/>
      <c r="AY264" s="37"/>
      <c r="AZ264" s="25"/>
      <c r="BA264" s="35"/>
      <c r="BB264" s="25"/>
      <c r="BC264" s="25"/>
      <c r="BD264" s="25"/>
      <c r="BE264" s="25"/>
      <c r="BF264" s="25"/>
      <c r="BG264" s="25"/>
      <c r="BH264" s="25"/>
      <c r="BI264" s="37"/>
      <c r="BJ264" s="25"/>
      <c r="BK264" s="25"/>
    </row>
    <row r="265" spans="3:63" x14ac:dyDescent="0.35">
      <c r="C265" s="25"/>
      <c r="D265" s="25"/>
      <c r="E265" s="35"/>
      <c r="F265" s="102"/>
      <c r="G265" s="102"/>
      <c r="H265" s="25"/>
      <c r="I265" s="37"/>
      <c r="J265" s="37"/>
      <c r="K265" s="109"/>
      <c r="L265" s="111"/>
      <c r="M265" s="111"/>
      <c r="Q265" s="20" t="s">
        <v>867</v>
      </c>
      <c r="R265" s="24"/>
      <c r="S265" s="25"/>
      <c r="U265" s="25"/>
      <c r="V265" s="64"/>
      <c r="W265" s="70"/>
      <c r="X265" s="71"/>
      <c r="Y265" s="71"/>
      <c r="Z265" s="57"/>
      <c r="AA265" s="57"/>
      <c r="AB265" s="56"/>
      <c r="AC265" s="56" t="str">
        <f ca="1">IFERROR(IF(ISBLANK(AB265),"-",AB265-_xlfn.XLOOKUP(T265,AI:AI,AJ:AJ)),"-")</f>
        <v>-</v>
      </c>
      <c r="AD265" s="56" t="str">
        <f ca="1">IFERROR(IF(ISBLANK(AB265),"-",AB265-_xlfn.XLOOKUP(T265,AO:AO,AP:AP)),"-")</f>
        <v>-</v>
      </c>
      <c r="AE265" s="25"/>
      <c r="AF265" s="25"/>
      <c r="AG265" s="25"/>
      <c r="AH265" s="25"/>
      <c r="AI265" s="51"/>
      <c r="AJ265" s="80"/>
      <c r="AK265" s="25"/>
      <c r="AL265" s="25"/>
      <c r="AM265" s="25"/>
      <c r="AN265" s="25"/>
      <c r="AO265" s="51"/>
      <c r="AP265" s="80"/>
      <c r="AQ265" s="25"/>
      <c r="AR265" s="25"/>
      <c r="AS265" s="26"/>
      <c r="AT265" s="20" t="s">
        <v>867</v>
      </c>
      <c r="AW265" s="25"/>
      <c r="AX265" s="25"/>
      <c r="AY265" s="37"/>
      <c r="AZ265" s="25"/>
      <c r="BA265" s="35"/>
      <c r="BB265" s="25"/>
      <c r="BC265" s="25"/>
      <c r="BD265" s="25"/>
      <c r="BE265" s="25"/>
      <c r="BF265" s="25"/>
      <c r="BG265" s="25"/>
      <c r="BH265" s="25"/>
      <c r="BI265" s="37"/>
      <c r="BJ265" s="25"/>
      <c r="BK265" s="25"/>
    </row>
    <row r="266" spans="3:63" x14ac:dyDescent="0.35">
      <c r="C266" s="25"/>
      <c r="D266" s="25"/>
      <c r="E266" s="35"/>
      <c r="F266" s="102"/>
      <c r="G266" s="102"/>
      <c r="H266" s="25"/>
      <c r="I266" s="37"/>
      <c r="J266" s="37"/>
      <c r="K266" s="109"/>
      <c r="L266" s="111"/>
      <c r="M266" s="111"/>
      <c r="Q266" s="20" t="s">
        <v>867</v>
      </c>
      <c r="R266" s="24"/>
      <c r="S266" s="25"/>
      <c r="U266" s="25"/>
      <c r="V266" s="64"/>
      <c r="W266" s="70"/>
      <c r="X266" s="71"/>
      <c r="Y266" s="71"/>
      <c r="Z266" s="57"/>
      <c r="AA266" s="57"/>
      <c r="AB266" s="56"/>
      <c r="AC266" s="56" t="str">
        <f ca="1">IFERROR(IF(ISBLANK(AB266),"-",AB266-_xlfn.XLOOKUP(T266,AI:AI,AJ:AJ)),"-")</f>
        <v>-</v>
      </c>
      <c r="AD266" s="56" t="str">
        <f ca="1">IFERROR(IF(ISBLANK(AB266),"-",AB266-_xlfn.XLOOKUP(T266,AO:AO,AP:AP)),"-")</f>
        <v>-</v>
      </c>
      <c r="AE266" s="25"/>
      <c r="AF266" s="25"/>
      <c r="AG266" s="25"/>
      <c r="AH266" s="25"/>
      <c r="AI266" s="51"/>
      <c r="AJ266" s="80"/>
      <c r="AK266" s="25"/>
      <c r="AL266" s="25"/>
      <c r="AM266" s="25"/>
      <c r="AN266" s="25"/>
      <c r="AO266" s="51"/>
      <c r="AP266" s="80"/>
      <c r="AQ266" s="25"/>
      <c r="AR266" s="25"/>
      <c r="AS266" s="26"/>
      <c r="AT266" s="20" t="s">
        <v>867</v>
      </c>
      <c r="AW266" s="25"/>
      <c r="AX266" s="25"/>
      <c r="AY266" s="37"/>
      <c r="AZ266" s="25"/>
      <c r="BA266" s="35"/>
      <c r="BB266" s="25"/>
      <c r="BC266" s="25"/>
      <c r="BD266" s="25"/>
      <c r="BE266" s="25"/>
      <c r="BF266" s="25"/>
      <c r="BG266" s="25"/>
      <c r="BH266" s="25"/>
      <c r="BI266" s="37"/>
      <c r="BJ266" s="25"/>
      <c r="BK266" s="25"/>
    </row>
    <row r="267" spans="3:63" x14ac:dyDescent="0.35">
      <c r="C267" s="25"/>
      <c r="D267" s="25"/>
      <c r="E267" s="35"/>
      <c r="F267" s="102"/>
      <c r="G267" s="102"/>
      <c r="H267" s="25"/>
      <c r="I267" s="37"/>
      <c r="J267" s="37"/>
      <c r="K267" s="109"/>
      <c r="L267" s="111"/>
      <c r="M267" s="111"/>
      <c r="Q267" s="20" t="s">
        <v>867</v>
      </c>
      <c r="R267" s="24"/>
      <c r="S267" s="25"/>
      <c r="U267" s="25"/>
      <c r="V267" s="64"/>
      <c r="W267" s="70"/>
      <c r="X267" s="71"/>
      <c r="Y267" s="71"/>
      <c r="Z267" s="57"/>
      <c r="AA267" s="57"/>
      <c r="AB267" s="56"/>
      <c r="AC267" s="56" t="str">
        <f ca="1">IFERROR(IF(ISBLANK(AB267),"-",AB267-_xlfn.XLOOKUP(T267,AI:AI,AJ:AJ)),"-")</f>
        <v>-</v>
      </c>
      <c r="AD267" s="56" t="str">
        <f ca="1">IFERROR(IF(ISBLANK(AB267),"-",AB267-_xlfn.XLOOKUP(T267,AO:AO,AP:AP)),"-")</f>
        <v>-</v>
      </c>
      <c r="AE267" s="25"/>
      <c r="AF267" s="25"/>
      <c r="AG267" s="25"/>
      <c r="AH267" s="25"/>
      <c r="AI267" s="51"/>
      <c r="AJ267" s="80"/>
      <c r="AK267" s="25"/>
      <c r="AL267" s="25"/>
      <c r="AM267" s="25"/>
      <c r="AN267" s="25"/>
      <c r="AO267" s="51"/>
      <c r="AP267" s="80"/>
      <c r="AQ267" s="25"/>
      <c r="AR267" s="25"/>
      <c r="AS267" s="26"/>
      <c r="AT267" s="20" t="s">
        <v>867</v>
      </c>
      <c r="AW267" s="25"/>
      <c r="AX267" s="25"/>
      <c r="AY267" s="37"/>
      <c r="AZ267" s="25"/>
      <c r="BA267" s="35"/>
      <c r="BB267" s="25"/>
      <c r="BC267" s="25"/>
      <c r="BD267" s="25"/>
      <c r="BE267" s="25"/>
      <c r="BF267" s="25"/>
      <c r="BG267" s="25"/>
      <c r="BH267" s="25"/>
      <c r="BI267" s="37"/>
      <c r="BJ267" s="25"/>
      <c r="BK267" s="25"/>
    </row>
    <row r="268" spans="3:63" x14ac:dyDescent="0.35">
      <c r="C268" s="25"/>
      <c r="D268" s="25"/>
      <c r="E268" s="35"/>
      <c r="F268" s="102"/>
      <c r="G268" s="102"/>
      <c r="H268" s="25"/>
      <c r="I268" s="37"/>
      <c r="J268" s="37"/>
      <c r="K268" s="109"/>
      <c r="L268" s="111"/>
      <c r="M268" s="111"/>
      <c r="Q268" s="20" t="s">
        <v>867</v>
      </c>
      <c r="R268" s="24"/>
      <c r="S268" s="25"/>
      <c r="U268" s="25"/>
      <c r="V268" s="64"/>
      <c r="W268" s="70"/>
      <c r="X268" s="71"/>
      <c r="Y268" s="71"/>
      <c r="Z268" s="57"/>
      <c r="AA268" s="57"/>
      <c r="AB268" s="56"/>
      <c r="AC268" s="56" t="str">
        <f ca="1">IFERROR(IF(ISBLANK(AB268),"-",AB268-_xlfn.XLOOKUP(T268,AI:AI,AJ:AJ)),"-")</f>
        <v>-</v>
      </c>
      <c r="AD268" s="56" t="str">
        <f ca="1">IFERROR(IF(ISBLANK(AB268),"-",AB268-_xlfn.XLOOKUP(T268,AO:AO,AP:AP)),"-")</f>
        <v>-</v>
      </c>
      <c r="AE268" s="25"/>
      <c r="AF268" s="25"/>
      <c r="AG268" s="25"/>
      <c r="AH268" s="25"/>
      <c r="AI268" s="51"/>
      <c r="AJ268" s="80"/>
      <c r="AK268" s="25"/>
      <c r="AL268" s="25"/>
      <c r="AM268" s="25"/>
      <c r="AN268" s="25"/>
      <c r="AO268" s="51"/>
      <c r="AP268" s="80"/>
      <c r="AQ268" s="25"/>
      <c r="AR268" s="25"/>
      <c r="AS268" s="26"/>
      <c r="AT268" s="20" t="s">
        <v>867</v>
      </c>
      <c r="AW268" s="25"/>
      <c r="AX268" s="25"/>
      <c r="AY268" s="37"/>
      <c r="AZ268" s="25"/>
      <c r="BA268" s="35"/>
      <c r="BB268" s="25"/>
      <c r="BC268" s="25"/>
      <c r="BD268" s="25"/>
      <c r="BE268" s="25"/>
      <c r="BF268" s="25"/>
      <c r="BG268" s="25"/>
      <c r="BH268" s="25"/>
      <c r="BI268" s="37"/>
      <c r="BJ268" s="25"/>
      <c r="BK268" s="25"/>
    </row>
    <row r="269" spans="3:63" x14ac:dyDescent="0.35">
      <c r="C269" s="25"/>
      <c r="D269" s="25"/>
      <c r="E269" s="35"/>
      <c r="F269" s="102"/>
      <c r="G269" s="102"/>
      <c r="H269" s="25"/>
      <c r="I269" s="37"/>
      <c r="J269" s="37"/>
      <c r="K269" s="109"/>
      <c r="L269" s="111"/>
      <c r="M269" s="111"/>
      <c r="Q269" s="20" t="s">
        <v>867</v>
      </c>
      <c r="R269" s="24"/>
      <c r="S269" s="25"/>
      <c r="U269" s="25"/>
      <c r="V269" s="64"/>
      <c r="W269" s="70"/>
      <c r="X269" s="71"/>
      <c r="Y269" s="71"/>
      <c r="Z269" s="57"/>
      <c r="AA269" s="57"/>
      <c r="AB269" s="56"/>
      <c r="AC269" s="56" t="str">
        <f ca="1">IFERROR(IF(ISBLANK(AB269),"-",AB269-_xlfn.XLOOKUP(T269,AI:AI,AJ:AJ)),"-")</f>
        <v>-</v>
      </c>
      <c r="AD269" s="56" t="str">
        <f ca="1">IFERROR(IF(ISBLANK(AB269),"-",AB269-_xlfn.XLOOKUP(T269,AO:AO,AP:AP)),"-")</f>
        <v>-</v>
      </c>
      <c r="AE269" s="25"/>
      <c r="AF269" s="25"/>
      <c r="AG269" s="25"/>
      <c r="AH269" s="25"/>
      <c r="AI269" s="51"/>
      <c r="AJ269" s="80"/>
      <c r="AK269" s="25"/>
      <c r="AL269" s="25"/>
      <c r="AM269" s="25"/>
      <c r="AN269" s="25"/>
      <c r="AO269" s="51"/>
      <c r="AP269" s="80"/>
      <c r="AQ269" s="25"/>
      <c r="AR269" s="25"/>
      <c r="AS269" s="26"/>
      <c r="AT269" s="20" t="s">
        <v>867</v>
      </c>
      <c r="AW269" s="25"/>
      <c r="AX269" s="25"/>
      <c r="AY269" s="37"/>
      <c r="AZ269" s="25"/>
      <c r="BA269" s="35"/>
      <c r="BB269" s="25"/>
      <c r="BC269" s="25"/>
      <c r="BD269" s="25"/>
      <c r="BE269" s="25"/>
      <c r="BF269" s="25"/>
      <c r="BG269" s="25"/>
      <c r="BH269" s="25"/>
      <c r="BI269" s="37"/>
      <c r="BJ269" s="25"/>
      <c r="BK269" s="25"/>
    </row>
    <row r="270" spans="3:63" x14ac:dyDescent="0.35">
      <c r="C270" s="25"/>
      <c r="D270" s="25"/>
      <c r="E270" s="35"/>
      <c r="F270" s="102"/>
      <c r="G270" s="102"/>
      <c r="H270" s="25"/>
      <c r="I270" s="37"/>
      <c r="J270" s="37"/>
      <c r="K270" s="109"/>
      <c r="L270" s="111"/>
      <c r="M270" s="111"/>
      <c r="Q270" s="20" t="s">
        <v>867</v>
      </c>
      <c r="R270" s="24"/>
      <c r="S270" s="25"/>
      <c r="U270" s="25"/>
      <c r="V270" s="64"/>
      <c r="W270" s="70"/>
      <c r="X270" s="71"/>
      <c r="Y270" s="71"/>
      <c r="Z270" s="57"/>
      <c r="AA270" s="57"/>
      <c r="AB270" s="56"/>
      <c r="AC270" s="56" t="str">
        <f ca="1">IFERROR(IF(ISBLANK(AB270),"-",AB270-_xlfn.XLOOKUP(T270,AI:AI,AJ:AJ)),"-")</f>
        <v>-</v>
      </c>
      <c r="AD270" s="56" t="str">
        <f ca="1">IFERROR(IF(ISBLANK(AB270),"-",AB270-_xlfn.XLOOKUP(T270,AO:AO,AP:AP)),"-")</f>
        <v>-</v>
      </c>
      <c r="AE270" s="25"/>
      <c r="AF270" s="25"/>
      <c r="AG270" s="25"/>
      <c r="AH270" s="25"/>
      <c r="AI270" s="51"/>
      <c r="AJ270" s="80"/>
      <c r="AK270" s="25"/>
      <c r="AL270" s="25"/>
      <c r="AM270" s="25"/>
      <c r="AN270" s="25"/>
      <c r="AO270" s="51"/>
      <c r="AP270" s="80"/>
      <c r="AQ270" s="25"/>
      <c r="AR270" s="25"/>
      <c r="AS270" s="26"/>
      <c r="AT270" s="20" t="s">
        <v>867</v>
      </c>
      <c r="AW270" s="25"/>
      <c r="AX270" s="25"/>
      <c r="AY270" s="37"/>
      <c r="AZ270" s="25"/>
      <c r="BA270" s="35"/>
      <c r="BB270" s="25"/>
      <c r="BC270" s="25"/>
      <c r="BD270" s="25"/>
      <c r="BE270" s="25"/>
      <c r="BF270" s="25"/>
      <c r="BG270" s="25"/>
      <c r="BH270" s="25"/>
      <c r="BI270" s="37"/>
      <c r="BJ270" s="25"/>
      <c r="BK270" s="25"/>
    </row>
    <row r="271" spans="3:63" x14ac:dyDescent="0.35">
      <c r="C271" s="25"/>
      <c r="D271" s="25"/>
      <c r="E271" s="35"/>
      <c r="F271" s="102"/>
      <c r="G271" s="102"/>
      <c r="H271" s="25"/>
      <c r="I271" s="37"/>
      <c r="J271" s="37"/>
      <c r="K271" s="109"/>
      <c r="L271" s="111"/>
      <c r="M271" s="111"/>
      <c r="Q271" s="20" t="s">
        <v>867</v>
      </c>
      <c r="R271" s="24"/>
      <c r="S271" s="25"/>
      <c r="U271" s="25"/>
      <c r="V271" s="64"/>
      <c r="W271" s="70"/>
      <c r="X271" s="71"/>
      <c r="Y271" s="71"/>
      <c r="Z271" s="57"/>
      <c r="AA271" s="57"/>
      <c r="AB271" s="56"/>
      <c r="AC271" s="56" t="str">
        <f ca="1">IFERROR(IF(ISBLANK(AB271),"-",AB271-_xlfn.XLOOKUP(T271,AI:AI,AJ:AJ)),"-")</f>
        <v>-</v>
      </c>
      <c r="AD271" s="56" t="str">
        <f ca="1">IFERROR(IF(ISBLANK(AB271),"-",AB271-_xlfn.XLOOKUP(T271,AO:AO,AP:AP)),"-")</f>
        <v>-</v>
      </c>
      <c r="AE271" s="25"/>
      <c r="AF271" s="25"/>
      <c r="AG271" s="25"/>
      <c r="AH271" s="25"/>
      <c r="AI271" s="51"/>
      <c r="AJ271" s="80"/>
      <c r="AK271" s="25"/>
      <c r="AL271" s="25"/>
      <c r="AM271" s="25"/>
      <c r="AN271" s="25"/>
      <c r="AO271" s="51"/>
      <c r="AP271" s="80"/>
      <c r="AQ271" s="25"/>
      <c r="AR271" s="25"/>
      <c r="AS271" s="26"/>
      <c r="AT271" s="20" t="s">
        <v>867</v>
      </c>
      <c r="AW271" s="25"/>
      <c r="AX271" s="25"/>
      <c r="AY271" s="37"/>
      <c r="AZ271" s="25"/>
      <c r="BA271" s="35"/>
      <c r="BB271" s="25"/>
      <c r="BC271" s="25"/>
      <c r="BD271" s="25"/>
      <c r="BE271" s="25"/>
      <c r="BF271" s="25"/>
      <c r="BG271" s="25"/>
      <c r="BH271" s="25"/>
      <c r="BI271" s="37"/>
      <c r="BJ271" s="25"/>
      <c r="BK271" s="25"/>
    </row>
    <row r="272" spans="3:63" x14ac:dyDescent="0.35">
      <c r="C272" s="25"/>
      <c r="D272" s="25"/>
      <c r="E272" s="35"/>
      <c r="F272" s="102"/>
      <c r="G272" s="102"/>
      <c r="H272" s="25"/>
      <c r="I272" s="37"/>
      <c r="J272" s="37"/>
      <c r="K272" s="109"/>
      <c r="L272" s="111"/>
      <c r="M272" s="111"/>
      <c r="Q272" s="20" t="s">
        <v>867</v>
      </c>
      <c r="R272" s="24"/>
      <c r="S272" s="25"/>
      <c r="U272" s="25"/>
      <c r="V272" s="64"/>
      <c r="W272" s="70"/>
      <c r="X272" s="71"/>
      <c r="Y272" s="71"/>
      <c r="Z272" s="57"/>
      <c r="AA272" s="57"/>
      <c r="AB272" s="56"/>
      <c r="AC272" s="56" t="str">
        <f ca="1">IFERROR(IF(ISBLANK(AB272),"-",AB272-_xlfn.XLOOKUP(T272,AI:AI,AJ:AJ)),"-")</f>
        <v>-</v>
      </c>
      <c r="AD272" s="56" t="str">
        <f ca="1">IFERROR(IF(ISBLANK(AB272),"-",AB272-_xlfn.XLOOKUP(T272,AO:AO,AP:AP)),"-")</f>
        <v>-</v>
      </c>
      <c r="AE272" s="25"/>
      <c r="AF272" s="25"/>
      <c r="AG272" s="25"/>
      <c r="AH272" s="25"/>
      <c r="AI272" s="51"/>
      <c r="AJ272" s="80"/>
      <c r="AK272" s="25"/>
      <c r="AL272" s="25"/>
      <c r="AM272" s="25"/>
      <c r="AN272" s="25"/>
      <c r="AO272" s="51"/>
      <c r="AP272" s="80"/>
      <c r="AQ272" s="25"/>
      <c r="AR272" s="25"/>
      <c r="AS272" s="26"/>
      <c r="AT272" s="20" t="s">
        <v>867</v>
      </c>
      <c r="AW272" s="25"/>
      <c r="AX272" s="25"/>
      <c r="AY272" s="37"/>
      <c r="AZ272" s="25"/>
      <c r="BA272" s="35"/>
      <c r="BB272" s="25"/>
      <c r="BC272" s="25"/>
      <c r="BD272" s="25"/>
      <c r="BE272" s="25"/>
      <c r="BF272" s="25"/>
      <c r="BG272" s="25"/>
      <c r="BH272" s="25"/>
      <c r="BI272" s="37"/>
      <c r="BJ272" s="25"/>
      <c r="BK272" s="25"/>
    </row>
    <row r="273" spans="3:63" x14ac:dyDescent="0.35">
      <c r="C273" s="25"/>
      <c r="D273" s="25"/>
      <c r="E273" s="35"/>
      <c r="F273" s="102"/>
      <c r="G273" s="102"/>
      <c r="H273" s="25"/>
      <c r="I273" s="37"/>
      <c r="J273" s="37"/>
      <c r="K273" s="109"/>
      <c r="L273" s="111"/>
      <c r="M273" s="111"/>
      <c r="Q273" s="20" t="s">
        <v>867</v>
      </c>
      <c r="R273" s="24"/>
      <c r="S273" s="25"/>
      <c r="U273" s="25"/>
      <c r="V273" s="64"/>
      <c r="W273" s="70"/>
      <c r="X273" s="71"/>
      <c r="Y273" s="71"/>
      <c r="Z273" s="57"/>
      <c r="AA273" s="57"/>
      <c r="AB273" s="56"/>
      <c r="AC273" s="56" t="str">
        <f ca="1">IFERROR(IF(ISBLANK(AB273),"-",AB273-_xlfn.XLOOKUP(T273,AI:AI,AJ:AJ)),"-")</f>
        <v>-</v>
      </c>
      <c r="AD273" s="56" t="str">
        <f ca="1">IFERROR(IF(ISBLANK(AB273),"-",AB273-_xlfn.XLOOKUP(T273,AO:AO,AP:AP)),"-")</f>
        <v>-</v>
      </c>
      <c r="AE273" s="25"/>
      <c r="AF273" s="25"/>
      <c r="AG273" s="25"/>
      <c r="AH273" s="25"/>
      <c r="AI273" s="51"/>
      <c r="AJ273" s="80"/>
      <c r="AK273" s="25"/>
      <c r="AL273" s="25"/>
      <c r="AM273" s="25"/>
      <c r="AN273" s="25"/>
      <c r="AO273" s="51"/>
      <c r="AP273" s="80"/>
      <c r="AQ273" s="25"/>
      <c r="AR273" s="25"/>
      <c r="AS273" s="26"/>
      <c r="AT273" s="20" t="s">
        <v>867</v>
      </c>
      <c r="AW273" s="25"/>
      <c r="AX273" s="25"/>
      <c r="AY273" s="37"/>
      <c r="AZ273" s="25"/>
      <c r="BA273" s="35"/>
      <c r="BB273" s="25"/>
      <c r="BC273" s="25"/>
      <c r="BD273" s="25"/>
      <c r="BE273" s="25"/>
      <c r="BF273" s="25"/>
      <c r="BG273" s="25"/>
      <c r="BH273" s="25"/>
      <c r="BI273" s="37"/>
      <c r="BJ273" s="25"/>
      <c r="BK273" s="25"/>
    </row>
    <row r="274" spans="3:63" x14ac:dyDescent="0.35">
      <c r="C274" s="25"/>
      <c r="D274" s="25"/>
      <c r="E274" s="35"/>
      <c r="F274" s="102"/>
      <c r="G274" s="102"/>
      <c r="H274" s="25"/>
      <c r="I274" s="37"/>
      <c r="J274" s="37"/>
      <c r="K274" s="109"/>
      <c r="L274" s="111"/>
      <c r="M274" s="111"/>
      <c r="Q274" s="20" t="s">
        <v>867</v>
      </c>
      <c r="R274" s="24"/>
      <c r="S274" s="25"/>
      <c r="U274" s="25"/>
      <c r="V274" s="64"/>
      <c r="W274" s="70"/>
      <c r="X274" s="71"/>
      <c r="Y274" s="71"/>
      <c r="Z274" s="57"/>
      <c r="AA274" s="57"/>
      <c r="AB274" s="56"/>
      <c r="AC274" s="56" t="str">
        <f ca="1">IFERROR(IF(ISBLANK(AB274),"-",AB274-_xlfn.XLOOKUP(T274,AI:AI,AJ:AJ)),"-")</f>
        <v>-</v>
      </c>
      <c r="AD274" s="56" t="str">
        <f ca="1">IFERROR(IF(ISBLANK(AB274),"-",AB274-_xlfn.XLOOKUP(T274,AO:AO,AP:AP)),"-")</f>
        <v>-</v>
      </c>
      <c r="AE274" s="25"/>
      <c r="AF274" s="25"/>
      <c r="AG274" s="25"/>
      <c r="AH274" s="25"/>
      <c r="AI274" s="51"/>
      <c r="AJ274" s="80"/>
      <c r="AK274" s="25"/>
      <c r="AL274" s="25"/>
      <c r="AM274" s="25"/>
      <c r="AN274" s="25"/>
      <c r="AO274" s="51"/>
      <c r="AP274" s="80"/>
      <c r="AQ274" s="25"/>
      <c r="AR274" s="25"/>
      <c r="AS274" s="26"/>
      <c r="AT274" s="20" t="s">
        <v>867</v>
      </c>
      <c r="AW274" s="25"/>
      <c r="AX274" s="25"/>
      <c r="AY274" s="37"/>
      <c r="AZ274" s="25"/>
      <c r="BA274" s="35"/>
      <c r="BB274" s="25"/>
      <c r="BC274" s="25"/>
      <c r="BD274" s="25"/>
      <c r="BE274" s="25"/>
      <c r="BF274" s="25"/>
      <c r="BG274" s="25"/>
      <c r="BH274" s="25"/>
      <c r="BI274" s="37"/>
      <c r="BJ274" s="25"/>
      <c r="BK274" s="25"/>
    </row>
    <row r="275" spans="3:63" x14ac:dyDescent="0.35">
      <c r="K275" s="110"/>
      <c r="L275" s="112"/>
      <c r="M275" s="112"/>
      <c r="Q275" s="20" t="s">
        <v>867</v>
      </c>
      <c r="R275" s="24"/>
      <c r="S275" s="25"/>
      <c r="T275" s="25"/>
      <c r="U275" s="25"/>
      <c r="V275" s="64"/>
      <c r="W275" s="70"/>
      <c r="X275" s="71"/>
      <c r="Y275" s="71"/>
      <c r="Z275" s="57"/>
      <c r="AA275" s="57"/>
      <c r="AB275" s="56"/>
      <c r="AC275" s="56" t="str">
        <f ca="1">IFERROR(IF(ISBLANK(AB275),"-",AB275-_xlfn.XLOOKUP(T275,AI:AI,AJ:AJ)),"-")</f>
        <v>-</v>
      </c>
      <c r="AD275" s="56" t="str">
        <f ca="1">IFERROR(IF(ISBLANK(AB275),"-",AB275-_xlfn.XLOOKUP(T275,AO:AO,AP:AP)),"-")</f>
        <v>-</v>
      </c>
      <c r="AE275" s="25"/>
      <c r="AF275" s="25"/>
      <c r="AG275" s="25"/>
      <c r="AH275" s="25"/>
      <c r="AI275" s="51"/>
      <c r="AJ275" s="80"/>
      <c r="AK275" s="25"/>
      <c r="AL275" s="25"/>
      <c r="AM275" s="25"/>
      <c r="AN275" s="25"/>
      <c r="AO275" s="51"/>
      <c r="AP275" s="80"/>
      <c r="AQ275" s="25"/>
      <c r="AR275" s="25"/>
      <c r="AS275" s="26"/>
      <c r="AT275" s="20" t="s">
        <v>867</v>
      </c>
    </row>
    <row r="276" spans="3:63" x14ac:dyDescent="0.35">
      <c r="K276" s="110"/>
      <c r="L276" s="112"/>
      <c r="M276" s="112"/>
      <c r="Q276" s="20" t="s">
        <v>867</v>
      </c>
      <c r="R276" s="24"/>
      <c r="S276" s="25"/>
      <c r="T276" s="25"/>
      <c r="U276" s="25"/>
      <c r="V276" s="64"/>
      <c r="W276" s="70"/>
      <c r="X276" s="71"/>
      <c r="Y276" s="71"/>
      <c r="Z276" s="57"/>
      <c r="AA276" s="57"/>
      <c r="AB276" s="56"/>
      <c r="AC276" s="56" t="str">
        <f ca="1">IFERROR(IF(ISBLANK(AB276),"-",AB276-_xlfn.XLOOKUP(T276,AI:AI,AJ:AJ)),"-")</f>
        <v>-</v>
      </c>
      <c r="AD276" s="56" t="str">
        <f ca="1">IFERROR(IF(ISBLANK(AB276),"-",AB276-_xlfn.XLOOKUP(T276,AO:AO,AP:AP)),"-")</f>
        <v>-</v>
      </c>
      <c r="AE276" s="25"/>
      <c r="AF276" s="25"/>
      <c r="AG276" s="25"/>
      <c r="AH276" s="25"/>
      <c r="AI276" s="51"/>
      <c r="AJ276" s="80"/>
      <c r="AK276" s="25"/>
      <c r="AL276" s="25"/>
      <c r="AM276" s="25"/>
      <c r="AN276" s="25"/>
      <c r="AO276" s="51"/>
      <c r="AP276" s="80"/>
      <c r="AQ276" s="25"/>
      <c r="AR276" s="25"/>
      <c r="AS276" s="26"/>
      <c r="AT276" s="20" t="s">
        <v>867</v>
      </c>
    </row>
    <row r="277" spans="3:63" x14ac:dyDescent="0.35">
      <c r="K277" s="110"/>
      <c r="L277" s="112"/>
      <c r="M277" s="112"/>
      <c r="Q277" s="20" t="s">
        <v>867</v>
      </c>
      <c r="R277" s="24"/>
      <c r="S277" s="25"/>
      <c r="T277" s="25"/>
      <c r="U277" s="25"/>
      <c r="V277" s="64"/>
      <c r="W277" s="70"/>
      <c r="X277" s="71"/>
      <c r="Y277" s="71"/>
      <c r="Z277" s="57"/>
      <c r="AA277" s="57"/>
      <c r="AB277" s="56"/>
      <c r="AC277" s="56" t="str">
        <f ca="1">IFERROR(IF(ISBLANK(AB277),"-",AB277-_xlfn.XLOOKUP(T277,AI:AI,AJ:AJ)),"-")</f>
        <v>-</v>
      </c>
      <c r="AD277" s="56" t="str">
        <f ca="1">IFERROR(IF(ISBLANK(AB277),"-",AB277-_xlfn.XLOOKUP(T277,AO:AO,AP:AP)),"-")</f>
        <v>-</v>
      </c>
      <c r="AE277" s="25"/>
      <c r="AF277" s="25"/>
      <c r="AG277" s="25"/>
      <c r="AH277" s="25"/>
      <c r="AI277" s="51"/>
      <c r="AJ277" s="80"/>
      <c r="AK277" s="25"/>
      <c r="AL277" s="25"/>
      <c r="AM277" s="25"/>
      <c r="AN277" s="25"/>
      <c r="AO277" s="51"/>
      <c r="AP277" s="80"/>
      <c r="AQ277" s="25"/>
      <c r="AR277" s="25"/>
      <c r="AS277" s="26"/>
      <c r="AT277" s="20" t="s">
        <v>867</v>
      </c>
    </row>
    <row r="278" spans="3:63" x14ac:dyDescent="0.35">
      <c r="K278" s="110"/>
      <c r="L278" s="112"/>
      <c r="M278" s="112"/>
      <c r="Q278" s="20" t="s">
        <v>867</v>
      </c>
      <c r="R278" s="24"/>
      <c r="S278" s="25"/>
      <c r="T278" s="25"/>
      <c r="U278" s="25"/>
      <c r="V278" s="64"/>
      <c r="W278" s="70"/>
      <c r="X278" s="71"/>
      <c r="Y278" s="71"/>
      <c r="Z278" s="57"/>
      <c r="AA278" s="57"/>
      <c r="AB278" s="56"/>
      <c r="AC278" s="56" t="str">
        <f ca="1">IFERROR(IF(ISBLANK(AB278),"-",AB278-_xlfn.XLOOKUP(T278,AI:AI,AJ:AJ)),"-")</f>
        <v>-</v>
      </c>
      <c r="AD278" s="56" t="str">
        <f ca="1">IFERROR(IF(ISBLANK(AB278),"-",AB278-_xlfn.XLOOKUP(T278,AO:AO,AP:AP)),"-")</f>
        <v>-</v>
      </c>
      <c r="AE278" s="25"/>
      <c r="AF278" s="25"/>
      <c r="AG278" s="25"/>
      <c r="AH278" s="25"/>
      <c r="AI278" s="51"/>
      <c r="AJ278" s="80"/>
      <c r="AK278" s="25"/>
      <c r="AL278" s="25"/>
      <c r="AM278" s="25"/>
      <c r="AN278" s="25"/>
      <c r="AO278" s="51"/>
      <c r="AP278" s="80"/>
      <c r="AQ278" s="25"/>
      <c r="AR278" s="25"/>
      <c r="AS278" s="26"/>
      <c r="AT278" s="20" t="s">
        <v>867</v>
      </c>
    </row>
    <row r="279" spans="3:63" x14ac:dyDescent="0.35">
      <c r="K279" s="110"/>
      <c r="L279" s="112"/>
      <c r="M279" s="112"/>
      <c r="Q279" s="20" t="s">
        <v>867</v>
      </c>
      <c r="R279" s="24"/>
      <c r="S279" s="25"/>
      <c r="T279" s="25"/>
      <c r="U279" s="25"/>
      <c r="V279" s="64"/>
      <c r="W279" s="70"/>
      <c r="X279" s="71"/>
      <c r="Y279" s="71"/>
      <c r="Z279" s="57"/>
      <c r="AA279" s="57"/>
      <c r="AB279" s="56"/>
      <c r="AC279" s="56" t="str">
        <f ca="1">IFERROR(IF(ISBLANK(AB279),"-",AB279-_xlfn.XLOOKUP(T279,AI:AI,AJ:AJ)),"-")</f>
        <v>-</v>
      </c>
      <c r="AD279" s="56" t="str">
        <f ca="1">IFERROR(IF(ISBLANK(AB279),"-",AB279-_xlfn.XLOOKUP(T279,AO:AO,AP:AP)),"-")</f>
        <v>-</v>
      </c>
      <c r="AE279" s="25"/>
      <c r="AF279" s="25"/>
      <c r="AG279" s="25"/>
      <c r="AH279" s="25"/>
      <c r="AI279" s="51"/>
      <c r="AJ279" s="80"/>
      <c r="AK279" s="25"/>
      <c r="AL279" s="25"/>
      <c r="AM279" s="25"/>
      <c r="AN279" s="25"/>
      <c r="AO279" s="51"/>
      <c r="AP279" s="80"/>
      <c r="AQ279" s="25"/>
      <c r="AR279" s="25"/>
      <c r="AS279" s="26"/>
      <c r="AT279" s="20" t="s">
        <v>867</v>
      </c>
    </row>
    <row r="280" spans="3:63" x14ac:dyDescent="0.35">
      <c r="K280" s="110"/>
      <c r="L280" s="112"/>
      <c r="M280" s="112"/>
      <c r="Q280" s="20" t="s">
        <v>867</v>
      </c>
      <c r="R280" s="24"/>
      <c r="S280" s="25"/>
      <c r="T280" s="25"/>
      <c r="U280" s="25"/>
      <c r="V280" s="64"/>
      <c r="W280" s="70"/>
      <c r="X280" s="71"/>
      <c r="Y280" s="71"/>
      <c r="Z280" s="57"/>
      <c r="AA280" s="57"/>
      <c r="AB280" s="56"/>
      <c r="AC280" s="56" t="str">
        <f ca="1">IFERROR(IF(ISBLANK(AB280),"-",AB280-_xlfn.XLOOKUP(T280,AI:AI,AJ:AJ)),"-")</f>
        <v>-</v>
      </c>
      <c r="AD280" s="56" t="str">
        <f ca="1">IFERROR(IF(ISBLANK(AB280),"-",AB280-_xlfn.XLOOKUP(T280,AO:AO,AP:AP)),"-")</f>
        <v>-</v>
      </c>
      <c r="AE280" s="25"/>
      <c r="AF280" s="25"/>
      <c r="AG280" s="25"/>
      <c r="AH280" s="25"/>
      <c r="AI280" s="51"/>
      <c r="AJ280" s="80"/>
      <c r="AK280" s="25"/>
      <c r="AL280" s="25"/>
      <c r="AM280" s="25"/>
      <c r="AN280" s="25"/>
      <c r="AO280" s="51"/>
      <c r="AP280" s="80"/>
      <c r="AQ280" s="25"/>
      <c r="AR280" s="25"/>
      <c r="AS280" s="26"/>
      <c r="AT280" s="20" t="s">
        <v>867</v>
      </c>
    </row>
    <row r="281" spans="3:63" x14ac:dyDescent="0.35">
      <c r="K281" s="110"/>
      <c r="L281" s="112"/>
      <c r="M281" s="112"/>
      <c r="Q281" s="20" t="s">
        <v>867</v>
      </c>
      <c r="R281" s="24"/>
      <c r="S281" s="25"/>
      <c r="T281" s="25"/>
      <c r="U281" s="25"/>
      <c r="V281" s="64"/>
      <c r="W281" s="70"/>
      <c r="X281" s="71"/>
      <c r="Y281" s="71"/>
      <c r="Z281" s="57"/>
      <c r="AA281" s="57"/>
      <c r="AB281" s="56"/>
      <c r="AC281" s="56" t="str">
        <f ca="1">IFERROR(IF(ISBLANK(AB281),"-",AB281-_xlfn.XLOOKUP(T281,AI:AI,AJ:AJ)),"-")</f>
        <v>-</v>
      </c>
      <c r="AD281" s="56" t="str">
        <f ca="1">IFERROR(IF(ISBLANK(AB281),"-",AB281-_xlfn.XLOOKUP(T281,AO:AO,AP:AP)),"-")</f>
        <v>-</v>
      </c>
      <c r="AE281" s="25"/>
      <c r="AF281" s="25"/>
      <c r="AG281" s="25"/>
      <c r="AH281" s="25"/>
      <c r="AI281" s="51"/>
      <c r="AJ281" s="80"/>
      <c r="AK281" s="25"/>
      <c r="AL281" s="25"/>
      <c r="AM281" s="25"/>
      <c r="AN281" s="25"/>
      <c r="AO281" s="51"/>
      <c r="AP281" s="80"/>
      <c r="AQ281" s="25"/>
      <c r="AR281" s="25"/>
      <c r="AS281" s="26"/>
      <c r="AT281" s="20" t="s">
        <v>867</v>
      </c>
    </row>
    <row r="282" spans="3:63" x14ac:dyDescent="0.35">
      <c r="K282" s="110"/>
      <c r="L282" s="112"/>
      <c r="M282" s="112"/>
      <c r="Q282" s="20" t="s">
        <v>867</v>
      </c>
      <c r="R282" s="24"/>
      <c r="S282" s="25"/>
      <c r="T282" s="25"/>
      <c r="U282" s="25"/>
      <c r="V282" s="64"/>
      <c r="W282" s="70"/>
      <c r="X282" s="71"/>
      <c r="Y282" s="71"/>
      <c r="Z282" s="57"/>
      <c r="AA282" s="57"/>
      <c r="AB282" s="56"/>
      <c r="AC282" s="56" t="str">
        <f ca="1">IFERROR(IF(ISBLANK(AB282),"-",AB282-_xlfn.XLOOKUP(T282,AI:AI,AJ:AJ)),"-")</f>
        <v>-</v>
      </c>
      <c r="AD282" s="56" t="str">
        <f ca="1">IFERROR(IF(ISBLANK(AB282),"-",AB282-_xlfn.XLOOKUP(T282,AO:AO,AP:AP)),"-")</f>
        <v>-</v>
      </c>
      <c r="AE282" s="25"/>
      <c r="AF282" s="25"/>
      <c r="AG282" s="25"/>
      <c r="AH282" s="25"/>
      <c r="AI282" s="51"/>
      <c r="AJ282" s="80"/>
      <c r="AK282" s="25"/>
      <c r="AL282" s="25"/>
      <c r="AM282" s="25"/>
      <c r="AN282" s="25"/>
      <c r="AO282" s="51"/>
      <c r="AP282" s="80"/>
      <c r="AQ282" s="25"/>
      <c r="AR282" s="25"/>
      <c r="AS282" s="26"/>
      <c r="AT282" s="20" t="s">
        <v>867</v>
      </c>
    </row>
    <row r="283" spans="3:63" x14ac:dyDescent="0.35">
      <c r="K283" s="110"/>
      <c r="L283" s="112"/>
      <c r="M283" s="112"/>
      <c r="Q283" s="20" t="s">
        <v>867</v>
      </c>
      <c r="R283" s="24"/>
      <c r="S283" s="25"/>
      <c r="T283" s="25"/>
      <c r="U283" s="25"/>
      <c r="V283" s="64"/>
      <c r="W283" s="70"/>
      <c r="X283" s="71"/>
      <c r="Y283" s="71"/>
      <c r="Z283" s="57"/>
      <c r="AA283" s="57"/>
      <c r="AB283" s="56"/>
      <c r="AC283" s="56" t="str">
        <f ca="1">IFERROR(IF(ISBLANK(AB283),"-",AB283-_xlfn.XLOOKUP(T283,AI:AI,AJ:AJ)),"-")</f>
        <v>-</v>
      </c>
      <c r="AD283" s="56" t="str">
        <f ca="1">IFERROR(IF(ISBLANK(AB283),"-",AB283-_xlfn.XLOOKUP(T283,AO:AO,AP:AP)),"-")</f>
        <v>-</v>
      </c>
      <c r="AE283" s="25"/>
      <c r="AF283" s="25"/>
      <c r="AG283" s="25"/>
      <c r="AH283" s="25"/>
      <c r="AI283" s="51"/>
      <c r="AJ283" s="80"/>
      <c r="AK283" s="25"/>
      <c r="AL283" s="25"/>
      <c r="AM283" s="25"/>
      <c r="AN283" s="25"/>
      <c r="AO283" s="51"/>
      <c r="AP283" s="80"/>
      <c r="AQ283" s="25"/>
      <c r="AR283" s="25"/>
      <c r="AS283" s="26"/>
      <c r="AT283" s="20" t="s">
        <v>867</v>
      </c>
    </row>
    <row r="284" spans="3:63" x14ac:dyDescent="0.35">
      <c r="K284" s="110"/>
      <c r="L284" s="112"/>
      <c r="M284" s="112"/>
      <c r="Q284" s="20" t="s">
        <v>867</v>
      </c>
      <c r="R284" s="24"/>
      <c r="S284" s="25"/>
      <c r="T284" s="25"/>
      <c r="U284" s="25"/>
      <c r="V284" s="64"/>
      <c r="W284" s="70"/>
      <c r="X284" s="71"/>
      <c r="Y284" s="71"/>
      <c r="Z284" s="57"/>
      <c r="AA284" s="57"/>
      <c r="AB284" s="56"/>
      <c r="AC284" s="56" t="str">
        <f ca="1">IFERROR(IF(ISBLANK(AB284),"-",AB284-_xlfn.XLOOKUP(T284,AI:AI,AJ:AJ)),"-")</f>
        <v>-</v>
      </c>
      <c r="AD284" s="56" t="str">
        <f ca="1">IFERROR(IF(ISBLANK(AB284),"-",AB284-_xlfn.XLOOKUP(T284,AO:AO,AP:AP)),"-")</f>
        <v>-</v>
      </c>
      <c r="AE284" s="25"/>
      <c r="AF284" s="25"/>
      <c r="AG284" s="25"/>
      <c r="AH284" s="25"/>
      <c r="AI284" s="51"/>
      <c r="AJ284" s="80"/>
      <c r="AK284" s="25"/>
      <c r="AL284" s="25"/>
      <c r="AM284" s="25"/>
      <c r="AN284" s="25"/>
      <c r="AO284" s="51"/>
      <c r="AP284" s="80"/>
      <c r="AQ284" s="25"/>
      <c r="AR284" s="25"/>
      <c r="AS284" s="26"/>
      <c r="AT284" s="20" t="s">
        <v>867</v>
      </c>
    </row>
    <row r="285" spans="3:63" x14ac:dyDescent="0.35">
      <c r="K285" s="110"/>
      <c r="L285" s="112"/>
      <c r="M285" s="112"/>
      <c r="Q285" s="20" t="s">
        <v>867</v>
      </c>
      <c r="R285" s="24"/>
      <c r="S285" s="25"/>
      <c r="T285" s="25"/>
      <c r="U285" s="25"/>
      <c r="V285" s="64"/>
      <c r="W285" s="70"/>
      <c r="X285" s="71"/>
      <c r="Y285" s="71"/>
      <c r="Z285" s="57"/>
      <c r="AA285" s="57"/>
      <c r="AB285" s="56"/>
      <c r="AC285" s="56" t="str">
        <f ca="1">IFERROR(IF(ISBLANK(AB285),"-",AB285-_xlfn.XLOOKUP(T285,AI:AI,AJ:AJ)),"-")</f>
        <v>-</v>
      </c>
      <c r="AD285" s="56" t="str">
        <f ca="1">IFERROR(IF(ISBLANK(AB285),"-",AB285-_xlfn.XLOOKUP(T285,AO:AO,AP:AP)),"-")</f>
        <v>-</v>
      </c>
      <c r="AE285" s="25"/>
      <c r="AF285" s="25"/>
      <c r="AG285" s="25"/>
      <c r="AH285" s="25"/>
      <c r="AI285" s="51"/>
      <c r="AJ285" s="80"/>
      <c r="AK285" s="25"/>
      <c r="AL285" s="25"/>
      <c r="AM285" s="25"/>
      <c r="AN285" s="25"/>
      <c r="AO285" s="51"/>
      <c r="AP285" s="80"/>
      <c r="AQ285" s="25"/>
      <c r="AR285" s="25"/>
      <c r="AS285" s="26"/>
      <c r="AT285" s="20" t="s">
        <v>867</v>
      </c>
    </row>
    <row r="286" spans="3:63" x14ac:dyDescent="0.35">
      <c r="K286" s="110"/>
      <c r="L286" s="112"/>
      <c r="M286" s="112"/>
      <c r="Q286" s="20" t="s">
        <v>867</v>
      </c>
      <c r="R286" s="24"/>
      <c r="S286" s="25"/>
      <c r="T286" s="25"/>
      <c r="U286" s="25"/>
      <c r="V286" s="64"/>
      <c r="W286" s="70"/>
      <c r="X286" s="71"/>
      <c r="Y286" s="71"/>
      <c r="Z286" s="57"/>
      <c r="AA286" s="57"/>
      <c r="AB286" s="56"/>
      <c r="AC286" s="56" t="str">
        <f ca="1">IFERROR(IF(ISBLANK(AB286),"-",AB286-_xlfn.XLOOKUP(T286,AI:AI,AJ:AJ)),"-")</f>
        <v>-</v>
      </c>
      <c r="AD286" s="56" t="str">
        <f ca="1">IFERROR(IF(ISBLANK(AB286),"-",AB286-_xlfn.XLOOKUP(T286,AO:AO,AP:AP)),"-")</f>
        <v>-</v>
      </c>
      <c r="AE286" s="25"/>
      <c r="AF286" s="25"/>
      <c r="AG286" s="25"/>
      <c r="AH286" s="25"/>
      <c r="AI286" s="51"/>
      <c r="AJ286" s="80"/>
      <c r="AK286" s="25"/>
      <c r="AL286" s="25"/>
      <c r="AM286" s="25"/>
      <c r="AN286" s="25"/>
      <c r="AO286" s="51"/>
      <c r="AP286" s="80"/>
      <c r="AQ286" s="25"/>
      <c r="AR286" s="25"/>
      <c r="AS286" s="26"/>
      <c r="AT286" s="20" t="s">
        <v>867</v>
      </c>
    </row>
    <row r="287" spans="3:63" x14ac:dyDescent="0.35">
      <c r="K287" s="110"/>
      <c r="L287" s="112"/>
      <c r="M287" s="112"/>
      <c r="Q287" s="20" t="s">
        <v>867</v>
      </c>
      <c r="R287" s="24"/>
      <c r="S287" s="25"/>
      <c r="T287" s="25"/>
      <c r="U287" s="25"/>
      <c r="V287" s="64"/>
      <c r="W287" s="70"/>
      <c r="X287" s="71"/>
      <c r="Y287" s="71"/>
      <c r="Z287" s="57"/>
      <c r="AA287" s="57"/>
      <c r="AB287" s="56"/>
      <c r="AC287" s="56" t="str">
        <f ca="1">IFERROR(IF(ISBLANK(AB287),"-",AB287-_xlfn.XLOOKUP(T287,AI:AI,AJ:AJ)),"-")</f>
        <v>-</v>
      </c>
      <c r="AD287" s="56" t="str">
        <f ca="1">IFERROR(IF(ISBLANK(AB287),"-",AB287-_xlfn.XLOOKUP(T287,AO:AO,AP:AP)),"-")</f>
        <v>-</v>
      </c>
      <c r="AE287" s="25"/>
      <c r="AF287" s="25"/>
      <c r="AG287" s="25"/>
      <c r="AH287" s="25"/>
      <c r="AI287" s="51"/>
      <c r="AJ287" s="80"/>
      <c r="AK287" s="25"/>
      <c r="AL287" s="25"/>
      <c r="AM287" s="25"/>
      <c r="AN287" s="25"/>
      <c r="AO287" s="51"/>
      <c r="AP287" s="80"/>
      <c r="AQ287" s="25"/>
      <c r="AR287" s="25"/>
      <c r="AS287" s="26"/>
      <c r="AT287" s="20" t="s">
        <v>867</v>
      </c>
    </row>
    <row r="288" spans="3:63" x14ac:dyDescent="0.35">
      <c r="K288" s="110"/>
      <c r="L288" s="112"/>
      <c r="M288" s="112"/>
      <c r="Q288" s="20" t="s">
        <v>867</v>
      </c>
      <c r="R288" s="24"/>
      <c r="S288" s="25"/>
      <c r="T288" s="25"/>
      <c r="U288" s="25"/>
      <c r="V288" s="64"/>
      <c r="W288" s="70"/>
      <c r="X288" s="71"/>
      <c r="Y288" s="71"/>
      <c r="Z288" s="57"/>
      <c r="AA288" s="57"/>
      <c r="AB288" s="56"/>
      <c r="AC288" s="56" t="str">
        <f ca="1">IFERROR(IF(ISBLANK(AB288),"-",AB288-_xlfn.XLOOKUP(T288,AI:AI,AJ:AJ)),"-")</f>
        <v>-</v>
      </c>
      <c r="AD288" s="56" t="str">
        <f ca="1">IFERROR(IF(ISBLANK(AB288),"-",AB288-_xlfn.XLOOKUP(T288,AO:AO,AP:AP)),"-")</f>
        <v>-</v>
      </c>
      <c r="AE288" s="25"/>
      <c r="AF288" s="25"/>
      <c r="AG288" s="25"/>
      <c r="AH288" s="25"/>
      <c r="AI288" s="51"/>
      <c r="AJ288" s="80"/>
      <c r="AK288" s="25"/>
      <c r="AL288" s="25"/>
      <c r="AM288" s="25"/>
      <c r="AN288" s="25"/>
      <c r="AO288" s="51"/>
      <c r="AP288" s="80"/>
      <c r="AQ288" s="25"/>
      <c r="AR288" s="25"/>
      <c r="AS288" s="26"/>
      <c r="AT288" s="20" t="s">
        <v>867</v>
      </c>
    </row>
    <row r="289" spans="11:46" x14ac:dyDescent="0.35">
      <c r="K289" s="110"/>
      <c r="L289" s="112"/>
      <c r="M289" s="112"/>
      <c r="Q289" s="20" t="s">
        <v>867</v>
      </c>
      <c r="R289" s="24"/>
      <c r="S289" s="25"/>
      <c r="T289" s="25"/>
      <c r="U289" s="25"/>
      <c r="V289" s="64"/>
      <c r="W289" s="70"/>
      <c r="X289" s="71"/>
      <c r="Y289" s="71"/>
      <c r="Z289" s="57"/>
      <c r="AA289" s="57"/>
      <c r="AB289" s="56"/>
      <c r="AC289" s="56" t="str">
        <f ca="1">IFERROR(IF(ISBLANK(AB289),"-",AB289-_xlfn.XLOOKUP(T289,AI:AI,AJ:AJ)),"-")</f>
        <v>-</v>
      </c>
      <c r="AD289" s="56" t="str">
        <f ca="1">IFERROR(IF(ISBLANK(AB289),"-",AB289-_xlfn.XLOOKUP(T289,AO:AO,AP:AP)),"-")</f>
        <v>-</v>
      </c>
      <c r="AE289" s="25"/>
      <c r="AF289" s="25"/>
      <c r="AG289" s="25"/>
      <c r="AH289" s="25"/>
      <c r="AI289" s="51"/>
      <c r="AJ289" s="80"/>
      <c r="AK289" s="25"/>
      <c r="AL289" s="25"/>
      <c r="AM289" s="25"/>
      <c r="AN289" s="25"/>
      <c r="AO289" s="51"/>
      <c r="AP289" s="80"/>
      <c r="AQ289" s="25"/>
      <c r="AR289" s="25"/>
      <c r="AS289" s="26"/>
      <c r="AT289" s="20" t="s">
        <v>867</v>
      </c>
    </row>
    <row r="290" spans="11:46" x14ac:dyDescent="0.35">
      <c r="K290" s="110"/>
      <c r="L290" s="112"/>
      <c r="M290" s="112"/>
      <c r="Q290" s="20" t="s">
        <v>867</v>
      </c>
      <c r="R290" s="24"/>
      <c r="S290" s="25"/>
      <c r="T290" s="25"/>
      <c r="U290" s="25"/>
      <c r="V290" s="64"/>
      <c r="W290" s="70"/>
      <c r="X290" s="71"/>
      <c r="Y290" s="71"/>
      <c r="Z290" s="57"/>
      <c r="AA290" s="57"/>
      <c r="AB290" s="56"/>
      <c r="AC290" s="56" t="str">
        <f ca="1">IFERROR(IF(ISBLANK(AB290),"-",AB290-_xlfn.XLOOKUP(T290,AI:AI,AJ:AJ)),"-")</f>
        <v>-</v>
      </c>
      <c r="AD290" s="56" t="str">
        <f ca="1">IFERROR(IF(ISBLANK(AB290),"-",AB290-_xlfn.XLOOKUP(T290,AO:AO,AP:AP)),"-")</f>
        <v>-</v>
      </c>
      <c r="AE290" s="25"/>
      <c r="AF290" s="25"/>
      <c r="AG290" s="25"/>
      <c r="AH290" s="25"/>
      <c r="AI290" s="51"/>
      <c r="AJ290" s="80"/>
      <c r="AK290" s="25"/>
      <c r="AL290" s="25"/>
      <c r="AM290" s="25"/>
      <c r="AN290" s="25"/>
      <c r="AO290" s="51"/>
      <c r="AP290" s="80"/>
      <c r="AQ290" s="25"/>
      <c r="AR290" s="25"/>
      <c r="AS290" s="26"/>
      <c r="AT290" s="20" t="s">
        <v>867</v>
      </c>
    </row>
    <row r="291" spans="11:46" x14ac:dyDescent="0.35">
      <c r="K291" s="110"/>
      <c r="L291" s="112"/>
      <c r="M291" s="112"/>
      <c r="Q291" s="20" t="s">
        <v>867</v>
      </c>
      <c r="R291" s="24"/>
      <c r="S291" s="25"/>
      <c r="T291" s="25"/>
      <c r="U291" s="25"/>
      <c r="V291" s="64"/>
      <c r="W291" s="70"/>
      <c r="X291" s="71"/>
      <c r="Y291" s="71"/>
      <c r="Z291" s="57"/>
      <c r="AA291" s="57"/>
      <c r="AB291" s="56"/>
      <c r="AC291" s="56" t="str">
        <f ca="1">IFERROR(IF(ISBLANK(AB291),"-",AB291-_xlfn.XLOOKUP(T291,AI:AI,AJ:AJ)),"-")</f>
        <v>-</v>
      </c>
      <c r="AD291" s="56" t="str">
        <f ca="1">IFERROR(IF(ISBLANK(AB291),"-",AB291-_xlfn.XLOOKUP(T291,AO:AO,AP:AP)),"-")</f>
        <v>-</v>
      </c>
      <c r="AE291" s="25"/>
      <c r="AF291" s="25"/>
      <c r="AG291" s="25"/>
      <c r="AH291" s="25"/>
      <c r="AI291" s="51"/>
      <c r="AJ291" s="80"/>
      <c r="AK291" s="25"/>
      <c r="AL291" s="25"/>
      <c r="AM291" s="25"/>
      <c r="AN291" s="25"/>
      <c r="AO291" s="51"/>
      <c r="AP291" s="80"/>
      <c r="AQ291" s="25"/>
      <c r="AR291" s="25"/>
      <c r="AS291" s="26"/>
      <c r="AT291" s="20" t="s">
        <v>867</v>
      </c>
    </row>
    <row r="292" spans="11:46" x14ac:dyDescent="0.35">
      <c r="K292" s="110"/>
      <c r="L292" s="112"/>
      <c r="M292" s="112"/>
      <c r="Q292" s="20" t="s">
        <v>867</v>
      </c>
      <c r="R292" s="24"/>
      <c r="S292" s="25"/>
      <c r="T292" s="25"/>
      <c r="U292" s="25"/>
      <c r="V292" s="64"/>
      <c r="W292" s="70"/>
      <c r="X292" s="71"/>
      <c r="Y292" s="71"/>
      <c r="Z292" s="57"/>
      <c r="AA292" s="57"/>
      <c r="AB292" s="56"/>
      <c r="AC292" s="56" t="str">
        <f ca="1">IFERROR(IF(ISBLANK(AB292),"-",AB292-_xlfn.XLOOKUP(T292,AI:AI,AJ:AJ)),"-")</f>
        <v>-</v>
      </c>
      <c r="AD292" s="56" t="str">
        <f ca="1">IFERROR(IF(ISBLANK(AB292),"-",AB292-_xlfn.XLOOKUP(T292,AO:AO,AP:AP)),"-")</f>
        <v>-</v>
      </c>
      <c r="AE292" s="25"/>
      <c r="AF292" s="25"/>
      <c r="AG292" s="25"/>
      <c r="AH292" s="25"/>
      <c r="AI292" s="51"/>
      <c r="AJ292" s="80"/>
      <c r="AK292" s="25"/>
      <c r="AL292" s="25"/>
      <c r="AM292" s="25"/>
      <c r="AN292" s="25"/>
      <c r="AO292" s="51"/>
      <c r="AP292" s="80"/>
      <c r="AQ292" s="25"/>
      <c r="AR292" s="25"/>
      <c r="AS292" s="26"/>
      <c r="AT292" s="20" t="s">
        <v>867</v>
      </c>
    </row>
    <row r="293" spans="11:46" x14ac:dyDescent="0.35">
      <c r="K293" s="110"/>
      <c r="L293" s="112"/>
      <c r="M293" s="112"/>
      <c r="Q293" s="20" t="s">
        <v>867</v>
      </c>
      <c r="R293" s="24"/>
      <c r="S293" s="25"/>
      <c r="T293" s="25"/>
      <c r="U293" s="25"/>
      <c r="V293" s="64"/>
      <c r="W293" s="70"/>
      <c r="X293" s="71"/>
      <c r="Y293" s="71"/>
      <c r="Z293" s="57"/>
      <c r="AA293" s="57"/>
      <c r="AB293" s="56"/>
      <c r="AC293" s="56" t="str">
        <f ca="1">IFERROR(IF(ISBLANK(AB293),"-",AB293-_xlfn.XLOOKUP(T293,AI:AI,AJ:AJ)),"-")</f>
        <v>-</v>
      </c>
      <c r="AD293" s="56" t="str">
        <f ca="1">IFERROR(IF(ISBLANK(AB293),"-",AB293-_xlfn.XLOOKUP(T293,AO:AO,AP:AP)),"-")</f>
        <v>-</v>
      </c>
      <c r="AE293" s="25"/>
      <c r="AF293" s="25"/>
      <c r="AG293" s="25"/>
      <c r="AH293" s="25"/>
      <c r="AI293" s="51"/>
      <c r="AJ293" s="80"/>
      <c r="AK293" s="25"/>
      <c r="AL293" s="25"/>
      <c r="AM293" s="25"/>
      <c r="AN293" s="25"/>
      <c r="AO293" s="51"/>
      <c r="AP293" s="80"/>
      <c r="AQ293" s="25"/>
      <c r="AR293" s="25"/>
      <c r="AS293" s="26"/>
      <c r="AT293" s="20" t="s">
        <v>867</v>
      </c>
    </row>
    <row r="294" spans="11:46" x14ac:dyDescent="0.35">
      <c r="K294" s="110"/>
      <c r="L294" s="112"/>
      <c r="M294" s="112"/>
      <c r="Q294" s="20" t="s">
        <v>867</v>
      </c>
      <c r="R294" s="24"/>
      <c r="S294" s="25"/>
      <c r="T294" s="25"/>
      <c r="U294" s="25"/>
      <c r="V294" s="64"/>
      <c r="W294" s="70"/>
      <c r="X294" s="71"/>
      <c r="Y294" s="71"/>
      <c r="Z294" s="57"/>
      <c r="AA294" s="57"/>
      <c r="AB294" s="56"/>
      <c r="AC294" s="56" t="str">
        <f ca="1">IFERROR(IF(ISBLANK(AB294),"-",AB294-_xlfn.XLOOKUP(T294,AI:AI,AJ:AJ)),"-")</f>
        <v>-</v>
      </c>
      <c r="AD294" s="56" t="str">
        <f ca="1">IFERROR(IF(ISBLANK(AB294),"-",AB294-_xlfn.XLOOKUP(T294,AO:AO,AP:AP)),"-")</f>
        <v>-</v>
      </c>
      <c r="AE294" s="25"/>
      <c r="AF294" s="25"/>
      <c r="AG294" s="25"/>
      <c r="AH294" s="25"/>
      <c r="AI294" s="51"/>
      <c r="AJ294" s="80"/>
      <c r="AK294" s="25"/>
      <c r="AL294" s="25"/>
      <c r="AM294" s="25"/>
      <c r="AN294" s="25"/>
      <c r="AO294" s="51"/>
      <c r="AP294" s="80"/>
      <c r="AQ294" s="25"/>
      <c r="AR294" s="25"/>
      <c r="AS294" s="26"/>
      <c r="AT294" s="20" t="s">
        <v>867</v>
      </c>
    </row>
    <row r="295" spans="11:46" x14ac:dyDescent="0.35">
      <c r="K295" s="110"/>
      <c r="L295" s="112"/>
      <c r="M295" s="112"/>
      <c r="Q295" s="20" t="s">
        <v>867</v>
      </c>
      <c r="R295" s="24"/>
      <c r="S295" s="25"/>
      <c r="T295" s="25"/>
      <c r="U295" s="25"/>
      <c r="V295" s="64"/>
      <c r="W295" s="70"/>
      <c r="X295" s="71"/>
      <c r="Y295" s="71"/>
      <c r="Z295" s="57"/>
      <c r="AA295" s="57"/>
      <c r="AB295" s="56"/>
      <c r="AC295" s="56" t="str">
        <f ca="1">IFERROR(IF(ISBLANK(AB295),"-",AB295-_xlfn.XLOOKUP(T295,AI:AI,AJ:AJ)),"-")</f>
        <v>-</v>
      </c>
      <c r="AD295" s="56" t="str">
        <f ca="1">IFERROR(IF(ISBLANK(AB295),"-",AB295-_xlfn.XLOOKUP(T295,AO:AO,AP:AP)),"-")</f>
        <v>-</v>
      </c>
      <c r="AE295" s="25"/>
      <c r="AF295" s="25"/>
      <c r="AG295" s="25"/>
      <c r="AH295" s="25"/>
      <c r="AI295" s="51"/>
      <c r="AJ295" s="80"/>
      <c r="AK295" s="25"/>
      <c r="AL295" s="25"/>
      <c r="AM295" s="25"/>
      <c r="AN295" s="25"/>
      <c r="AO295" s="51"/>
      <c r="AP295" s="80"/>
      <c r="AQ295" s="25"/>
      <c r="AR295" s="25"/>
      <c r="AS295" s="26"/>
      <c r="AT295" s="20" t="s">
        <v>867</v>
      </c>
    </row>
    <row r="296" spans="11:46" x14ac:dyDescent="0.35">
      <c r="K296" s="110"/>
      <c r="L296" s="112"/>
      <c r="M296" s="112"/>
      <c r="Q296" s="20" t="s">
        <v>867</v>
      </c>
      <c r="R296" s="24"/>
      <c r="S296" s="25"/>
      <c r="T296" s="25"/>
      <c r="U296" s="25"/>
      <c r="V296" s="64"/>
      <c r="W296" s="70"/>
      <c r="X296" s="71"/>
      <c r="Y296" s="71"/>
      <c r="Z296" s="57"/>
      <c r="AA296" s="57"/>
      <c r="AB296" s="56"/>
      <c r="AC296" s="56" t="str">
        <f ca="1">IFERROR(IF(ISBLANK(AB296),"-",AB296-_xlfn.XLOOKUP(T296,AI:AI,AJ:AJ)),"-")</f>
        <v>-</v>
      </c>
      <c r="AD296" s="56" t="str">
        <f ca="1">IFERROR(IF(ISBLANK(AB296),"-",AB296-_xlfn.XLOOKUP(T296,AO:AO,AP:AP)),"-")</f>
        <v>-</v>
      </c>
      <c r="AE296" s="25"/>
      <c r="AF296" s="25"/>
      <c r="AG296" s="25"/>
      <c r="AH296" s="25"/>
      <c r="AI296" s="51"/>
      <c r="AJ296" s="80"/>
      <c r="AK296" s="25"/>
      <c r="AL296" s="25"/>
      <c r="AM296" s="25"/>
      <c r="AN296" s="25"/>
      <c r="AO296" s="51"/>
      <c r="AP296" s="80"/>
      <c r="AQ296" s="25"/>
      <c r="AR296" s="25"/>
      <c r="AS296" s="26"/>
      <c r="AT296" s="20" t="s">
        <v>867</v>
      </c>
    </row>
    <row r="297" spans="11:46" x14ac:dyDescent="0.35">
      <c r="K297" s="110"/>
      <c r="L297" s="112"/>
      <c r="M297" s="112"/>
      <c r="Q297" s="20" t="s">
        <v>867</v>
      </c>
      <c r="R297" s="24"/>
      <c r="S297" s="25"/>
      <c r="T297" s="25"/>
      <c r="U297" s="25"/>
      <c r="V297" s="64"/>
      <c r="W297" s="70"/>
      <c r="X297" s="71"/>
      <c r="Y297" s="71"/>
      <c r="Z297" s="57"/>
      <c r="AA297" s="57"/>
      <c r="AB297" s="56"/>
      <c r="AC297" s="56" t="str">
        <f ca="1">IFERROR(IF(ISBLANK(AB297),"-",AB297-_xlfn.XLOOKUP(T297,AI:AI,AJ:AJ)),"-")</f>
        <v>-</v>
      </c>
      <c r="AD297" s="56" t="str">
        <f ca="1">IFERROR(IF(ISBLANK(AB297),"-",AB297-_xlfn.XLOOKUP(T297,AO:AO,AP:AP)),"-")</f>
        <v>-</v>
      </c>
      <c r="AE297" s="25"/>
      <c r="AF297" s="25"/>
      <c r="AG297" s="25"/>
      <c r="AH297" s="25"/>
      <c r="AI297" s="51"/>
      <c r="AJ297" s="80"/>
      <c r="AK297" s="25"/>
      <c r="AL297" s="25"/>
      <c r="AM297" s="25"/>
      <c r="AN297" s="25"/>
      <c r="AO297" s="51"/>
      <c r="AP297" s="80"/>
      <c r="AQ297" s="25"/>
      <c r="AR297" s="25"/>
      <c r="AS297" s="26"/>
      <c r="AT297" s="20" t="s">
        <v>867</v>
      </c>
    </row>
    <row r="298" spans="11:46" x14ac:dyDescent="0.35">
      <c r="K298" s="110"/>
      <c r="L298" s="112"/>
      <c r="M298" s="112"/>
      <c r="Q298" s="20" t="s">
        <v>867</v>
      </c>
      <c r="R298" s="24"/>
      <c r="S298" s="25"/>
      <c r="T298" s="25"/>
      <c r="U298" s="25"/>
      <c r="V298" s="64"/>
      <c r="W298" s="70"/>
      <c r="X298" s="71"/>
      <c r="Y298" s="71"/>
      <c r="Z298" s="57"/>
      <c r="AA298" s="57"/>
      <c r="AB298" s="56"/>
      <c r="AC298" s="56" t="str">
        <f ca="1">IFERROR(IF(ISBLANK(AB298),"-",AB298-_xlfn.XLOOKUP(T298,AI:AI,AJ:AJ)),"-")</f>
        <v>-</v>
      </c>
      <c r="AD298" s="56" t="str">
        <f ca="1">IFERROR(IF(ISBLANK(AB298),"-",AB298-_xlfn.XLOOKUP(T298,AO:AO,AP:AP)),"-")</f>
        <v>-</v>
      </c>
      <c r="AE298" s="25"/>
      <c r="AF298" s="25"/>
      <c r="AG298" s="25"/>
      <c r="AH298" s="25"/>
      <c r="AI298" s="51"/>
      <c r="AJ298" s="80"/>
      <c r="AK298" s="25"/>
      <c r="AL298" s="25"/>
      <c r="AM298" s="25"/>
      <c r="AN298" s="25"/>
      <c r="AO298" s="51"/>
      <c r="AP298" s="80"/>
      <c r="AQ298" s="25"/>
      <c r="AR298" s="25"/>
      <c r="AS298" s="26"/>
      <c r="AT298" s="20" t="s">
        <v>867</v>
      </c>
    </row>
    <row r="299" spans="11:46" x14ac:dyDescent="0.35">
      <c r="K299" s="110"/>
      <c r="L299" s="112"/>
      <c r="M299" s="112"/>
      <c r="Q299" s="20" t="s">
        <v>867</v>
      </c>
      <c r="R299" s="24"/>
      <c r="S299" s="25"/>
      <c r="T299" s="25"/>
      <c r="U299" s="25"/>
      <c r="V299" s="64"/>
      <c r="W299" s="70"/>
      <c r="X299" s="71"/>
      <c r="Y299" s="71"/>
      <c r="Z299" s="57"/>
      <c r="AA299" s="57"/>
      <c r="AB299" s="56"/>
      <c r="AC299" s="56" t="str">
        <f ca="1">IFERROR(IF(ISBLANK(AB299),"-",AB299-_xlfn.XLOOKUP(T299,AI:AI,AJ:AJ)),"-")</f>
        <v>-</v>
      </c>
      <c r="AD299" s="56" t="str">
        <f ca="1">IFERROR(IF(ISBLANK(AB299),"-",AB299-_xlfn.XLOOKUP(T299,AO:AO,AP:AP)),"-")</f>
        <v>-</v>
      </c>
      <c r="AE299" s="25"/>
      <c r="AF299" s="25"/>
      <c r="AG299" s="25"/>
      <c r="AH299" s="25"/>
      <c r="AI299" s="51"/>
      <c r="AJ299" s="80"/>
      <c r="AK299" s="25"/>
      <c r="AL299" s="25"/>
      <c r="AM299" s="25"/>
      <c r="AN299" s="25"/>
      <c r="AO299" s="51"/>
      <c r="AP299" s="80"/>
      <c r="AQ299" s="25"/>
      <c r="AR299" s="25"/>
      <c r="AS299" s="26"/>
      <c r="AT299" s="20" t="s">
        <v>867</v>
      </c>
    </row>
    <row r="300" spans="11:46" x14ac:dyDescent="0.35">
      <c r="K300" s="110"/>
      <c r="L300" s="112"/>
      <c r="M300" s="112"/>
      <c r="Q300" s="20" t="s">
        <v>867</v>
      </c>
      <c r="R300" s="24"/>
      <c r="S300" s="25"/>
      <c r="T300" s="25"/>
      <c r="U300" s="25"/>
      <c r="V300" s="64"/>
      <c r="W300" s="70"/>
      <c r="X300" s="71"/>
      <c r="Y300" s="71"/>
      <c r="Z300" s="57"/>
      <c r="AA300" s="57"/>
      <c r="AB300" s="56"/>
      <c r="AC300" s="56" t="str">
        <f ca="1">IFERROR(IF(ISBLANK(AB300),"-",AB300-_xlfn.XLOOKUP(T300,AI:AI,AJ:AJ)),"-")</f>
        <v>-</v>
      </c>
      <c r="AD300" s="56" t="str">
        <f ca="1">IFERROR(IF(ISBLANK(AB300),"-",AB300-_xlfn.XLOOKUP(T300,AO:AO,AP:AP)),"-")</f>
        <v>-</v>
      </c>
      <c r="AE300" s="25"/>
      <c r="AF300" s="25"/>
      <c r="AG300" s="25"/>
      <c r="AH300" s="25"/>
      <c r="AI300" s="51"/>
      <c r="AJ300" s="80"/>
      <c r="AK300" s="25"/>
      <c r="AL300" s="25"/>
      <c r="AM300" s="25"/>
      <c r="AN300" s="25"/>
      <c r="AO300" s="51"/>
      <c r="AP300" s="80"/>
      <c r="AQ300" s="25"/>
      <c r="AR300" s="25"/>
      <c r="AS300" s="26"/>
      <c r="AT300" s="20" t="s">
        <v>867</v>
      </c>
    </row>
    <row r="301" spans="11:46" x14ac:dyDescent="0.35">
      <c r="K301" s="110"/>
      <c r="L301" s="112"/>
      <c r="M301" s="112"/>
      <c r="Q301" s="20" t="s">
        <v>867</v>
      </c>
      <c r="R301" s="24"/>
      <c r="S301" s="25"/>
      <c r="T301" s="25"/>
      <c r="U301" s="25"/>
      <c r="V301" s="64"/>
      <c r="W301" s="70"/>
      <c r="X301" s="71"/>
      <c r="Y301" s="71"/>
      <c r="Z301" s="57"/>
      <c r="AA301" s="57"/>
      <c r="AB301" s="56"/>
      <c r="AC301" s="56" t="str">
        <f ca="1">IFERROR(IF(ISBLANK(AB301),"-",AB301-_xlfn.XLOOKUP(T301,AI:AI,AJ:AJ)),"-")</f>
        <v>-</v>
      </c>
      <c r="AD301" s="56" t="str">
        <f ca="1">IFERROR(IF(ISBLANK(AB301),"-",AB301-_xlfn.XLOOKUP(T301,AO:AO,AP:AP)),"-")</f>
        <v>-</v>
      </c>
      <c r="AE301" s="25"/>
      <c r="AF301" s="25"/>
      <c r="AG301" s="25"/>
      <c r="AH301" s="25"/>
      <c r="AI301" s="51"/>
      <c r="AJ301" s="80"/>
      <c r="AK301" s="25"/>
      <c r="AL301" s="25"/>
      <c r="AM301" s="25"/>
      <c r="AN301" s="25"/>
      <c r="AO301" s="51"/>
      <c r="AP301" s="80"/>
      <c r="AQ301" s="25"/>
      <c r="AR301" s="25"/>
      <c r="AS301" s="26"/>
      <c r="AT301" s="20" t="s">
        <v>867</v>
      </c>
    </row>
    <row r="302" spans="11:46" x14ac:dyDescent="0.35">
      <c r="K302" s="110"/>
      <c r="L302" s="112"/>
      <c r="M302" s="112"/>
      <c r="Q302" s="20" t="s">
        <v>867</v>
      </c>
      <c r="R302" s="24"/>
      <c r="S302" s="25"/>
      <c r="T302" s="25"/>
      <c r="U302" s="25"/>
      <c r="V302" s="64"/>
      <c r="W302" s="70"/>
      <c r="X302" s="71"/>
      <c r="Y302" s="71"/>
      <c r="Z302" s="57"/>
      <c r="AA302" s="57"/>
      <c r="AB302" s="56"/>
      <c r="AC302" s="56" t="str">
        <f ca="1">IFERROR(IF(ISBLANK(AB302),"-",AB302-_xlfn.XLOOKUP(T302,AI:AI,AJ:AJ)),"-")</f>
        <v>-</v>
      </c>
      <c r="AD302" s="56" t="str">
        <f ca="1">IFERROR(IF(ISBLANK(AB302),"-",AB302-_xlfn.XLOOKUP(T302,AO:AO,AP:AP)),"-")</f>
        <v>-</v>
      </c>
      <c r="AE302" s="25"/>
      <c r="AF302" s="25"/>
      <c r="AG302" s="25"/>
      <c r="AH302" s="25"/>
      <c r="AI302" s="51"/>
      <c r="AJ302" s="80"/>
      <c r="AK302" s="25"/>
      <c r="AL302" s="25"/>
      <c r="AM302" s="25"/>
      <c r="AN302" s="25"/>
      <c r="AO302" s="51"/>
      <c r="AP302" s="80"/>
      <c r="AQ302" s="25"/>
      <c r="AR302" s="25"/>
      <c r="AS302" s="26"/>
      <c r="AT302" s="20" t="s">
        <v>867</v>
      </c>
    </row>
    <row r="303" spans="11:46" x14ac:dyDescent="0.35">
      <c r="K303" s="110"/>
      <c r="L303" s="112"/>
      <c r="M303" s="112"/>
      <c r="Q303" s="20" t="s">
        <v>867</v>
      </c>
      <c r="R303" s="24"/>
      <c r="S303" s="25"/>
      <c r="T303" s="25"/>
      <c r="U303" s="25"/>
      <c r="V303" s="64"/>
      <c r="W303" s="70"/>
      <c r="X303" s="71"/>
      <c r="Y303" s="71"/>
      <c r="Z303" s="57"/>
      <c r="AA303" s="57"/>
      <c r="AB303" s="56"/>
      <c r="AC303" s="56" t="str">
        <f ca="1">IFERROR(IF(ISBLANK(AB303),"-",AB303-_xlfn.XLOOKUP(T303,AI:AI,AJ:AJ)),"-")</f>
        <v>-</v>
      </c>
      <c r="AD303" s="56" t="str">
        <f ca="1">IFERROR(IF(ISBLANK(AB303),"-",AB303-_xlfn.XLOOKUP(T303,AO:AO,AP:AP)),"-")</f>
        <v>-</v>
      </c>
      <c r="AE303" s="25"/>
      <c r="AF303" s="25"/>
      <c r="AG303" s="25"/>
      <c r="AH303" s="25"/>
      <c r="AI303" s="51"/>
      <c r="AJ303" s="80"/>
      <c r="AK303" s="25"/>
      <c r="AL303" s="25"/>
      <c r="AM303" s="25"/>
      <c r="AN303" s="25"/>
      <c r="AO303" s="51"/>
      <c r="AP303" s="80"/>
      <c r="AQ303" s="25"/>
      <c r="AR303" s="25"/>
      <c r="AS303" s="26"/>
      <c r="AT303" s="20" t="s">
        <v>867</v>
      </c>
    </row>
    <row r="304" spans="11:46" x14ac:dyDescent="0.35">
      <c r="K304" s="110"/>
      <c r="L304" s="112"/>
      <c r="M304" s="112"/>
      <c r="Q304" s="20" t="s">
        <v>867</v>
      </c>
      <c r="R304" s="24"/>
      <c r="S304" s="25"/>
      <c r="T304" s="25"/>
      <c r="U304" s="25"/>
      <c r="V304" s="64"/>
      <c r="W304" s="70"/>
      <c r="X304" s="71"/>
      <c r="Y304" s="71"/>
      <c r="Z304" s="57"/>
      <c r="AA304" s="57"/>
      <c r="AB304" s="56"/>
      <c r="AC304" s="56" t="str">
        <f ca="1">IFERROR(IF(ISBLANK(AB304),"-",AB304-_xlfn.XLOOKUP(T304,AI:AI,AJ:AJ)),"-")</f>
        <v>-</v>
      </c>
      <c r="AD304" s="56" t="str">
        <f ca="1">IFERROR(IF(ISBLANK(AB304),"-",AB304-_xlfn.XLOOKUP(T304,AO:AO,AP:AP)),"-")</f>
        <v>-</v>
      </c>
      <c r="AE304" s="25"/>
      <c r="AF304" s="25"/>
      <c r="AG304" s="25"/>
      <c r="AH304" s="25"/>
      <c r="AI304" s="51"/>
      <c r="AJ304" s="80"/>
      <c r="AK304" s="25"/>
      <c r="AL304" s="25"/>
      <c r="AM304" s="25"/>
      <c r="AN304" s="25"/>
      <c r="AO304" s="51"/>
      <c r="AP304" s="80"/>
      <c r="AQ304" s="25"/>
      <c r="AR304" s="25"/>
      <c r="AS304" s="26"/>
      <c r="AT304" s="20" t="s">
        <v>867</v>
      </c>
    </row>
    <row r="305" spans="11:46" x14ac:dyDescent="0.35">
      <c r="K305" s="110"/>
      <c r="L305" s="112"/>
      <c r="M305" s="112"/>
      <c r="Q305" s="20" t="s">
        <v>867</v>
      </c>
      <c r="R305" s="24"/>
      <c r="S305" s="25"/>
      <c r="T305" s="25"/>
      <c r="U305" s="25"/>
      <c r="V305" s="64"/>
      <c r="W305" s="70"/>
      <c r="X305" s="71"/>
      <c r="Y305" s="71"/>
      <c r="Z305" s="57"/>
      <c r="AA305" s="57"/>
      <c r="AB305" s="56"/>
      <c r="AC305" s="56" t="str">
        <f ca="1">IFERROR(IF(ISBLANK(AB305),"-",AB305-_xlfn.XLOOKUP(T305,AI:AI,AJ:AJ)),"-")</f>
        <v>-</v>
      </c>
      <c r="AD305" s="56" t="str">
        <f ca="1">IFERROR(IF(ISBLANK(AB305),"-",AB305-_xlfn.XLOOKUP(T305,AO:AO,AP:AP)),"-")</f>
        <v>-</v>
      </c>
      <c r="AE305" s="25"/>
      <c r="AF305" s="25"/>
      <c r="AG305" s="25"/>
      <c r="AH305" s="25"/>
      <c r="AI305" s="51"/>
      <c r="AJ305" s="80"/>
      <c r="AK305" s="25"/>
      <c r="AL305" s="25"/>
      <c r="AM305" s="25"/>
      <c r="AN305" s="25"/>
      <c r="AO305" s="51"/>
      <c r="AP305" s="80"/>
      <c r="AQ305" s="25"/>
      <c r="AR305" s="25"/>
      <c r="AS305" s="26"/>
      <c r="AT305" s="20" t="s">
        <v>867</v>
      </c>
    </row>
    <row r="306" spans="11:46" x14ac:dyDescent="0.35">
      <c r="K306" s="110"/>
      <c r="L306" s="112"/>
      <c r="M306" s="112"/>
      <c r="Q306" s="20" t="s">
        <v>867</v>
      </c>
      <c r="R306" s="24"/>
      <c r="S306" s="25"/>
      <c r="T306" s="25"/>
      <c r="U306" s="25"/>
      <c r="V306" s="64"/>
      <c r="W306" s="70"/>
      <c r="X306" s="71"/>
      <c r="Y306" s="71"/>
      <c r="Z306" s="57"/>
      <c r="AA306" s="57"/>
      <c r="AB306" s="56"/>
      <c r="AC306" s="56" t="str">
        <f ca="1">IFERROR(IF(ISBLANK(AB306),"-",AB306-_xlfn.XLOOKUP(T306,AI:AI,AJ:AJ)),"-")</f>
        <v>-</v>
      </c>
      <c r="AD306" s="56" t="str">
        <f ca="1">IFERROR(IF(ISBLANK(AB306),"-",AB306-_xlfn.XLOOKUP(T306,AO:AO,AP:AP)),"-")</f>
        <v>-</v>
      </c>
      <c r="AE306" s="25"/>
      <c r="AF306" s="25"/>
      <c r="AG306" s="25"/>
      <c r="AH306" s="25"/>
      <c r="AI306" s="51"/>
      <c r="AJ306" s="80"/>
      <c r="AK306" s="25"/>
      <c r="AL306" s="25"/>
      <c r="AM306" s="25"/>
      <c r="AN306" s="25"/>
      <c r="AO306" s="51"/>
      <c r="AP306" s="80"/>
      <c r="AQ306" s="25"/>
      <c r="AR306" s="25"/>
      <c r="AS306" s="26"/>
      <c r="AT306" s="20" t="s">
        <v>867</v>
      </c>
    </row>
    <row r="307" spans="11:46" x14ac:dyDescent="0.35">
      <c r="K307" s="110"/>
      <c r="L307" s="112"/>
      <c r="M307" s="112"/>
      <c r="Q307" s="20" t="s">
        <v>867</v>
      </c>
      <c r="R307" s="24"/>
      <c r="S307" s="25"/>
      <c r="T307" s="25"/>
      <c r="U307" s="25"/>
      <c r="V307" s="64"/>
      <c r="W307" s="70"/>
      <c r="X307" s="71"/>
      <c r="Y307" s="71"/>
      <c r="Z307" s="57"/>
      <c r="AA307" s="57"/>
      <c r="AB307" s="56"/>
      <c r="AC307" s="56" t="str">
        <f ca="1">IFERROR(IF(ISBLANK(AB307),"-",AB307-_xlfn.XLOOKUP(T307,AI:AI,AJ:AJ)),"-")</f>
        <v>-</v>
      </c>
      <c r="AD307" s="56" t="str">
        <f ca="1">IFERROR(IF(ISBLANK(AB307),"-",AB307-_xlfn.XLOOKUP(T307,AO:AO,AP:AP)),"-")</f>
        <v>-</v>
      </c>
      <c r="AE307" s="25"/>
      <c r="AF307" s="25"/>
      <c r="AG307" s="25"/>
      <c r="AH307" s="25"/>
      <c r="AI307" s="51"/>
      <c r="AJ307" s="80"/>
      <c r="AK307" s="25"/>
      <c r="AL307" s="25"/>
      <c r="AM307" s="25"/>
      <c r="AN307" s="25"/>
      <c r="AO307" s="51"/>
      <c r="AP307" s="80"/>
      <c r="AQ307" s="25"/>
      <c r="AR307" s="25"/>
      <c r="AS307" s="26"/>
      <c r="AT307" s="20" t="s">
        <v>867</v>
      </c>
    </row>
    <row r="308" spans="11:46" x14ac:dyDescent="0.35">
      <c r="K308" s="110"/>
      <c r="L308" s="112"/>
      <c r="M308" s="112"/>
      <c r="Q308" s="20" t="s">
        <v>867</v>
      </c>
      <c r="R308" s="24"/>
      <c r="S308" s="25"/>
      <c r="T308" s="25"/>
      <c r="U308" s="25"/>
      <c r="V308" s="64"/>
      <c r="W308" s="70"/>
      <c r="X308" s="71"/>
      <c r="Y308" s="71"/>
      <c r="Z308" s="57"/>
      <c r="AA308" s="57"/>
      <c r="AB308" s="56"/>
      <c r="AC308" s="56" t="str">
        <f ca="1">IFERROR(IF(ISBLANK(AB308),"-",AB308-_xlfn.XLOOKUP(T308,AI:AI,AJ:AJ)),"-")</f>
        <v>-</v>
      </c>
      <c r="AD308" s="56" t="str">
        <f ca="1">IFERROR(IF(ISBLANK(AB308),"-",AB308-_xlfn.XLOOKUP(T308,AO:AO,AP:AP)),"-")</f>
        <v>-</v>
      </c>
      <c r="AE308" s="25"/>
      <c r="AF308" s="25"/>
      <c r="AG308" s="25"/>
      <c r="AH308" s="25"/>
      <c r="AI308" s="51"/>
      <c r="AJ308" s="80"/>
      <c r="AK308" s="25"/>
      <c r="AL308" s="25"/>
      <c r="AM308" s="25"/>
      <c r="AN308" s="25"/>
      <c r="AO308" s="51"/>
      <c r="AP308" s="80"/>
      <c r="AQ308" s="25"/>
      <c r="AR308" s="25"/>
      <c r="AS308" s="26"/>
      <c r="AT308" s="20" t="s">
        <v>867</v>
      </c>
    </row>
    <row r="309" spans="11:46" x14ac:dyDescent="0.35">
      <c r="K309" s="110"/>
      <c r="L309" s="112"/>
      <c r="M309" s="112"/>
      <c r="Q309" s="20" t="s">
        <v>867</v>
      </c>
      <c r="R309" s="24"/>
      <c r="S309" s="25"/>
      <c r="T309" s="25"/>
      <c r="U309" s="25"/>
      <c r="V309" s="64"/>
      <c r="W309" s="70"/>
      <c r="X309" s="71"/>
      <c r="Y309" s="71"/>
      <c r="Z309" s="57"/>
      <c r="AA309" s="57"/>
      <c r="AB309" s="56"/>
      <c r="AC309" s="56" t="str">
        <f ca="1">IFERROR(IF(ISBLANK(AB309),"-",AB309-_xlfn.XLOOKUP(T309,AI:AI,AJ:AJ)),"-")</f>
        <v>-</v>
      </c>
      <c r="AD309" s="56" t="str">
        <f ca="1">IFERROR(IF(ISBLANK(AB309),"-",AB309-_xlfn.XLOOKUP(T309,AO:AO,AP:AP)),"-")</f>
        <v>-</v>
      </c>
      <c r="AE309" s="25"/>
      <c r="AF309" s="25"/>
      <c r="AG309" s="25"/>
      <c r="AH309" s="25"/>
      <c r="AI309" s="51"/>
      <c r="AJ309" s="80"/>
      <c r="AK309" s="25"/>
      <c r="AL309" s="25"/>
      <c r="AM309" s="25"/>
      <c r="AN309" s="25"/>
      <c r="AO309" s="51"/>
      <c r="AP309" s="80"/>
      <c r="AQ309" s="25"/>
      <c r="AR309" s="25"/>
      <c r="AS309" s="26"/>
      <c r="AT309" s="20" t="s">
        <v>867</v>
      </c>
    </row>
    <row r="310" spans="11:46" x14ac:dyDescent="0.35">
      <c r="K310" s="110"/>
      <c r="L310" s="112"/>
      <c r="M310" s="112"/>
      <c r="Q310" s="20" t="s">
        <v>867</v>
      </c>
      <c r="R310" s="24"/>
      <c r="S310" s="25"/>
      <c r="T310" s="25"/>
      <c r="U310" s="25"/>
      <c r="V310" s="64"/>
      <c r="W310" s="70"/>
      <c r="X310" s="71"/>
      <c r="Y310" s="71"/>
      <c r="Z310" s="57"/>
      <c r="AA310" s="57"/>
      <c r="AB310" s="56"/>
      <c r="AC310" s="56" t="str">
        <f ca="1">IFERROR(IF(ISBLANK(AB310),"-",AB310-_xlfn.XLOOKUP(T310,AI:AI,AJ:AJ)),"-")</f>
        <v>-</v>
      </c>
      <c r="AD310" s="56" t="str">
        <f ca="1">IFERROR(IF(ISBLANK(AB310),"-",AB310-_xlfn.XLOOKUP(T310,AO:AO,AP:AP)),"-")</f>
        <v>-</v>
      </c>
      <c r="AE310" s="25"/>
      <c r="AF310" s="25"/>
      <c r="AG310" s="25"/>
      <c r="AH310" s="25"/>
      <c r="AI310" s="51"/>
      <c r="AJ310" s="80"/>
      <c r="AK310" s="25"/>
      <c r="AL310" s="25"/>
      <c r="AM310" s="25"/>
      <c r="AN310" s="25"/>
      <c r="AO310" s="51"/>
      <c r="AP310" s="80"/>
      <c r="AQ310" s="25"/>
      <c r="AR310" s="25"/>
      <c r="AS310" s="26"/>
      <c r="AT310" s="20" t="s">
        <v>867</v>
      </c>
    </row>
    <row r="311" spans="11:46" x14ac:dyDescent="0.35">
      <c r="K311" s="110"/>
      <c r="L311" s="112"/>
      <c r="M311" s="112"/>
      <c r="Q311" s="20" t="s">
        <v>867</v>
      </c>
      <c r="R311" s="24"/>
      <c r="S311" s="25"/>
      <c r="T311" s="25"/>
      <c r="U311" s="25"/>
      <c r="V311" s="64"/>
      <c r="W311" s="70"/>
      <c r="X311" s="71"/>
      <c r="Y311" s="71"/>
      <c r="Z311" s="57"/>
      <c r="AA311" s="57"/>
      <c r="AB311" s="56"/>
      <c r="AC311" s="56" t="str">
        <f ca="1">IFERROR(IF(ISBLANK(AB311),"-",AB311-_xlfn.XLOOKUP(T311,AI:AI,AJ:AJ)),"-")</f>
        <v>-</v>
      </c>
      <c r="AD311" s="56" t="str">
        <f ca="1">IFERROR(IF(ISBLANK(AB311),"-",AB311-_xlfn.XLOOKUP(T311,AO:AO,AP:AP)),"-")</f>
        <v>-</v>
      </c>
      <c r="AE311" s="25"/>
      <c r="AF311" s="25"/>
      <c r="AG311" s="25"/>
      <c r="AH311" s="25"/>
      <c r="AI311" s="51"/>
      <c r="AJ311" s="80"/>
      <c r="AK311" s="25"/>
      <c r="AL311" s="25"/>
      <c r="AM311" s="25"/>
      <c r="AN311" s="25"/>
      <c r="AO311" s="51"/>
      <c r="AP311" s="80"/>
      <c r="AQ311" s="25"/>
      <c r="AR311" s="25"/>
      <c r="AS311" s="26"/>
      <c r="AT311" s="20" t="s">
        <v>867</v>
      </c>
    </row>
    <row r="312" spans="11:46" x14ac:dyDescent="0.35">
      <c r="K312" s="110"/>
      <c r="L312" s="112"/>
      <c r="M312" s="112"/>
      <c r="Q312" s="20" t="s">
        <v>867</v>
      </c>
      <c r="R312" s="24"/>
      <c r="S312" s="25"/>
      <c r="T312" s="25"/>
      <c r="U312" s="25"/>
      <c r="V312" s="64"/>
      <c r="W312" s="70"/>
      <c r="X312" s="71"/>
      <c r="Y312" s="71"/>
      <c r="Z312" s="57"/>
      <c r="AA312" s="57"/>
      <c r="AB312" s="56"/>
      <c r="AC312" s="56" t="str">
        <f ca="1">IFERROR(IF(ISBLANK(AB312),"-",AB312-_xlfn.XLOOKUP(T312,AI:AI,AJ:AJ)),"-")</f>
        <v>-</v>
      </c>
      <c r="AD312" s="56" t="str">
        <f ca="1">IFERROR(IF(ISBLANK(AB312),"-",AB312-_xlfn.XLOOKUP(T312,AO:AO,AP:AP)),"-")</f>
        <v>-</v>
      </c>
      <c r="AE312" s="25"/>
      <c r="AF312" s="25"/>
      <c r="AG312" s="25"/>
      <c r="AH312" s="25"/>
      <c r="AI312" s="51"/>
      <c r="AJ312" s="80"/>
      <c r="AK312" s="25"/>
      <c r="AL312" s="25"/>
      <c r="AM312" s="25"/>
      <c r="AN312" s="25"/>
      <c r="AO312" s="51"/>
      <c r="AP312" s="80"/>
      <c r="AQ312" s="25"/>
      <c r="AR312" s="25"/>
      <c r="AS312" s="26"/>
      <c r="AT312" s="20" t="s">
        <v>867</v>
      </c>
    </row>
    <row r="313" spans="11:46" x14ac:dyDescent="0.35">
      <c r="Q313" s="20" t="s">
        <v>867</v>
      </c>
      <c r="R313" s="24"/>
      <c r="S313" s="25"/>
      <c r="T313" s="25"/>
      <c r="U313" s="25"/>
      <c r="V313" s="64"/>
      <c r="W313" s="70"/>
      <c r="X313" s="71"/>
      <c r="Y313" s="71"/>
      <c r="Z313" s="57"/>
      <c r="AA313" s="57"/>
      <c r="AB313" s="56"/>
      <c r="AC313" s="56" t="str">
        <f ca="1">IFERROR(IF(ISBLANK(AB313),"-",AB313-_xlfn.XLOOKUP(T313,AI:AI,AJ:AJ)),"-")</f>
        <v>-</v>
      </c>
      <c r="AD313" s="56" t="str">
        <f ca="1">IFERROR(IF(ISBLANK(AB313),"-",AB313-_xlfn.XLOOKUP(T313,AO:AO,AP:AP)),"-")</f>
        <v>-</v>
      </c>
      <c r="AE313" s="25"/>
      <c r="AF313" s="25"/>
      <c r="AG313" s="25"/>
      <c r="AH313" s="25"/>
      <c r="AI313" s="52"/>
      <c r="AJ313" s="81"/>
      <c r="AK313" s="25"/>
      <c r="AL313" s="25"/>
      <c r="AM313" s="25"/>
      <c r="AN313" s="25"/>
      <c r="AO313" s="52"/>
      <c r="AP313" s="82"/>
      <c r="AQ313" s="25"/>
      <c r="AR313" s="25"/>
      <c r="AS313" s="26"/>
      <c r="AT313" s="20" t="s">
        <v>867</v>
      </c>
    </row>
    <row r="314" spans="11:46" ht="15" thickBot="1" x14ac:dyDescent="0.4">
      <c r="Q314" s="20" t="s">
        <v>867</v>
      </c>
      <c r="R314" s="32"/>
      <c r="S314" s="33"/>
      <c r="T314" s="33"/>
      <c r="U314" s="33"/>
      <c r="V314" s="65"/>
      <c r="W314" s="72"/>
      <c r="X314" s="73"/>
      <c r="Y314" s="73"/>
      <c r="Z314" s="60"/>
      <c r="AA314" s="60"/>
      <c r="AB314" s="59"/>
      <c r="AC314" s="59"/>
      <c r="AD314" s="60"/>
      <c r="AE314" s="33"/>
      <c r="AF314" s="33"/>
      <c r="AG314" s="33"/>
      <c r="AH314" s="33"/>
      <c r="AI314" s="33"/>
      <c r="AJ314" s="60"/>
      <c r="AK314" s="33"/>
      <c r="AL314" s="33"/>
      <c r="AM314" s="33"/>
      <c r="AN314" s="33"/>
      <c r="AO314" s="33"/>
      <c r="AP314" s="60"/>
      <c r="AQ314" s="33"/>
      <c r="AR314" s="33"/>
      <c r="AS314" s="34"/>
      <c r="AT314" s="20" t="s">
        <v>867</v>
      </c>
    </row>
    <row r="315" spans="11:46" x14ac:dyDescent="0.35">
      <c r="Q315" s="20" t="s">
        <v>867</v>
      </c>
      <c r="R315" s="20" t="s">
        <v>867</v>
      </c>
      <c r="S315" s="20"/>
      <c r="T315" s="20"/>
      <c r="U315" s="20"/>
      <c r="V315" s="66"/>
      <c r="W315" s="74"/>
      <c r="X315" s="75"/>
      <c r="Y315" s="75"/>
      <c r="Z315" s="53"/>
      <c r="AA315" s="53"/>
      <c r="AB315" s="61"/>
      <c r="AC315" s="61"/>
      <c r="AD315" s="53"/>
      <c r="AE315" s="20"/>
      <c r="AF315" s="20"/>
      <c r="AG315" s="20"/>
      <c r="AH315" s="20"/>
      <c r="AI315" s="20"/>
      <c r="AJ315" s="53"/>
      <c r="AK315" s="20"/>
      <c r="AL315" s="20"/>
      <c r="AM315" s="20"/>
      <c r="AN315" s="20"/>
      <c r="AO315" s="20"/>
      <c r="AP315" s="53"/>
      <c r="AQ315" s="20"/>
      <c r="AR315" s="20" t="s">
        <v>867</v>
      </c>
      <c r="AS315" s="20" t="s">
        <v>867</v>
      </c>
      <c r="AT315" s="20" t="s">
        <v>867</v>
      </c>
    </row>
  </sheetData>
  <conditionalFormatting sqref="AB39:AB1048576 AB1:AB4 AB6:AB3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2:C264">
    <cfRule type="duplicateValues" dxfId="50" priority="8"/>
  </conditionalFormatting>
  <pageMargins left="0.7" right="0.7" top="0.75" bottom="0.75" header="0.3" footer="0.3"/>
  <pageSetup paperSize="9" orientation="portrait" r:id="rId1"/>
  <drawing r:id="rId2"/>
  <webPublishItems count="1">
    <webPublishItem id="14001" divId="P&amp;l movement_R_14001" sourceType="printArea" destinationFile="R:\Quant Tools\outputs\HTML\P&amp;l movement_R_pnl_changes_over_time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78953-FC83-4BBF-906B-F35991E6767E}">
  <sheetPr codeName="Sheet5">
    <tabColor theme="5" tint="-0.499984740745262"/>
  </sheetPr>
  <dimension ref="C3:R47"/>
  <sheetViews>
    <sheetView showGridLines="0" workbookViewId="0">
      <selection activeCell="D50" sqref="D50"/>
    </sheetView>
  </sheetViews>
  <sheetFormatPr defaultRowHeight="14.5" x14ac:dyDescent="0.35"/>
  <cols>
    <col min="4" max="4" width="22.54296875" bestFit="1" customWidth="1"/>
    <col min="5" max="7" width="12.36328125" style="5" bestFit="1" customWidth="1"/>
    <col min="8" max="8" width="10.36328125" style="5" bestFit="1" customWidth="1"/>
    <col min="11" max="11" width="22.54296875" bestFit="1" customWidth="1"/>
    <col min="12" max="14" width="12.36328125" style="5" bestFit="1" customWidth="1"/>
    <col min="15" max="15" width="10.36328125" style="5" bestFit="1" customWidth="1"/>
  </cols>
  <sheetData>
    <row r="3" spans="3:18" ht="15" thickBot="1" x14ac:dyDescent="0.4"/>
    <row r="4" spans="3:18" x14ac:dyDescent="0.35">
      <c r="C4" s="8"/>
      <c r="D4" s="9"/>
      <c r="E4" s="10"/>
      <c r="F4" s="10"/>
      <c r="G4" s="10"/>
      <c r="H4" s="10"/>
      <c r="I4" s="9"/>
      <c r="J4" s="9"/>
      <c r="K4" s="9"/>
      <c r="L4" s="10"/>
      <c r="M4" s="10"/>
      <c r="N4" s="10"/>
      <c r="O4" s="10"/>
      <c r="P4" s="9"/>
      <c r="Q4" s="9"/>
      <c r="R4" s="11"/>
    </row>
    <row r="5" spans="3:18" x14ac:dyDescent="0.35">
      <c r="C5" s="12"/>
      <c r="D5" s="6"/>
      <c r="E5" s="13"/>
      <c r="F5" s="13"/>
      <c r="G5" s="13"/>
      <c r="H5" s="13"/>
      <c r="I5" s="6"/>
      <c r="J5" s="6"/>
      <c r="K5" s="6"/>
      <c r="L5" s="13"/>
      <c r="M5" s="13"/>
      <c r="N5" s="13"/>
      <c r="O5" s="13"/>
      <c r="P5" s="6"/>
      <c r="Q5" s="6"/>
      <c r="R5" s="14"/>
    </row>
    <row r="6" spans="3:18" x14ac:dyDescent="0.35">
      <c r="C6" s="12"/>
      <c r="D6" s="6"/>
      <c r="E6" s="13"/>
      <c r="F6" s="13"/>
      <c r="G6" s="13"/>
      <c r="H6" s="13"/>
      <c r="I6" s="6"/>
      <c r="J6" s="6"/>
      <c r="K6" s="6"/>
      <c r="L6" s="13"/>
      <c r="M6" s="13"/>
      <c r="N6" s="13"/>
      <c r="O6" s="13"/>
      <c r="P6" s="6"/>
      <c r="Q6" s="6"/>
      <c r="R6" s="14"/>
    </row>
    <row r="7" spans="3:18" x14ac:dyDescent="0.35">
      <c r="C7" s="12"/>
      <c r="D7" s="6"/>
      <c r="E7" s="13"/>
      <c r="F7" s="13"/>
      <c r="G7" s="13"/>
      <c r="H7" s="13"/>
      <c r="I7" s="6"/>
      <c r="J7" s="6"/>
      <c r="K7" s="6"/>
      <c r="L7" s="13"/>
      <c r="M7" s="13"/>
      <c r="N7" s="13"/>
      <c r="O7" s="13"/>
      <c r="P7" s="6"/>
      <c r="Q7" s="6"/>
      <c r="R7" s="14"/>
    </row>
    <row r="8" spans="3:18" x14ac:dyDescent="0.35">
      <c r="C8" s="12"/>
      <c r="D8" s="6"/>
      <c r="E8" s="13"/>
      <c r="F8" s="13"/>
      <c r="G8" s="13"/>
      <c r="H8" s="13"/>
      <c r="I8" s="6"/>
      <c r="J8" s="6"/>
      <c r="K8" s="6"/>
      <c r="L8" s="13"/>
      <c r="M8" s="13"/>
      <c r="N8" s="13"/>
      <c r="O8" s="13"/>
      <c r="P8" s="6"/>
      <c r="Q8" s="6"/>
      <c r="R8" s="14"/>
    </row>
    <row r="9" spans="3:18" x14ac:dyDescent="0.35">
      <c r="C9" s="12"/>
      <c r="D9" s="6"/>
      <c r="E9" s="13"/>
      <c r="F9" s="13"/>
      <c r="G9" s="13"/>
      <c r="H9" s="13"/>
      <c r="I9" s="6"/>
      <c r="J9" s="6"/>
      <c r="K9" s="6"/>
      <c r="L9" s="13"/>
      <c r="M9" s="13"/>
      <c r="N9" s="13"/>
      <c r="O9" s="13"/>
      <c r="P9" s="6"/>
      <c r="Q9" s="6"/>
      <c r="R9" s="14"/>
    </row>
    <row r="10" spans="3:18" x14ac:dyDescent="0.35">
      <c r="C10" s="12"/>
      <c r="D10" s="6"/>
      <c r="E10" s="13"/>
      <c r="F10" s="13"/>
      <c r="G10" s="13"/>
      <c r="H10" s="13"/>
      <c r="I10" s="6"/>
      <c r="J10" s="6"/>
      <c r="K10" s="6"/>
      <c r="L10" s="13"/>
      <c r="M10" s="13"/>
      <c r="N10" s="13"/>
      <c r="O10" s="13"/>
      <c r="P10" s="6"/>
      <c r="Q10" s="6"/>
      <c r="R10" s="14"/>
    </row>
    <row r="11" spans="3:18" x14ac:dyDescent="0.35">
      <c r="C11" s="12"/>
      <c r="D11" s="6"/>
      <c r="E11" s="13"/>
      <c r="F11" s="13"/>
      <c r="G11" s="13"/>
      <c r="H11" s="13"/>
      <c r="I11" s="6"/>
      <c r="J11" s="6"/>
      <c r="K11" s="6"/>
      <c r="L11" s="13"/>
      <c r="M11" s="13"/>
      <c r="N11" s="13"/>
      <c r="O11" s="13"/>
      <c r="P11" s="6"/>
      <c r="Q11" s="6"/>
      <c r="R11" s="14"/>
    </row>
    <row r="12" spans="3:18" x14ac:dyDescent="0.35">
      <c r="C12" s="12"/>
      <c r="D12" s="6"/>
      <c r="E12" s="13"/>
      <c r="F12" s="13"/>
      <c r="G12" s="13"/>
      <c r="H12" s="13"/>
      <c r="I12" s="6"/>
      <c r="J12" s="6"/>
      <c r="K12" s="6"/>
      <c r="L12" s="13"/>
      <c r="M12" s="13"/>
      <c r="N12" s="13"/>
      <c r="O12" s="13"/>
      <c r="P12" s="6"/>
      <c r="Q12" s="6"/>
      <c r="R12" s="14"/>
    </row>
    <row r="13" spans="3:18" x14ac:dyDescent="0.35">
      <c r="C13" s="12"/>
      <c r="D13" s="6"/>
      <c r="E13" s="13"/>
      <c r="F13" s="13"/>
      <c r="G13" s="13"/>
      <c r="H13" s="13"/>
      <c r="I13" s="6"/>
      <c r="J13" s="6"/>
      <c r="K13" s="6"/>
      <c r="L13" s="13"/>
      <c r="M13" s="13"/>
      <c r="N13" s="13"/>
      <c r="O13" s="13"/>
      <c r="P13" s="6"/>
      <c r="Q13" s="6"/>
      <c r="R13" s="14"/>
    </row>
    <row r="14" spans="3:18" x14ac:dyDescent="0.35">
      <c r="C14" s="12"/>
      <c r="D14" s="6"/>
      <c r="E14" s="13"/>
      <c r="F14" s="13"/>
      <c r="G14" s="13"/>
      <c r="H14" s="13"/>
      <c r="I14" s="6"/>
      <c r="J14" s="6"/>
      <c r="K14" s="6"/>
      <c r="L14" s="13"/>
      <c r="M14" s="13"/>
      <c r="N14" s="13"/>
      <c r="O14" s="13"/>
      <c r="P14" s="6"/>
      <c r="Q14" s="6"/>
      <c r="R14" s="14"/>
    </row>
    <row r="15" spans="3:18" x14ac:dyDescent="0.35">
      <c r="C15" s="12"/>
      <c r="D15" s="6"/>
      <c r="E15" s="13"/>
      <c r="F15" s="13"/>
      <c r="G15" s="13"/>
      <c r="H15" s="13"/>
      <c r="I15" s="6"/>
      <c r="J15" s="6"/>
      <c r="K15" s="6"/>
      <c r="L15" s="13"/>
      <c r="M15" s="13"/>
      <c r="N15" s="13"/>
      <c r="O15" s="13"/>
      <c r="P15" s="6"/>
      <c r="Q15" s="6"/>
      <c r="R15" s="14"/>
    </row>
    <row r="16" spans="3:18" x14ac:dyDescent="0.35">
      <c r="C16" s="12"/>
      <c r="D16" s="6"/>
      <c r="E16" s="13"/>
      <c r="F16" s="13"/>
      <c r="G16" s="13"/>
      <c r="H16" s="13"/>
      <c r="I16" s="6"/>
      <c r="J16" s="6"/>
      <c r="K16" s="6"/>
      <c r="L16" s="13"/>
      <c r="M16" s="13"/>
      <c r="N16" s="13"/>
      <c r="O16" s="13"/>
      <c r="P16" s="6"/>
      <c r="Q16" s="6"/>
      <c r="R16" s="14"/>
    </row>
    <row r="17" spans="3:18" x14ac:dyDescent="0.35">
      <c r="C17" s="12"/>
      <c r="D17" s="2" t="s">
        <v>862</v>
      </c>
      <c r="E17" s="4" t="str">
        <f ca="1">pal!B2</f>
        <v>Net</v>
      </c>
      <c r="F17" s="4" t="str">
        <f ca="1">pal!C2</f>
        <v>Gross</v>
      </c>
      <c r="G17" s="4" t="str">
        <f ca="1">pal!D2</f>
        <v>Long</v>
      </c>
      <c r="H17" s="4" t="str">
        <f ca="1">pal!E2</f>
        <v>Short</v>
      </c>
      <c r="I17" s="6"/>
      <c r="J17" s="6"/>
      <c r="K17" s="6"/>
      <c r="L17" s="13"/>
      <c r="M17" s="13"/>
      <c r="N17" s="13"/>
      <c r="O17" s="13"/>
      <c r="P17" s="6"/>
      <c r="Q17" s="6"/>
      <c r="R17" s="14"/>
    </row>
    <row r="18" spans="3:18" x14ac:dyDescent="0.35">
      <c r="C18" s="12"/>
      <c r="D18" s="1" t="str">
        <f ca="1">pal!A3</f>
        <v>DV01</v>
      </c>
      <c r="E18" s="13">
        <f ca="1">IFERROR(ROUND(pal!B3,0),"-")</f>
        <v>-4622</v>
      </c>
      <c r="F18" s="13">
        <f ca="1">IFERROR(ROUND(pal!C3,0),"-")</f>
        <v>288920</v>
      </c>
      <c r="G18" s="13">
        <f ca="1">IFERROR(ROUND(pal!D3,0),"-")</f>
        <v>142136</v>
      </c>
      <c r="H18" s="13">
        <f ca="1">IFERROR(ROUND(pal!E3,0),"-")</f>
        <v>-146759</v>
      </c>
      <c r="I18" s="6"/>
      <c r="J18" s="6"/>
      <c r="K18" s="6"/>
      <c r="L18" s="13"/>
      <c r="M18" s="13"/>
      <c r="N18" s="13"/>
      <c r="O18" s="13"/>
      <c r="P18" s="6"/>
      <c r="Q18" s="6"/>
      <c r="R18" s="14"/>
    </row>
    <row r="19" spans="3:18" x14ac:dyDescent="0.35">
      <c r="C19" s="12"/>
      <c r="D19" s="1" t="str">
        <f ca="1">pal!A4</f>
        <v>CR01</v>
      </c>
      <c r="E19" s="13">
        <f ca="1">IFERROR(ROUND(pal!B4,0),"-")</f>
        <v>6090</v>
      </c>
      <c r="F19" s="13">
        <f ca="1">IFERROR(ROUND(pal!C4,0),"-")</f>
        <v>284296</v>
      </c>
      <c r="G19" s="13">
        <f ca="1">IFERROR(ROUND(pal!D4,0),"-")</f>
        <v>128918</v>
      </c>
      <c r="H19" s="13">
        <f ca="1">IFERROR(ROUND(pal!E4,0),"-")</f>
        <v>-122828</v>
      </c>
      <c r="I19" s="6"/>
      <c r="J19" s="6"/>
      <c r="K19" s="6"/>
      <c r="L19" s="13"/>
      <c r="M19" s="13"/>
      <c r="N19" s="13"/>
      <c r="O19" s="13"/>
      <c r="P19" s="6"/>
      <c r="Q19" s="6"/>
      <c r="R19" s="14"/>
    </row>
    <row r="20" spans="3:18" x14ac:dyDescent="0.35">
      <c r="C20" s="12"/>
      <c r="D20" s="1" t="str">
        <f ca="1">pal!A5</f>
        <v>Market Value</v>
      </c>
      <c r="E20" s="13">
        <f ca="1">IFERROR(ROUND(pal!B5,0),"-")</f>
        <v>137966899</v>
      </c>
      <c r="F20" s="13">
        <f ca="1">IFERROR(ROUND(pal!C5,0),"-")</f>
        <v>833327448</v>
      </c>
      <c r="G20" s="13">
        <f ca="1">IFERROR(ROUND(pal!D5,0),"-")</f>
        <v>138805455</v>
      </c>
      <c r="H20" s="13">
        <f ca="1">IFERROR(ROUND(pal!E5,0),"-")</f>
        <v>-838556</v>
      </c>
      <c r="I20" s="6"/>
      <c r="J20" s="6"/>
      <c r="K20" s="6"/>
      <c r="L20" s="13"/>
      <c r="M20" s="13"/>
      <c r="N20" s="13"/>
      <c r="O20" s="13"/>
      <c r="P20" s="6"/>
      <c r="Q20" s="6"/>
      <c r="R20" s="14"/>
    </row>
    <row r="21" spans="3:18" x14ac:dyDescent="0.35">
      <c r="C21" s="12"/>
      <c r="D21" s="1" t="str">
        <f ca="1">pal!A6</f>
        <v>Market Value as % of NAV</v>
      </c>
      <c r="E21" s="13">
        <f ca="1">IFERROR(ROUND(pal!B6,0),"-")</f>
        <v>1</v>
      </c>
      <c r="F21" s="13">
        <f ca="1">IFERROR(ROUND(pal!C6,0),"-")</f>
        <v>5</v>
      </c>
      <c r="G21" s="13">
        <f ca="1">IFERROR(ROUND(pal!D6,0),"-")</f>
        <v>1</v>
      </c>
      <c r="H21" s="13">
        <f ca="1">IFERROR(ROUND(pal!E6,0),"-")</f>
        <v>0</v>
      </c>
      <c r="I21" s="6"/>
      <c r="J21" s="6"/>
      <c r="K21" s="6"/>
      <c r="L21" s="13"/>
      <c r="M21" s="13"/>
      <c r="N21" s="13"/>
      <c r="O21" s="13"/>
      <c r="P21" s="6"/>
      <c r="Q21" s="6"/>
      <c r="R21" s="14"/>
    </row>
    <row r="22" spans="3:18" x14ac:dyDescent="0.35">
      <c r="C22" s="12"/>
      <c r="D22" s="1" t="str">
        <f ca="1">pal!A7</f>
        <v>DTD PnL</v>
      </c>
      <c r="E22" s="13">
        <f ca="1">IFERROR(ROUND(pal!B7,0),"-")</f>
        <v>-46005</v>
      </c>
      <c r="F22" s="13" t="str">
        <f ca="1">IFERROR(ROUND(pal!C7,0),"-")</f>
        <v>-</v>
      </c>
      <c r="G22" s="13">
        <f ca="1">IFERROR(ROUND(pal!D7,0),"-")</f>
        <v>186649</v>
      </c>
      <c r="H22" s="13">
        <f ca="1">IFERROR(ROUND(pal!E7,0),"-")</f>
        <v>-234624</v>
      </c>
      <c r="I22" s="6"/>
      <c r="J22" s="6"/>
      <c r="K22" s="6"/>
      <c r="L22" s="13"/>
      <c r="M22" s="13"/>
      <c r="N22" s="13"/>
      <c r="O22" s="13"/>
      <c r="P22" s="6"/>
      <c r="Q22" s="6"/>
      <c r="R22" s="14"/>
    </row>
    <row r="23" spans="3:18" x14ac:dyDescent="0.35">
      <c r="C23" s="12"/>
      <c r="D23" s="6"/>
      <c r="E23" s="13"/>
      <c r="F23" s="13"/>
      <c r="G23" s="13"/>
      <c r="H23" s="13"/>
      <c r="I23" s="6"/>
      <c r="J23" s="6"/>
      <c r="K23" s="6"/>
      <c r="L23" s="13"/>
      <c r="M23" s="13"/>
      <c r="N23" s="13"/>
      <c r="O23" s="13"/>
      <c r="P23" s="6"/>
      <c r="Q23" s="6"/>
      <c r="R23" s="14"/>
    </row>
    <row r="24" spans="3:18" x14ac:dyDescent="0.35">
      <c r="C24" s="12"/>
      <c r="D24" s="7">
        <f ca="1">time_stamp</f>
        <v>44152.733124999999</v>
      </c>
      <c r="E24" s="13"/>
      <c r="F24" s="13"/>
      <c r="G24" s="13"/>
      <c r="H24" s="13"/>
      <c r="I24" s="6"/>
      <c r="J24" s="6"/>
      <c r="K24" s="7">
        <f ca="1">time_stamp_old</f>
        <v>44152.691458333335</v>
      </c>
      <c r="L24" s="13"/>
      <c r="M24" s="13"/>
      <c r="N24" s="13"/>
      <c r="O24" s="13"/>
      <c r="P24" s="6"/>
      <c r="Q24" s="6"/>
      <c r="R24" s="14"/>
    </row>
    <row r="25" spans="3:18" x14ac:dyDescent="0.35">
      <c r="C25" s="12"/>
      <c r="D25" s="2" t="s">
        <v>858</v>
      </c>
      <c r="E25" s="4" t="str">
        <f>'pal2'!B2</f>
        <v>Net</v>
      </c>
      <c r="F25" s="4" t="str">
        <f>'pal2'!C2</f>
        <v>Gross</v>
      </c>
      <c r="G25" s="4" t="str">
        <f>'pal2'!D2</f>
        <v>Long</v>
      </c>
      <c r="H25" s="4" t="str">
        <f>'pal2'!E2</f>
        <v>Short</v>
      </c>
      <c r="I25" s="6"/>
      <c r="J25" s="6"/>
      <c r="K25" s="2" t="s">
        <v>857</v>
      </c>
      <c r="L25" s="4" t="str">
        <f>'pal3'!B2</f>
        <v>Net</v>
      </c>
      <c r="M25" s="4" t="str">
        <f>'pal3'!C2</f>
        <v>Gross</v>
      </c>
      <c r="N25" s="4" t="str">
        <f>'pal3'!D2</f>
        <v>Long</v>
      </c>
      <c r="O25" s="4" t="str">
        <f>'pal3'!E2</f>
        <v>Short</v>
      </c>
      <c r="P25" s="6"/>
      <c r="Q25" s="6"/>
      <c r="R25" s="14"/>
    </row>
    <row r="26" spans="3:18" x14ac:dyDescent="0.35">
      <c r="C26" s="12"/>
      <c r="D26" s="1" t="str">
        <f>'pal2'!A3</f>
        <v>DV01</v>
      </c>
      <c r="E26" s="13">
        <f>IFERROR(ROUND('pal2'!B3,0),"-")</f>
        <v>-2100</v>
      </c>
      <c r="F26" s="13">
        <f>IFERROR(ROUND('pal2'!C3,0),"-")</f>
        <v>342171</v>
      </c>
      <c r="G26" s="13">
        <f>IFERROR(ROUND('pal2'!D3,0),"-")</f>
        <v>170019</v>
      </c>
      <c r="H26" s="13">
        <f>IFERROR(ROUND('pal2'!E3,0),"-")</f>
        <v>-172120</v>
      </c>
      <c r="I26" s="6"/>
      <c r="J26" s="6"/>
      <c r="K26" s="1" t="str">
        <f>'pal3'!A3</f>
        <v>DV01</v>
      </c>
      <c r="L26" s="13">
        <f>IFERROR(ROUND('pal3'!B3,0),"-")</f>
        <v>-2359</v>
      </c>
      <c r="M26" s="13">
        <f>IFERROR(ROUND('pal3'!C3,0),"-")</f>
        <v>344198</v>
      </c>
      <c r="N26" s="13">
        <f>IFERROR(ROUND('pal3'!D3,0),"-")</f>
        <v>170902</v>
      </c>
      <c r="O26" s="13">
        <f>IFERROR(ROUND('pal3'!E3,0),"-")</f>
        <v>-173261</v>
      </c>
      <c r="P26" s="6"/>
      <c r="Q26" s="6"/>
      <c r="R26" s="14"/>
    </row>
    <row r="27" spans="3:18" x14ac:dyDescent="0.35">
      <c r="C27" s="12"/>
      <c r="D27" s="1" t="str">
        <f>'pal2'!A4</f>
        <v>CR01</v>
      </c>
      <c r="E27" s="13">
        <f>IFERROR(ROUND('pal2'!B4,0),"-")</f>
        <v>11084</v>
      </c>
      <c r="F27" s="13">
        <f>IFERROR(ROUND('pal2'!C4,0),"-")</f>
        <v>334272</v>
      </c>
      <c r="G27" s="13">
        <f>IFERROR(ROUND('pal2'!D4,0),"-")</f>
        <v>162081</v>
      </c>
      <c r="H27" s="13">
        <f>IFERROR(ROUND('pal2'!E4,0),"-")</f>
        <v>-150997</v>
      </c>
      <c r="I27" s="6"/>
      <c r="J27" s="6"/>
      <c r="K27" s="1" t="str">
        <f>'pal3'!A4</f>
        <v>CR01</v>
      </c>
      <c r="L27" s="13">
        <f>IFERROR(ROUND('pal3'!B4,0),"-")</f>
        <v>11171</v>
      </c>
      <c r="M27" s="13">
        <f>IFERROR(ROUND('pal3'!C4,0),"-")</f>
        <v>333979</v>
      </c>
      <c r="N27" s="13">
        <f>IFERROR(ROUND('pal3'!D4,0),"-")</f>
        <v>163454</v>
      </c>
      <c r="O27" s="13">
        <f>IFERROR(ROUND('pal3'!E4,0),"-")</f>
        <v>-152283</v>
      </c>
      <c r="P27" s="6"/>
      <c r="Q27" s="6"/>
      <c r="R27" s="14"/>
    </row>
    <row r="28" spans="3:18" x14ac:dyDescent="0.35">
      <c r="C28" s="12"/>
      <c r="D28" s="1" t="str">
        <f>'pal2'!A5</f>
        <v>Market Value</v>
      </c>
      <c r="E28" s="13">
        <f>IFERROR(ROUND('pal2'!B5,0),"-")</f>
        <v>114968506</v>
      </c>
      <c r="F28" s="13">
        <f>IFERROR(ROUND('pal2'!C5,0),"-")</f>
        <v>1018819817</v>
      </c>
      <c r="G28" s="13">
        <f>IFERROR(ROUND('pal2'!D5,0),"-")</f>
        <v>126716612</v>
      </c>
      <c r="H28" s="13">
        <f>IFERROR(ROUND('pal2'!E5,0),"-")</f>
        <v>-11748106</v>
      </c>
      <c r="I28" s="6"/>
      <c r="J28" s="6"/>
      <c r="K28" s="1" t="str">
        <f>'pal3'!A5</f>
        <v>Market Value</v>
      </c>
      <c r="L28" s="13">
        <f>IFERROR(ROUND('pal3'!B5,0),"-")</f>
        <v>143591912</v>
      </c>
      <c r="M28" s="13">
        <f>IFERROR(ROUND('pal3'!C5,0),"-")</f>
        <v>996223215</v>
      </c>
      <c r="N28" s="13">
        <f>IFERROR(ROUND('pal3'!D5,0),"-")</f>
        <v>154925132</v>
      </c>
      <c r="O28" s="13">
        <f>IFERROR(ROUND('pal3'!E5,0),"-")</f>
        <v>-11333220</v>
      </c>
      <c r="P28" s="6"/>
      <c r="Q28" s="6"/>
      <c r="R28" s="14"/>
    </row>
    <row r="29" spans="3:18" x14ac:dyDescent="0.35">
      <c r="C29" s="12"/>
      <c r="D29" s="1" t="str">
        <f>'pal2'!A6</f>
        <v>Market Value as % of NAV</v>
      </c>
      <c r="E29" s="13">
        <f>IFERROR(ROUND('pal2'!B6,0),"-")</f>
        <v>1</v>
      </c>
      <c r="F29" s="13">
        <f>IFERROR(ROUND('pal2'!C6,0),"-")</f>
        <v>6</v>
      </c>
      <c r="G29" s="13">
        <f>IFERROR(ROUND('pal2'!D6,0),"-")</f>
        <v>1</v>
      </c>
      <c r="H29" s="13">
        <f>IFERROR(ROUND('pal2'!E6,0),"-")</f>
        <v>0</v>
      </c>
      <c r="I29" s="6"/>
      <c r="J29" s="6"/>
      <c r="K29" s="1" t="str">
        <f>'pal3'!A6</f>
        <v>Market Value as % of NAV</v>
      </c>
      <c r="L29" s="13">
        <f>IFERROR(ROUND('pal3'!B6,0),"-")</f>
        <v>1</v>
      </c>
      <c r="M29" s="13">
        <f>IFERROR(ROUND('pal3'!C6,0),"-")</f>
        <v>7</v>
      </c>
      <c r="N29" s="13">
        <f>IFERROR(ROUND('pal3'!D6,0),"-")</f>
        <v>1</v>
      </c>
      <c r="O29" s="13">
        <f>IFERROR(ROUND('pal3'!E6,0),"-")</f>
        <v>0</v>
      </c>
      <c r="P29" s="6"/>
      <c r="Q29" s="6"/>
      <c r="R29" s="14"/>
    </row>
    <row r="30" spans="3:18" x14ac:dyDescent="0.35">
      <c r="C30" s="12"/>
      <c r="D30" s="1" t="str">
        <f>'pal2'!A7</f>
        <v>DTD PnL</v>
      </c>
      <c r="E30" s="13">
        <f>IFERROR(ROUND('pal2'!B7,0),"-")</f>
        <v>82273</v>
      </c>
      <c r="F30" s="13" t="str">
        <f>IFERROR(ROUND('pal2'!C7,0),"-")</f>
        <v>-</v>
      </c>
      <c r="G30" s="13">
        <f>IFERROR(ROUND('pal2'!D7,0),"-")</f>
        <v>482225</v>
      </c>
      <c r="H30" s="13">
        <f>IFERROR(ROUND('pal2'!E7,0),"-")</f>
        <v>-434633</v>
      </c>
      <c r="I30" s="6"/>
      <c r="J30" s="6"/>
      <c r="K30" s="1" t="str">
        <f>'pal3'!A7</f>
        <v>DTD PnL</v>
      </c>
      <c r="L30" s="13">
        <f>IFERROR(ROUND('pal3'!B7,0),"-")</f>
        <v>-44637</v>
      </c>
      <c r="M30" s="13" t="str">
        <f>IFERROR(ROUND('pal3'!C7,0),"-")</f>
        <v>-</v>
      </c>
      <c r="N30" s="13">
        <f>IFERROR(ROUND('pal3'!D7,0),"-")</f>
        <v>-4638</v>
      </c>
      <c r="O30" s="13">
        <f>IFERROR(ROUND('pal3'!E7,0),"-")</f>
        <v>-68214</v>
      </c>
      <c r="P30" s="6"/>
      <c r="Q30" s="6"/>
      <c r="R30" s="14"/>
    </row>
    <row r="31" spans="3:18" x14ac:dyDescent="0.35">
      <c r="C31" s="12"/>
      <c r="D31" s="6"/>
      <c r="E31" s="13"/>
      <c r="F31" s="13"/>
      <c r="G31" s="13"/>
      <c r="H31" s="13"/>
      <c r="I31" s="6"/>
      <c r="J31" s="6"/>
      <c r="K31" s="6"/>
      <c r="L31" s="13"/>
      <c r="M31" s="13"/>
      <c r="N31" s="13"/>
      <c r="O31" s="13"/>
      <c r="P31" s="6"/>
      <c r="Q31" s="6"/>
      <c r="R31" s="14"/>
    </row>
    <row r="32" spans="3:18" x14ac:dyDescent="0.35">
      <c r="C32" s="12"/>
      <c r="E32" s="13"/>
      <c r="F32" s="13"/>
      <c r="G32" s="13"/>
      <c r="H32" s="13"/>
      <c r="I32" s="6"/>
      <c r="J32" s="6"/>
      <c r="K32" s="6"/>
      <c r="L32" s="13"/>
      <c r="M32" s="13"/>
      <c r="N32" s="13"/>
      <c r="O32" s="13"/>
      <c r="P32" s="6"/>
      <c r="Q32" s="6"/>
      <c r="R32" s="14"/>
    </row>
    <row r="33" spans="3:18" x14ac:dyDescent="0.35">
      <c r="C33" s="12"/>
      <c r="D33" s="2" t="s">
        <v>865</v>
      </c>
      <c r="E33" s="4" t="str">
        <f ca="1">E17</f>
        <v>Net</v>
      </c>
      <c r="F33" s="4" t="str">
        <f ca="1">F17</f>
        <v>Gross</v>
      </c>
      <c r="G33" s="4" t="str">
        <f ca="1">G17</f>
        <v>Long</v>
      </c>
      <c r="H33" s="4" t="str">
        <f ca="1">H17</f>
        <v>Short</v>
      </c>
      <c r="I33" s="6"/>
      <c r="J33" s="6"/>
      <c r="K33" s="2" t="s">
        <v>866</v>
      </c>
      <c r="L33" s="4" t="str">
        <f>L25</f>
        <v>Net</v>
      </c>
      <c r="M33" s="4" t="str">
        <f>M25</f>
        <v>Gross</v>
      </c>
      <c r="N33" s="4" t="str">
        <f>N25</f>
        <v>Long</v>
      </c>
      <c r="O33" s="4" t="str">
        <f>O25</f>
        <v>Short</v>
      </c>
      <c r="P33" s="6"/>
      <c r="Q33" s="6"/>
      <c r="R33" s="14"/>
    </row>
    <row r="34" spans="3:18" x14ac:dyDescent="0.35">
      <c r="C34" s="12"/>
      <c r="D34" s="1" t="str">
        <f ca="1">D18</f>
        <v>DV01</v>
      </c>
      <c r="E34" s="13">
        <f t="shared" ref="E34:H38" ca="1" si="0">IFERROR(E18-E26,"-")</f>
        <v>-2522</v>
      </c>
      <c r="F34" s="13">
        <f t="shared" ca="1" si="0"/>
        <v>-53251</v>
      </c>
      <c r="G34" s="13">
        <f t="shared" ca="1" si="0"/>
        <v>-27883</v>
      </c>
      <c r="H34" s="13">
        <f t="shared" ca="1" si="0"/>
        <v>25361</v>
      </c>
      <c r="I34" s="6"/>
      <c r="J34" s="6"/>
      <c r="K34" s="1" t="str">
        <f>K26</f>
        <v>DV01</v>
      </c>
      <c r="L34" s="13">
        <f t="shared" ref="L34:O38" ca="1" si="1">IFERROR(E18-L26,"-")</f>
        <v>-2263</v>
      </c>
      <c r="M34" s="13">
        <f t="shared" ca="1" si="1"/>
        <v>-55278</v>
      </c>
      <c r="N34" s="13">
        <f t="shared" ca="1" si="1"/>
        <v>-28766</v>
      </c>
      <c r="O34" s="13">
        <f t="shared" ca="1" si="1"/>
        <v>26502</v>
      </c>
      <c r="P34" s="6"/>
      <c r="Q34" s="6"/>
      <c r="R34" s="14"/>
    </row>
    <row r="35" spans="3:18" x14ac:dyDescent="0.35">
      <c r="C35" s="12"/>
      <c r="D35" s="1" t="str">
        <f ca="1">D19</f>
        <v>CR01</v>
      </c>
      <c r="E35" s="13">
        <f t="shared" ca="1" si="0"/>
        <v>-4994</v>
      </c>
      <c r="F35" s="13">
        <f t="shared" ca="1" si="0"/>
        <v>-49976</v>
      </c>
      <c r="G35" s="13">
        <f t="shared" ca="1" si="0"/>
        <v>-33163</v>
      </c>
      <c r="H35" s="13">
        <f t="shared" ca="1" si="0"/>
        <v>28169</v>
      </c>
      <c r="I35" s="6"/>
      <c r="J35" s="6"/>
      <c r="K35" s="1" t="str">
        <f>K27</f>
        <v>CR01</v>
      </c>
      <c r="L35" s="13">
        <f t="shared" ca="1" si="1"/>
        <v>-5081</v>
      </c>
      <c r="M35" s="13">
        <f t="shared" ca="1" si="1"/>
        <v>-49683</v>
      </c>
      <c r="N35" s="13">
        <f t="shared" ca="1" si="1"/>
        <v>-34536</v>
      </c>
      <c r="O35" s="13">
        <f t="shared" ca="1" si="1"/>
        <v>29455</v>
      </c>
      <c r="P35" s="6"/>
      <c r="Q35" s="6"/>
      <c r="R35" s="14"/>
    </row>
    <row r="36" spans="3:18" x14ac:dyDescent="0.35">
      <c r="C36" s="12"/>
      <c r="D36" s="1" t="str">
        <f ca="1">D20</f>
        <v>Market Value</v>
      </c>
      <c r="E36" s="13">
        <f t="shared" ca="1" si="0"/>
        <v>22998393</v>
      </c>
      <c r="F36" s="13">
        <f t="shared" ca="1" si="0"/>
        <v>-185492369</v>
      </c>
      <c r="G36" s="13">
        <f t="shared" ca="1" si="0"/>
        <v>12088843</v>
      </c>
      <c r="H36" s="13">
        <f t="shared" ca="1" si="0"/>
        <v>10909550</v>
      </c>
      <c r="I36" s="6"/>
      <c r="J36" s="6"/>
      <c r="K36" s="1" t="str">
        <f>K28</f>
        <v>Market Value</v>
      </c>
      <c r="L36" s="13">
        <f t="shared" ca="1" si="1"/>
        <v>-5625013</v>
      </c>
      <c r="M36" s="13">
        <f t="shared" ca="1" si="1"/>
        <v>-162895767</v>
      </c>
      <c r="N36" s="13">
        <f t="shared" ca="1" si="1"/>
        <v>-16119677</v>
      </c>
      <c r="O36" s="13">
        <f t="shared" ca="1" si="1"/>
        <v>10494664</v>
      </c>
      <c r="P36" s="6"/>
      <c r="Q36" s="6"/>
      <c r="R36" s="14"/>
    </row>
    <row r="37" spans="3:18" x14ac:dyDescent="0.35">
      <c r="C37" s="12"/>
      <c r="D37" s="1" t="str">
        <f ca="1">D21</f>
        <v>Market Value as % of NAV</v>
      </c>
      <c r="E37" s="13">
        <f t="shared" ca="1" si="0"/>
        <v>0</v>
      </c>
      <c r="F37" s="13">
        <f t="shared" ca="1" si="0"/>
        <v>-1</v>
      </c>
      <c r="G37" s="13">
        <f t="shared" ca="1" si="0"/>
        <v>0</v>
      </c>
      <c r="H37" s="13">
        <f t="shared" ca="1" si="0"/>
        <v>0</v>
      </c>
      <c r="I37" s="6"/>
      <c r="J37" s="6"/>
      <c r="K37" s="1" t="str">
        <f>K29</f>
        <v>Market Value as % of NAV</v>
      </c>
      <c r="L37" s="13">
        <f t="shared" ca="1" si="1"/>
        <v>0</v>
      </c>
      <c r="M37" s="13">
        <f t="shared" ca="1" si="1"/>
        <v>-2</v>
      </c>
      <c r="N37" s="13">
        <f t="shared" ca="1" si="1"/>
        <v>0</v>
      </c>
      <c r="O37" s="13">
        <f t="shared" ca="1" si="1"/>
        <v>0</v>
      </c>
      <c r="P37" s="6"/>
      <c r="Q37" s="6"/>
      <c r="R37" s="14"/>
    </row>
    <row r="38" spans="3:18" x14ac:dyDescent="0.35">
      <c r="C38" s="12"/>
      <c r="D38" s="1" t="str">
        <f ca="1">D22</f>
        <v>DTD PnL</v>
      </c>
      <c r="E38" s="13">
        <f t="shared" ca="1" si="0"/>
        <v>-128278</v>
      </c>
      <c r="F38" s="13" t="str">
        <f t="shared" ca="1" si="0"/>
        <v>-</v>
      </c>
      <c r="G38" s="13">
        <f t="shared" ca="1" si="0"/>
        <v>-295576</v>
      </c>
      <c r="H38" s="13">
        <f t="shared" ca="1" si="0"/>
        <v>200009</v>
      </c>
      <c r="I38" s="6"/>
      <c r="J38" s="6"/>
      <c r="K38" s="1" t="str">
        <f>K30</f>
        <v>DTD PnL</v>
      </c>
      <c r="L38" s="13">
        <f t="shared" ca="1" si="1"/>
        <v>-1368</v>
      </c>
      <c r="M38" s="13" t="str">
        <f t="shared" ca="1" si="1"/>
        <v>-</v>
      </c>
      <c r="N38" s="13">
        <f t="shared" ca="1" si="1"/>
        <v>191287</v>
      </c>
      <c r="O38" s="13">
        <f t="shared" ca="1" si="1"/>
        <v>-166410</v>
      </c>
      <c r="P38" s="6"/>
      <c r="Q38" s="6"/>
      <c r="R38" s="14"/>
    </row>
    <row r="39" spans="3:18" x14ac:dyDescent="0.35">
      <c r="C39" s="12"/>
      <c r="D39" s="6"/>
      <c r="E39" s="13"/>
      <c r="F39" s="13"/>
      <c r="G39" s="13"/>
      <c r="H39" s="13"/>
      <c r="I39" s="6"/>
      <c r="J39" s="6"/>
      <c r="K39" s="6"/>
      <c r="L39" s="13"/>
      <c r="M39" s="13"/>
      <c r="N39" s="13"/>
      <c r="O39" s="13"/>
      <c r="P39" s="6"/>
      <c r="Q39" s="6"/>
      <c r="R39" s="14"/>
    </row>
    <row r="40" spans="3:18" x14ac:dyDescent="0.35">
      <c r="C40" s="12"/>
      <c r="D40" s="6"/>
      <c r="E40" s="13"/>
      <c r="F40" s="13"/>
      <c r="G40" s="13"/>
      <c r="H40" s="13"/>
      <c r="I40" s="6"/>
      <c r="J40" s="6"/>
      <c r="K40" s="6"/>
      <c r="L40" s="13"/>
      <c r="M40" s="13"/>
      <c r="N40" s="13"/>
      <c r="O40" s="13"/>
      <c r="P40" s="6"/>
      <c r="Q40" s="6"/>
      <c r="R40" s="14"/>
    </row>
    <row r="41" spans="3:18" x14ac:dyDescent="0.35">
      <c r="C41" s="12"/>
      <c r="D41" s="6"/>
      <c r="E41" s="13"/>
      <c r="F41" s="13"/>
      <c r="G41" s="13"/>
      <c r="H41" s="13"/>
      <c r="I41" s="6"/>
      <c r="J41" s="6"/>
      <c r="K41" s="6"/>
      <c r="L41" s="13"/>
      <c r="M41" s="13"/>
      <c r="N41" s="13"/>
      <c r="O41" s="13"/>
      <c r="P41" s="6"/>
      <c r="Q41" s="6"/>
      <c r="R41" s="14"/>
    </row>
    <row r="42" spans="3:18" x14ac:dyDescent="0.35">
      <c r="C42" s="12"/>
      <c r="D42" s="6"/>
      <c r="E42" s="13"/>
      <c r="F42" s="13"/>
      <c r="G42" s="13"/>
      <c r="H42" s="13"/>
      <c r="I42" s="6"/>
      <c r="J42" s="6"/>
      <c r="K42" s="6"/>
      <c r="L42" s="13"/>
      <c r="M42" s="13"/>
      <c r="N42" s="13"/>
      <c r="O42" s="13"/>
      <c r="P42" s="6"/>
      <c r="Q42" s="6"/>
      <c r="R42" s="14"/>
    </row>
    <row r="43" spans="3:18" x14ac:dyDescent="0.35">
      <c r="C43" s="12"/>
      <c r="D43" s="6"/>
      <c r="E43" s="13"/>
      <c r="F43" s="13"/>
      <c r="G43" s="13"/>
      <c r="H43" s="13"/>
      <c r="I43" s="6"/>
      <c r="J43" s="6"/>
      <c r="K43" s="6"/>
      <c r="L43" s="13"/>
      <c r="M43" s="13"/>
      <c r="N43" s="13"/>
      <c r="O43" s="13"/>
      <c r="P43" s="6"/>
      <c r="Q43" s="6"/>
      <c r="R43" s="14"/>
    </row>
    <row r="44" spans="3:18" x14ac:dyDescent="0.35">
      <c r="C44" s="12"/>
      <c r="D44" s="6"/>
      <c r="E44" s="13"/>
      <c r="F44" s="13"/>
      <c r="G44" s="13"/>
      <c r="H44" s="13"/>
      <c r="I44" s="6"/>
      <c r="J44" s="6"/>
      <c r="K44" s="6"/>
      <c r="L44" s="13"/>
      <c r="M44" s="13"/>
      <c r="N44" s="13"/>
      <c r="O44" s="13"/>
      <c r="P44" s="6"/>
      <c r="Q44" s="6"/>
      <c r="R44" s="14"/>
    </row>
    <row r="45" spans="3:18" x14ac:dyDescent="0.35">
      <c r="C45" s="12"/>
      <c r="D45" s="6"/>
      <c r="E45" s="13"/>
      <c r="F45" s="13"/>
      <c r="G45" s="13"/>
      <c r="H45" s="13"/>
      <c r="I45" s="6"/>
      <c r="J45" s="6"/>
      <c r="K45" s="6"/>
      <c r="L45" s="13"/>
      <c r="M45" s="13"/>
      <c r="N45" s="13"/>
      <c r="O45" s="13"/>
      <c r="P45" s="6"/>
      <c r="Q45" s="6"/>
      <c r="R45" s="14"/>
    </row>
    <row r="46" spans="3:18" x14ac:dyDescent="0.35">
      <c r="C46" s="12"/>
      <c r="D46" s="6"/>
      <c r="E46" s="13"/>
      <c r="F46" s="13"/>
      <c r="G46" s="13"/>
      <c r="H46" s="13"/>
      <c r="I46" s="6"/>
      <c r="J46" s="6"/>
      <c r="K46" s="6"/>
      <c r="L46" s="13"/>
      <c r="M46" s="13"/>
      <c r="N46" s="13"/>
      <c r="O46" s="13"/>
      <c r="P46" s="6"/>
      <c r="Q46" s="6"/>
      <c r="R46" s="14"/>
    </row>
    <row r="47" spans="3:18" ht="15" thickBot="1" x14ac:dyDescent="0.4">
      <c r="C47" s="15"/>
      <c r="D47" s="16"/>
      <c r="E47" s="17"/>
      <c r="F47" s="17"/>
      <c r="G47" s="17"/>
      <c r="H47" s="17"/>
      <c r="I47" s="16"/>
      <c r="J47" s="16"/>
      <c r="K47" s="16"/>
      <c r="L47" s="17"/>
      <c r="M47" s="17"/>
      <c r="N47" s="17"/>
      <c r="O47" s="17"/>
      <c r="P47" s="16"/>
      <c r="Q47" s="16"/>
      <c r="R47" s="18"/>
    </row>
  </sheetData>
  <pageMargins left="0.7" right="0.7" top="0.75" bottom="0.75" header="0.3" footer="0.3"/>
  <pageSetup paperSize="9" orientation="portrait" r:id="rId1"/>
  <drawing r:id="rId2"/>
  <webPublishItems count="3">
    <webPublishItem id="1320" divId="P&amp;l movement_R_ The object DIV" sourceType="printArea" destinationFile="R:\Quant Tools\outputs\HTML\P&amp;l movement_R_pnl_changes_over_time_group_level.html"/>
    <webPublishItem id="11944" divId="P&amp;l movement_R_ by DL" sourceType="printArea" destinationFile="R:\Quant Tools\outputs\HTML\P&amp;l movement_R_pnl_changes_over_time_group_level.html"/>
    <webPublishItem id="3147" divId="P&amp;l movement_R by DL" sourceType="printArea" destinationFile="R:\Quant Tools\outputs\HTML\P&amp;l movement_R_pnl_changes_over_time_group_level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2823E-37B9-4437-9B45-EFA4BAD874D2}">
  <sheetPr codeName="Sheet9">
    <tabColor rgb="FF7030A0"/>
  </sheetPr>
  <dimension ref="C5:O65"/>
  <sheetViews>
    <sheetView workbookViewId="0">
      <selection activeCell="K41" sqref="K41"/>
    </sheetView>
  </sheetViews>
  <sheetFormatPr defaultRowHeight="14.5" x14ac:dyDescent="0.35"/>
  <cols>
    <col min="3" max="3" width="14" bestFit="1" customWidth="1"/>
    <col min="4" max="4" width="16.7265625" bestFit="1" customWidth="1"/>
    <col min="5" max="5" width="16.7265625" customWidth="1"/>
    <col min="6" max="6" width="21.6328125" bestFit="1" customWidth="1"/>
    <col min="7" max="7" width="21.6328125" customWidth="1"/>
    <col min="8" max="8" width="14" customWidth="1"/>
    <col min="9" max="9" width="4.90625" customWidth="1"/>
    <col min="11" max="11" width="15.26953125" style="98" customWidth="1"/>
  </cols>
  <sheetData>
    <row r="5" spans="3:15" ht="29" x14ac:dyDescent="0.35">
      <c r="C5" s="103" t="s">
        <v>1670</v>
      </c>
      <c r="D5" s="103" t="s">
        <v>1735</v>
      </c>
      <c r="E5" s="103" t="s">
        <v>1736</v>
      </c>
      <c r="F5" s="103" t="s">
        <v>855</v>
      </c>
      <c r="G5" s="103" t="s">
        <v>928</v>
      </c>
      <c r="H5" s="103" t="s">
        <v>1672</v>
      </c>
      <c r="I5" s="105" t="s">
        <v>1673</v>
      </c>
      <c r="J5" s="103" t="s">
        <v>1671</v>
      </c>
      <c r="K5" s="108" t="s">
        <v>1750</v>
      </c>
      <c r="L5" s="105" t="s">
        <v>1677</v>
      </c>
      <c r="M5" s="105" t="s">
        <v>915</v>
      </c>
      <c r="N5" s="105" t="s">
        <v>1733</v>
      </c>
      <c r="O5" s="103" t="s">
        <v>1676</v>
      </c>
    </row>
    <row r="6" spans="3:15" x14ac:dyDescent="0.35">
      <c r="C6" t="str" cm="1">
        <f t="array" aca="1" ref="C6:C65" ca="1">Intraday_blotter_DL[Security Isin]</f>
        <v>FR0013331949</v>
      </c>
      <c r="D6" t="str" cm="1">
        <f t="array" aca="1" ref="D6:D65" ca="1">Intraday_blotter_DL[Risk Category Name]</f>
        <v>SEMINARA</v>
      </c>
      <c r="E6" t="str" cm="1">
        <f t="array" aca="1" ref="E6:E65" ca="1">_xlfn.ANCHORARRAY(C6)&amp;_xlfn.ANCHORARRAY(D6)</f>
        <v>FR0013331949SEMINARA</v>
      </c>
      <c r="F6" t="str" cm="1">
        <f t="array" aca="1" ref="F6:F65" ca="1">Intraday_blotter_DL[Security Ticker]</f>
        <v>FRPTT 3 1/8 PERP</v>
      </c>
      <c r="G6" t="str" cm="1">
        <f t="array" aca="1" ref="G6:G65" ca="1">Intraday_blotter_DL[Security Type Name]</f>
        <v>Bond Corporate</v>
      </c>
      <c r="H6" t="str" cm="1">
        <f t="array" aca="1" ref="H6:H65" ca="1">Intraday_blotter_DL[Transaction Type Name]</f>
        <v>Sell</v>
      </c>
      <c r="I6" cm="1">
        <f t="array" aca="1" ref="I6:I65" ca="1">IF(_xlfn.ANCHORARRAY(H6)="buy",1,IF(_xlfn.ANCHORARRAY(H6)="sell",-1,"-"))</f>
        <v>-1</v>
      </c>
      <c r="J6" cm="1">
        <f t="array" aca="1" ref="J6:J65" ca="1">Intraday_blotter_DL[Quantity]</f>
        <v>4500000</v>
      </c>
      <c r="K6" s="98" cm="1">
        <f t="array" aca="1" ref="K6:K65" ca="1">IF(_xlfn.ANCHORARRAY(G6)="future",100000,1)*_xlfn.ANCHORARRAY(J6)*_xlfn.ANCHORARRAY(I6)</f>
        <v>-4500000</v>
      </c>
      <c r="L6" cm="1">
        <f t="array" aca="1" ref="L6:L65" ca="1">Intraday_blotter_DL[Trade Price]</f>
        <v>106.495</v>
      </c>
      <c r="M6" t="e" cm="1">
        <f t="array" aca="1" ref="M6:M65" ca="1">_xlfn.XLOOKUP(_xlfn.ANCHORARRAY(C6),_xlfn.ANCHORARRAY(pnl!C13),_xlfn.ANCHORARRAY(pnl!O13))</f>
        <v>#N/A</v>
      </c>
      <c r="N6" cm="1">
        <f t="array" aca="1" ref="N6:N65" ca="1">_xlfn.XLOOKUP(_xlfn.ANCHORARRAY(C6),_xlfn.ANCHORARRAY(newResult!T42),_xlfn.ANCHORARRAY(newResult!Y42))</f>
        <v>106.43300000000001</v>
      </c>
      <c r="O6" cm="1">
        <f t="array" aca="1" ref="O6:O65" ca="1">IFERROR((_xlfn.ANCHORARRAY(N6)-_xlfn.ANCHORARRAY(L6))/100*_xlfn.ANCHORARRAY(J6)*_xlfn.ANCHORARRAY(I6)*IF(_xlfn.ANCHORARRAY(G6)="future",100000,1),"-")</f>
        <v>2789.9999999998927</v>
      </c>
    </row>
    <row r="7" spans="3:15" x14ac:dyDescent="0.35">
      <c r="C7" t="str">
        <f ca="1"/>
        <v>XS2225157424</v>
      </c>
      <c r="D7" t="str">
        <f ca="1"/>
        <v>SEMINARA</v>
      </c>
      <c r="E7" t="str">
        <f ca="1"/>
        <v>XS2225157424SEMINARA</v>
      </c>
      <c r="F7" t="str">
        <f ca="1"/>
        <v>VOD 2 5/8 08/27/80</v>
      </c>
      <c r="G7" t="str">
        <f ca="1"/>
        <v>Bond Corporate</v>
      </c>
      <c r="H7" t="str">
        <f ca="1"/>
        <v>Sell</v>
      </c>
      <c r="I7">
        <f ca="1"/>
        <v>-1</v>
      </c>
      <c r="J7">
        <f ca="1"/>
        <v>400000</v>
      </c>
      <c r="K7" s="98">
        <f ca="1"/>
        <v>-400000</v>
      </c>
      <c r="L7">
        <f ca="1"/>
        <v>102.495</v>
      </c>
      <c r="M7">
        <f ca="1"/>
        <v>102.245</v>
      </c>
      <c r="N7">
        <f ca="1"/>
        <v>102.155</v>
      </c>
      <c r="O7">
        <f ca="1"/>
        <v>1360.0000000000136</v>
      </c>
    </row>
    <row r="8" spans="3:15" x14ac:dyDescent="0.35">
      <c r="C8" t="str">
        <f ca="1"/>
        <v>XS1050461034</v>
      </c>
      <c r="D8" t="str">
        <f ca="1"/>
        <v>SEMINARA</v>
      </c>
      <c r="E8" t="str">
        <f ca="1"/>
        <v>XS1050461034SEMINARA</v>
      </c>
      <c r="F8" t="str">
        <f ca="1"/>
        <v>TELEFO 5 7/8 PERP</v>
      </c>
      <c r="G8" t="str">
        <f ca="1"/>
        <v>Bond Corporate</v>
      </c>
      <c r="H8" t="str">
        <f ca="1"/>
        <v>Sell</v>
      </c>
      <c r="I8">
        <f ca="1"/>
        <v>-1</v>
      </c>
      <c r="J8">
        <f ca="1"/>
        <v>3000000</v>
      </c>
      <c r="K8" s="98">
        <f ca="1"/>
        <v>-3000000</v>
      </c>
      <c r="L8">
        <f ca="1"/>
        <v>111.87</v>
      </c>
      <c r="M8">
        <f ca="1"/>
        <v>111.61799999999999</v>
      </c>
      <c r="N8">
        <f ca="1"/>
        <v>111.562</v>
      </c>
      <c r="O8">
        <f ca="1"/>
        <v>9240.0000000002074</v>
      </c>
    </row>
    <row r="9" spans="3:15" x14ac:dyDescent="0.35">
      <c r="C9" t="str">
        <f ca="1"/>
        <v>US05565QDU94</v>
      </c>
      <c r="D9" t="str">
        <f ca="1"/>
        <v>SEMINARA</v>
      </c>
      <c r="E9" t="str">
        <f ca="1"/>
        <v>US05565QDU94SEMINARA</v>
      </c>
      <c r="F9" t="str">
        <f ca="1"/>
        <v>BPLN 4 3/8 PERP</v>
      </c>
      <c r="G9" t="str">
        <f ca="1"/>
        <v>Bond Corporate</v>
      </c>
      <c r="H9" t="str">
        <f ca="1"/>
        <v>Buy</v>
      </c>
      <c r="I9">
        <f ca="1"/>
        <v>1</v>
      </c>
      <c r="J9">
        <f ca="1"/>
        <v>500000</v>
      </c>
      <c r="K9" s="98">
        <f ca="1"/>
        <v>500000</v>
      </c>
      <c r="L9">
        <f ca="1"/>
        <v>106.485</v>
      </c>
      <c r="M9">
        <f ca="1"/>
        <v>106.532</v>
      </c>
      <c r="N9">
        <f ca="1"/>
        <v>106.527</v>
      </c>
      <c r="O9">
        <f ca="1"/>
        <v>210.00000000000796</v>
      </c>
    </row>
    <row r="10" spans="3:15" x14ac:dyDescent="0.35">
      <c r="C10" t="str">
        <f ca="1"/>
        <v>XS2193662728</v>
      </c>
      <c r="D10" t="str">
        <f ca="1"/>
        <v>SEMINARA</v>
      </c>
      <c r="E10" t="str">
        <f ca="1"/>
        <v>XS2193662728SEMINARA</v>
      </c>
      <c r="F10" t="str">
        <f ca="1"/>
        <v>BPLN 3 5/8 PERP</v>
      </c>
      <c r="G10" t="str">
        <f ca="1"/>
        <v>Bond Corporate</v>
      </c>
      <c r="H10" t="str">
        <f ca="1"/>
        <v>Buy</v>
      </c>
      <c r="I10">
        <f ca="1"/>
        <v>1</v>
      </c>
      <c r="J10">
        <f ca="1"/>
        <v>127000</v>
      </c>
      <c r="K10" s="98">
        <f ca="1"/>
        <v>127000</v>
      </c>
      <c r="L10">
        <f ca="1"/>
        <v>107.125</v>
      </c>
      <c r="M10" t="e">
        <f ca="1"/>
        <v>#N/A</v>
      </c>
      <c r="N10">
        <f ca="1"/>
        <v>107.095</v>
      </c>
      <c r="O10">
        <f ca="1"/>
        <v>-38.100000000001444</v>
      </c>
    </row>
    <row r="11" spans="3:15" x14ac:dyDescent="0.35">
      <c r="C11" t="str">
        <f ca="1"/>
        <v>US05565QDU94</v>
      </c>
      <c r="D11" t="str">
        <f ca="1"/>
        <v>SEMINARA</v>
      </c>
      <c r="E11" t="str">
        <f ca="1"/>
        <v>US05565QDU94SEMINARA</v>
      </c>
      <c r="F11" t="str">
        <f ca="1"/>
        <v>BPLN 4 3/8 PERP</v>
      </c>
      <c r="G11" t="str">
        <f ca="1"/>
        <v>Bond Corporate</v>
      </c>
      <c r="H11" t="str">
        <f ca="1"/>
        <v>Buy</v>
      </c>
      <c r="I11">
        <f ca="1"/>
        <v>1</v>
      </c>
      <c r="J11">
        <f ca="1"/>
        <v>3000000</v>
      </c>
      <c r="K11" s="98">
        <f ca="1"/>
        <v>3000000</v>
      </c>
      <c r="L11">
        <f ca="1"/>
        <v>106.485</v>
      </c>
      <c r="M11">
        <f ca="1"/>
        <v>106.532</v>
      </c>
      <c r="N11">
        <f ca="1"/>
        <v>106.527</v>
      </c>
      <c r="O11">
        <f ca="1"/>
        <v>1260.0000000000477</v>
      </c>
    </row>
    <row r="12" spans="3:15" x14ac:dyDescent="0.35">
      <c r="C12" t="str">
        <f ca="1"/>
        <v>US05565QDU94</v>
      </c>
      <c r="D12" t="str">
        <f ca="1"/>
        <v>SEMINARA</v>
      </c>
      <c r="E12" t="str">
        <f ca="1"/>
        <v>US05565QDU94SEMINARA</v>
      </c>
      <c r="F12" t="str">
        <f ca="1"/>
        <v>BPLN 4 3/8 PERP</v>
      </c>
      <c r="G12" t="str">
        <f ca="1"/>
        <v>Bond Corporate</v>
      </c>
      <c r="H12" t="str">
        <f ca="1"/>
        <v>Buy</v>
      </c>
      <c r="I12">
        <f ca="1"/>
        <v>1</v>
      </c>
      <c r="J12">
        <f ca="1"/>
        <v>3500000</v>
      </c>
      <c r="K12" s="98">
        <f ca="1"/>
        <v>3500000</v>
      </c>
      <c r="L12">
        <f ca="1"/>
        <v>106.485</v>
      </c>
      <c r="M12">
        <f ca="1"/>
        <v>106.532</v>
      </c>
      <c r="N12">
        <f ca="1"/>
        <v>106.527</v>
      </c>
      <c r="O12">
        <f ca="1"/>
        <v>1470.0000000000557</v>
      </c>
    </row>
    <row r="13" spans="3:15" x14ac:dyDescent="0.35">
      <c r="C13" t="str">
        <f ca="1"/>
        <v>XS2225204010</v>
      </c>
      <c r="D13" t="str">
        <f ca="1"/>
        <v>SEMINARA</v>
      </c>
      <c r="E13" t="str">
        <f ca="1"/>
        <v>XS2225204010SEMINARA</v>
      </c>
      <c r="F13" t="str">
        <f ca="1"/>
        <v>VOD 3 08/27/80</v>
      </c>
      <c r="G13" t="str">
        <f ca="1"/>
        <v>Bond Corporate</v>
      </c>
      <c r="H13" t="str">
        <f ca="1"/>
        <v>Sell</v>
      </c>
      <c r="I13">
        <f ca="1"/>
        <v>-1</v>
      </c>
      <c r="J13">
        <f ca="1"/>
        <v>1500000</v>
      </c>
      <c r="K13" s="98">
        <f ca="1"/>
        <v>-1500000</v>
      </c>
      <c r="L13">
        <f ca="1"/>
        <v>102.255</v>
      </c>
      <c r="M13">
        <f ca="1"/>
        <v>102.3</v>
      </c>
      <c r="N13">
        <f ca="1"/>
        <v>102.244</v>
      </c>
      <c r="O13">
        <f ca="1"/>
        <v>164.9999999999352</v>
      </c>
    </row>
    <row r="14" spans="3:15" x14ac:dyDescent="0.35">
      <c r="C14" t="str">
        <f ca="1"/>
        <v>XS2186001314</v>
      </c>
      <c r="D14" t="str">
        <f ca="1"/>
        <v>SEMINARA</v>
      </c>
      <c r="E14" t="str">
        <f ca="1"/>
        <v>XS2186001314SEMINARA</v>
      </c>
      <c r="F14" t="str">
        <f ca="1"/>
        <v>REPSM 4.247 PERP</v>
      </c>
      <c r="G14" t="str">
        <f ca="1"/>
        <v>Bond Corporate</v>
      </c>
      <c r="H14" t="str">
        <f ca="1"/>
        <v>Sell</v>
      </c>
      <c r="I14">
        <f ca="1"/>
        <v>-1</v>
      </c>
      <c r="J14">
        <f ca="1"/>
        <v>700000</v>
      </c>
      <c r="K14" s="98">
        <f ca="1"/>
        <v>-700000</v>
      </c>
      <c r="L14">
        <f ca="1"/>
        <v>106.995</v>
      </c>
      <c r="M14">
        <f ca="1"/>
        <v>106.404</v>
      </c>
      <c r="N14">
        <f ca="1"/>
        <v>106.80200000000001</v>
      </c>
      <c r="O14">
        <f ca="1"/>
        <v>1350.9999999999848</v>
      </c>
    </row>
    <row r="15" spans="3:15" x14ac:dyDescent="0.35">
      <c r="C15" t="str">
        <f ca="1"/>
        <v>XS2244941147</v>
      </c>
      <c r="D15" t="str">
        <f ca="1"/>
        <v>SEMINARA</v>
      </c>
      <c r="E15" t="str">
        <f ca="1"/>
        <v>XS2244941147SEMINARA</v>
      </c>
      <c r="F15" t="str">
        <f ca="1"/>
        <v>IBESM 2 1/4 PERP</v>
      </c>
      <c r="G15" t="str">
        <f ca="1"/>
        <v>Bond Corporate</v>
      </c>
      <c r="H15" t="str">
        <f ca="1"/>
        <v>Sell</v>
      </c>
      <c r="I15">
        <f ca="1"/>
        <v>-1</v>
      </c>
      <c r="J15">
        <f ca="1"/>
        <v>800000</v>
      </c>
      <c r="K15" s="98">
        <f ca="1"/>
        <v>-800000</v>
      </c>
      <c r="L15">
        <f ca="1"/>
        <v>103.735</v>
      </c>
      <c r="M15">
        <f ca="1"/>
        <v>103.157</v>
      </c>
      <c r="N15">
        <f ca="1"/>
        <v>103.096</v>
      </c>
      <c r="O15">
        <f ca="1"/>
        <v>5111.9999999999663</v>
      </c>
    </row>
    <row r="16" spans="3:15" x14ac:dyDescent="0.35">
      <c r="C16" t="str">
        <f ca="1"/>
        <v>XS2224439971</v>
      </c>
      <c r="D16" t="str">
        <f ca="1"/>
        <v>SEMINARA</v>
      </c>
      <c r="E16" t="str">
        <f ca="1"/>
        <v>XS2224439971SEMINARA</v>
      </c>
      <c r="F16" t="str">
        <f ca="1"/>
        <v>OMVAV 2 7/8 PERP</v>
      </c>
      <c r="G16" t="str">
        <f ca="1"/>
        <v>Bond Corporate</v>
      </c>
      <c r="H16" t="str">
        <f ca="1"/>
        <v>Sell</v>
      </c>
      <c r="I16">
        <f ca="1"/>
        <v>-1</v>
      </c>
      <c r="J16">
        <f ca="1"/>
        <v>400000</v>
      </c>
      <c r="K16" s="98">
        <f ca="1"/>
        <v>-400000</v>
      </c>
      <c r="L16">
        <f ca="1"/>
        <v>102.35</v>
      </c>
      <c r="M16">
        <f ca="1"/>
        <v>101.849</v>
      </c>
      <c r="N16">
        <f ca="1"/>
        <v>101.873</v>
      </c>
      <c r="O16">
        <f ca="1"/>
        <v>1907.9999999999586</v>
      </c>
    </row>
    <row r="17" spans="3:15" x14ac:dyDescent="0.35">
      <c r="C17" t="str">
        <f ca="1"/>
        <v>USF2893TAM83</v>
      </c>
      <c r="D17" t="str">
        <f ca="1"/>
        <v>SEMINARA</v>
      </c>
      <c r="E17" t="str">
        <f ca="1"/>
        <v>USF2893TAM83SEMINARA</v>
      </c>
      <c r="F17" t="str">
        <f ca="1"/>
        <v>EDF 5 5/8 PERP</v>
      </c>
      <c r="G17" t="str">
        <f ca="1"/>
        <v>Bond Corporate</v>
      </c>
      <c r="H17" t="str">
        <f ca="1"/>
        <v>Buy</v>
      </c>
      <c r="I17">
        <f ca="1"/>
        <v>1</v>
      </c>
      <c r="J17">
        <f ca="1"/>
        <v>800000</v>
      </c>
      <c r="K17" s="98">
        <f ca="1"/>
        <v>800000</v>
      </c>
      <c r="L17">
        <f ca="1"/>
        <v>107.6</v>
      </c>
      <c r="M17">
        <f ca="1"/>
        <v>107.395</v>
      </c>
      <c r="N17">
        <f ca="1"/>
        <v>107.521</v>
      </c>
      <c r="O17">
        <f ca="1"/>
        <v>-631.99999999994816</v>
      </c>
    </row>
    <row r="18" spans="3:15" x14ac:dyDescent="0.35">
      <c r="C18" t="str">
        <f ca="1"/>
        <v>XS2242929532</v>
      </c>
      <c r="D18" t="str">
        <f ca="1"/>
        <v>SEMINARA</v>
      </c>
      <c r="E18" t="str">
        <f ca="1"/>
        <v>XS2242929532SEMINARA</v>
      </c>
      <c r="F18" t="str">
        <f ca="1"/>
        <v>ENIIM 2 5/8 PERP</v>
      </c>
      <c r="G18" t="str">
        <f ca="1"/>
        <v>Bond Corporate</v>
      </c>
      <c r="H18" t="str">
        <f ca="1"/>
        <v>Buy</v>
      </c>
      <c r="I18">
        <f ca="1"/>
        <v>1</v>
      </c>
      <c r="J18">
        <f ca="1"/>
        <v>200000</v>
      </c>
      <c r="K18" s="98">
        <f ca="1"/>
        <v>200000</v>
      </c>
      <c r="L18">
        <f ca="1"/>
        <v>102.63</v>
      </c>
      <c r="M18">
        <f ca="1"/>
        <v>102.81399999999999</v>
      </c>
      <c r="N18">
        <f ca="1"/>
        <v>102.80800000000001</v>
      </c>
      <c r="O18">
        <f ca="1"/>
        <v>356.00000000002296</v>
      </c>
    </row>
    <row r="19" spans="3:15" x14ac:dyDescent="0.35">
      <c r="C19" t="str">
        <f ca="1"/>
        <v>XS2186001314</v>
      </c>
      <c r="D19" t="str">
        <f ca="1"/>
        <v>SEMINARA</v>
      </c>
      <c r="E19" t="str">
        <f ca="1"/>
        <v>XS2186001314SEMINARA</v>
      </c>
      <c r="F19" t="str">
        <f ca="1"/>
        <v>REPSM 4.247 PERP</v>
      </c>
      <c r="G19" t="str">
        <f ca="1"/>
        <v>Bond Corporate</v>
      </c>
      <c r="H19" t="str">
        <f ca="1"/>
        <v>Buy</v>
      </c>
      <c r="I19">
        <f ca="1"/>
        <v>1</v>
      </c>
      <c r="J19">
        <f ca="1"/>
        <v>600000</v>
      </c>
      <c r="K19" s="98">
        <f ca="1"/>
        <v>600000</v>
      </c>
      <c r="L19">
        <f ca="1"/>
        <v>106.63</v>
      </c>
      <c r="M19">
        <f ca="1"/>
        <v>106.404</v>
      </c>
      <c r="N19">
        <f ca="1"/>
        <v>106.80200000000001</v>
      </c>
      <c r="O19">
        <f ca="1"/>
        <v>1032.0000000000675</v>
      </c>
    </row>
    <row r="20" spans="3:15" x14ac:dyDescent="0.35">
      <c r="C20" t="str">
        <f ca="1"/>
        <v>USF2893TAF33</v>
      </c>
      <c r="D20" t="str">
        <f ca="1"/>
        <v>SEMINARA</v>
      </c>
      <c r="E20" t="str">
        <f ca="1"/>
        <v>USF2893TAF33SEMINARA</v>
      </c>
      <c r="F20" t="str">
        <f ca="1"/>
        <v>EDF 5 1/4 PERP</v>
      </c>
      <c r="G20" t="str">
        <f ca="1"/>
        <v>Bond Corporate</v>
      </c>
      <c r="H20" t="str">
        <f ca="1"/>
        <v>Sell</v>
      </c>
      <c r="I20">
        <f ca="1"/>
        <v>-1</v>
      </c>
      <c r="J20">
        <f ca="1"/>
        <v>200000</v>
      </c>
      <c r="K20" s="98">
        <f ca="1"/>
        <v>-200000</v>
      </c>
      <c r="L20">
        <f ca="1"/>
        <v>106.22</v>
      </c>
      <c r="M20">
        <f ca="1"/>
        <v>105.54</v>
      </c>
      <c r="N20">
        <f ca="1"/>
        <v>105.52800000000001</v>
      </c>
      <c r="O20">
        <f ca="1"/>
        <v>1383.9999999999861</v>
      </c>
    </row>
    <row r="21" spans="3:15" x14ac:dyDescent="0.35">
      <c r="C21" t="str">
        <f ca="1"/>
        <v>XS2186001314</v>
      </c>
      <c r="D21" t="str">
        <f ca="1"/>
        <v>SEMINARA</v>
      </c>
      <c r="E21" t="str">
        <f ca="1"/>
        <v>XS2186001314SEMINARA</v>
      </c>
      <c r="F21" t="str">
        <f ca="1"/>
        <v>REPSM 4.247 PERP</v>
      </c>
      <c r="G21" t="str">
        <f ca="1"/>
        <v>Bond Corporate</v>
      </c>
      <c r="H21" t="str">
        <f ca="1"/>
        <v>Buy</v>
      </c>
      <c r="I21">
        <f ca="1"/>
        <v>1</v>
      </c>
      <c r="J21">
        <f ca="1"/>
        <v>209000</v>
      </c>
      <c r="K21" s="98">
        <f ca="1"/>
        <v>209000</v>
      </c>
      <c r="L21">
        <f ca="1"/>
        <v>106.63</v>
      </c>
      <c r="M21">
        <f ca="1"/>
        <v>106.404</v>
      </c>
      <c r="N21">
        <f ca="1"/>
        <v>106.80200000000001</v>
      </c>
      <c r="O21">
        <f ca="1"/>
        <v>359.48000000002349</v>
      </c>
    </row>
    <row r="22" spans="3:15" x14ac:dyDescent="0.35">
      <c r="C22" t="str">
        <f ca="1"/>
        <v>FR0011401728</v>
      </c>
      <c r="D22" t="str">
        <f ca="1"/>
        <v>SEMINARA</v>
      </c>
      <c r="E22" t="str">
        <f ca="1"/>
        <v>FR0011401728SEMINARA</v>
      </c>
      <c r="F22" t="str">
        <f ca="1"/>
        <v>EDF 6 PERP</v>
      </c>
      <c r="G22" t="str">
        <f ca="1"/>
        <v>Bond Corporate</v>
      </c>
      <c r="H22" t="str">
        <f ca="1"/>
        <v>Buy</v>
      </c>
      <c r="I22">
        <f ca="1"/>
        <v>1</v>
      </c>
      <c r="J22">
        <f ca="1"/>
        <v>4500000</v>
      </c>
      <c r="K22" s="98">
        <f ca="1"/>
        <v>4500000</v>
      </c>
      <c r="L22">
        <f ca="1"/>
        <v>112.655</v>
      </c>
      <c r="M22" t="e">
        <f ca="1"/>
        <v>#N/A</v>
      </c>
      <c r="N22">
        <f ca="1"/>
        <v>112.432</v>
      </c>
      <c r="O22">
        <f ca="1"/>
        <v>-10034.999999999955</v>
      </c>
    </row>
    <row r="23" spans="3:15" x14ac:dyDescent="0.35">
      <c r="C23" t="str">
        <f ca="1"/>
        <v>FR0013534351</v>
      </c>
      <c r="D23" t="str">
        <f ca="1"/>
        <v>SEMINARA</v>
      </c>
      <c r="E23" t="str">
        <f ca="1"/>
        <v>FR0013534351SEMINARA</v>
      </c>
      <c r="F23" t="str">
        <f ca="1"/>
        <v>EDF 2 7/8 PERP</v>
      </c>
      <c r="G23" t="str">
        <f ca="1"/>
        <v>Bond Corporate</v>
      </c>
      <c r="H23" t="str">
        <f ca="1"/>
        <v>Sell</v>
      </c>
      <c r="I23">
        <f ca="1"/>
        <v>-1</v>
      </c>
      <c r="J23">
        <f ca="1"/>
        <v>7200000</v>
      </c>
      <c r="K23" s="98">
        <f ca="1"/>
        <v>-7200000</v>
      </c>
      <c r="L23">
        <f ca="1"/>
        <v>103.75</v>
      </c>
      <c r="M23">
        <f ca="1"/>
        <v>103.631</v>
      </c>
      <c r="N23">
        <f ca="1"/>
        <v>103.679</v>
      </c>
      <c r="O23">
        <f ca="1"/>
        <v>5111.9999999998527</v>
      </c>
    </row>
    <row r="24" spans="3:15" x14ac:dyDescent="0.35">
      <c r="C24" t="str">
        <f ca="1"/>
        <v>FR0013534336</v>
      </c>
      <c r="D24" t="str">
        <f ca="1"/>
        <v>SEMINARA</v>
      </c>
      <c r="E24" t="str">
        <f ca="1"/>
        <v>FR0013534336SEMINARA</v>
      </c>
      <c r="F24" t="str">
        <f ca="1"/>
        <v>EDF 3 3/8 PERP</v>
      </c>
      <c r="G24" t="str">
        <f ca="1"/>
        <v>Bond Corporate</v>
      </c>
      <c r="H24" t="str">
        <f ca="1"/>
        <v>Buy</v>
      </c>
      <c r="I24">
        <f ca="1"/>
        <v>1</v>
      </c>
      <c r="J24">
        <f ca="1"/>
        <v>4200000</v>
      </c>
      <c r="K24" s="98">
        <f ca="1"/>
        <v>4200000</v>
      </c>
      <c r="L24">
        <f ca="1"/>
        <v>104.625</v>
      </c>
      <c r="M24">
        <f ca="1"/>
        <v>104.74299999999999</v>
      </c>
      <c r="N24">
        <f ca="1"/>
        <v>104.735</v>
      </c>
      <c r="O24">
        <f ca="1"/>
        <v>4619.9999999999754</v>
      </c>
    </row>
    <row r="25" spans="3:15" x14ac:dyDescent="0.35">
      <c r="C25" t="str">
        <f ca="1"/>
        <v>XS2193663619</v>
      </c>
      <c r="D25" t="str">
        <f ca="1"/>
        <v>SEMINARA</v>
      </c>
      <c r="E25" t="str">
        <f ca="1"/>
        <v>XS2193663619SEMINARA</v>
      </c>
      <c r="F25" t="str">
        <f ca="1"/>
        <v>BPLN 4 1/4 PERP</v>
      </c>
      <c r="G25" t="str">
        <f ca="1"/>
        <v>Bond Corporate</v>
      </c>
      <c r="H25" t="str">
        <f ca="1"/>
        <v>Buy</v>
      </c>
      <c r="I25">
        <f ca="1"/>
        <v>1</v>
      </c>
      <c r="J25">
        <f ca="1"/>
        <v>1000000</v>
      </c>
      <c r="K25" s="98">
        <f ca="1"/>
        <v>1000000</v>
      </c>
      <c r="L25">
        <f ca="1"/>
        <v>106.375</v>
      </c>
      <c r="M25">
        <f ca="1"/>
        <v>106.286</v>
      </c>
      <c r="N25">
        <f ca="1"/>
        <v>106.304</v>
      </c>
      <c r="O25">
        <f ca="1"/>
        <v>-709.99999999997954</v>
      </c>
    </row>
    <row r="26" spans="3:15" x14ac:dyDescent="0.35">
      <c r="C26" t="str">
        <f ca="1"/>
        <v>XS1713462403</v>
      </c>
      <c r="D26" t="str">
        <f ca="1"/>
        <v>SEMINARA</v>
      </c>
      <c r="E26" t="str">
        <f ca="1"/>
        <v>XS1713462403SEMINARA</v>
      </c>
      <c r="F26" t="str">
        <f ca="1"/>
        <v>OMVAV 2 7/8 PERP</v>
      </c>
      <c r="G26" t="str">
        <f ca="1"/>
        <v>Bond Corporate</v>
      </c>
      <c r="H26" t="str">
        <f ca="1"/>
        <v>Sell</v>
      </c>
      <c r="I26">
        <f ca="1"/>
        <v>-1</v>
      </c>
      <c r="J26">
        <f ca="1"/>
        <v>1000000</v>
      </c>
      <c r="K26" s="98">
        <f ca="1"/>
        <v>-1000000</v>
      </c>
      <c r="L26">
        <f ca="1"/>
        <v>103.7</v>
      </c>
      <c r="M26">
        <f ca="1"/>
        <v>103.66500000000001</v>
      </c>
      <c r="N26">
        <f ca="1"/>
        <v>103.723</v>
      </c>
      <c r="O26">
        <f ca="1"/>
        <v>-229.99999999996135</v>
      </c>
    </row>
    <row r="27" spans="3:15" x14ac:dyDescent="0.35">
      <c r="C27" t="str">
        <f ca="1"/>
        <v>XS2225157424</v>
      </c>
      <c r="D27" t="str">
        <f ca="1"/>
        <v>SEMINARA</v>
      </c>
      <c r="E27" t="str">
        <f ca="1"/>
        <v>XS2225157424SEMINARA</v>
      </c>
      <c r="F27" t="str">
        <f ca="1"/>
        <v>VOD 2 5/8 08/27/80</v>
      </c>
      <c r="G27" t="str">
        <f ca="1"/>
        <v>Bond Corporate</v>
      </c>
      <c r="H27" t="str">
        <f ca="1"/>
        <v>Sell</v>
      </c>
      <c r="I27">
        <f ca="1"/>
        <v>-1</v>
      </c>
      <c r="J27">
        <f ca="1"/>
        <v>200000</v>
      </c>
      <c r="K27" s="98">
        <f ca="1"/>
        <v>-200000</v>
      </c>
      <c r="L27">
        <f ca="1"/>
        <v>102.295</v>
      </c>
      <c r="M27">
        <f ca="1"/>
        <v>102.245</v>
      </c>
      <c r="N27">
        <f ca="1"/>
        <v>102.155</v>
      </c>
      <c r="O27">
        <f ca="1"/>
        <v>280.00000000000114</v>
      </c>
    </row>
    <row r="28" spans="3:15" x14ac:dyDescent="0.35">
      <c r="C28" t="str">
        <f ca="1"/>
        <v>PTEDPLOM0017</v>
      </c>
      <c r="D28" t="str">
        <f ca="1"/>
        <v>SEMINARA</v>
      </c>
      <c r="E28" t="str">
        <f ca="1"/>
        <v>PTEDPLOM0017SEMINARA</v>
      </c>
      <c r="F28" t="str">
        <f ca="1"/>
        <v>EDPPL 1.7 07/20/80</v>
      </c>
      <c r="G28" t="str">
        <f ca="1"/>
        <v>Bond Corporate</v>
      </c>
      <c r="H28" t="str">
        <f ca="1"/>
        <v>Sell</v>
      </c>
      <c r="I28">
        <f ca="1"/>
        <v>-1</v>
      </c>
      <c r="J28">
        <f ca="1"/>
        <v>200000</v>
      </c>
      <c r="K28" s="98">
        <f ca="1"/>
        <v>-200000</v>
      </c>
      <c r="L28">
        <f ca="1"/>
        <v>99.37</v>
      </c>
      <c r="M28">
        <f ca="1"/>
        <v>99.293000000000006</v>
      </c>
      <c r="N28">
        <f ca="1"/>
        <v>99.304000000000002</v>
      </c>
      <c r="O28">
        <f ca="1"/>
        <v>132.000000000005</v>
      </c>
    </row>
    <row r="29" spans="3:15" x14ac:dyDescent="0.35">
      <c r="C29" t="str">
        <f ca="1"/>
        <v>XS2231191748</v>
      </c>
      <c r="D29" t="str">
        <f ca="1"/>
        <v>SEMINARA</v>
      </c>
      <c r="E29" t="str">
        <f ca="1"/>
        <v>XS2231191748SEMINARA</v>
      </c>
      <c r="F29" t="str">
        <f ca="1"/>
        <v>CPIPGR 4 7/8 PERP</v>
      </c>
      <c r="G29" t="str">
        <f ca="1"/>
        <v>Bond Corporate</v>
      </c>
      <c r="H29" t="str">
        <f ca="1"/>
        <v>Sell</v>
      </c>
      <c r="I29">
        <f ca="1"/>
        <v>-1</v>
      </c>
      <c r="J29">
        <f ca="1"/>
        <v>2194000</v>
      </c>
      <c r="K29" s="98">
        <f ca="1"/>
        <v>-2194000</v>
      </c>
      <c r="L29">
        <f ca="1"/>
        <v>99.5</v>
      </c>
      <c r="M29" t="e">
        <f ca="1"/>
        <v>#N/A</v>
      </c>
      <c r="N29">
        <f ca="1"/>
        <v>99.441000000000003</v>
      </c>
      <c r="O29">
        <f ca="1"/>
        <v>1294.459999999945</v>
      </c>
    </row>
    <row r="30" spans="3:15" x14ac:dyDescent="0.35">
      <c r="C30" t="str">
        <f ca="1"/>
        <v>XS1974787480</v>
      </c>
      <c r="D30" t="str">
        <f ca="1"/>
        <v>SEMINARA</v>
      </c>
      <c r="E30" t="str">
        <f ca="1"/>
        <v>XS1974787480SEMINARA</v>
      </c>
      <c r="F30" t="str">
        <f ca="1"/>
        <v>TOTAL 1 3/4 PERP</v>
      </c>
      <c r="G30" t="str">
        <f ca="1"/>
        <v>Bond Corporate</v>
      </c>
      <c r="H30" t="str">
        <f ca="1"/>
        <v>Buy</v>
      </c>
      <c r="I30">
        <f ca="1"/>
        <v>1</v>
      </c>
      <c r="J30">
        <f ca="1"/>
        <v>1996000</v>
      </c>
      <c r="K30" s="98">
        <f ca="1"/>
        <v>1996000</v>
      </c>
      <c r="L30">
        <f ca="1"/>
        <v>101.755</v>
      </c>
      <c r="M30">
        <f ca="1"/>
        <v>102.054</v>
      </c>
      <c r="N30">
        <f ca="1"/>
        <v>101.979</v>
      </c>
      <c r="O30">
        <f ca="1"/>
        <v>4471.0400000000745</v>
      </c>
    </row>
    <row r="31" spans="3:15" x14ac:dyDescent="0.35">
      <c r="C31" t="str">
        <f ca="1"/>
        <v>XS2225204010</v>
      </c>
      <c r="D31" t="str">
        <f ca="1"/>
        <v>SEMINARA</v>
      </c>
      <c r="E31" t="str">
        <f ca="1"/>
        <v>XS2225204010SEMINARA</v>
      </c>
      <c r="F31" t="str">
        <f ca="1"/>
        <v>VOD 3 08/27/80</v>
      </c>
      <c r="G31" t="str">
        <f ca="1"/>
        <v>Bond Corporate</v>
      </c>
      <c r="H31" t="str">
        <f ca="1"/>
        <v>Sell</v>
      </c>
      <c r="I31">
        <f ca="1"/>
        <v>-1</v>
      </c>
      <c r="J31">
        <f ca="1"/>
        <v>5000000</v>
      </c>
      <c r="K31" s="98">
        <f ca="1"/>
        <v>-5000000</v>
      </c>
      <c r="L31">
        <f ca="1"/>
        <v>102.37</v>
      </c>
      <c r="M31">
        <f ca="1"/>
        <v>102.3</v>
      </c>
      <c r="N31">
        <f ca="1"/>
        <v>102.244</v>
      </c>
      <c r="O31">
        <f ca="1"/>
        <v>6300.0000000002392</v>
      </c>
    </row>
    <row r="32" spans="3:15" x14ac:dyDescent="0.35">
      <c r="C32" t="str">
        <f ca="1"/>
        <v>ITXEX534</v>
      </c>
      <c r="D32" t="str">
        <f ca="1"/>
        <v>SEMINARA</v>
      </c>
      <c r="E32" t="str">
        <f ca="1"/>
        <v>ITXEX534SEMINARA</v>
      </c>
      <c r="F32" t="str">
        <f ca="1"/>
        <v>ITXEX534_JP_2025-12-20</v>
      </c>
      <c r="G32" t="str">
        <f ca="1"/>
        <v>CDS Index Swap</v>
      </c>
      <c r="H32" t="str">
        <f ca="1"/>
        <v>CDSI Swap - Sell Protection</v>
      </c>
      <c r="I32" t="str">
        <f ca="1"/>
        <v>-</v>
      </c>
      <c r="J32">
        <f ca="1"/>
        <v>4000000</v>
      </c>
      <c r="K32" s="98" t="e">
        <f ca="1"/>
        <v>#VALUE!</v>
      </c>
      <c r="L32">
        <f ca="1"/>
        <v>-9.9689999999999994</v>
      </c>
      <c r="M32" t="e">
        <f ca="1"/>
        <v>#N/A</v>
      </c>
      <c r="N32" t="e">
        <f ca="1"/>
        <v>#N/A</v>
      </c>
      <c r="O32" t="str">
        <f ca="1"/>
        <v>-</v>
      </c>
    </row>
    <row r="33" spans="3:15" x14ac:dyDescent="0.35">
      <c r="C33" t="str">
        <f ca="1"/>
        <v>FR0013394681</v>
      </c>
      <c r="D33" t="str">
        <f ca="1"/>
        <v>VOON</v>
      </c>
      <c r="E33" t="str">
        <f ca="1"/>
        <v>FR0013394681VOON</v>
      </c>
      <c r="F33" t="str">
        <f ca="1"/>
        <v>VIEFP 0.892 01/14/24</v>
      </c>
      <c r="G33" t="str">
        <f ca="1"/>
        <v>Bond Corporate</v>
      </c>
      <c r="H33" t="str">
        <f ca="1"/>
        <v>Buy</v>
      </c>
      <c r="I33">
        <f ca="1"/>
        <v>1</v>
      </c>
      <c r="J33">
        <f ca="1"/>
        <v>1200000</v>
      </c>
      <c r="K33" s="98">
        <f ca="1"/>
        <v>1200000</v>
      </c>
      <c r="L33">
        <f ca="1"/>
        <v>103.08499999999999</v>
      </c>
      <c r="M33" t="str">
        <f ca="1"/>
        <v>#N/A Requesting Data...</v>
      </c>
      <c r="N33" t="str">
        <f ca="1"/>
        <v>#N/A Requesting Data...</v>
      </c>
      <c r="O33" t="str">
        <f ca="1"/>
        <v>-</v>
      </c>
    </row>
    <row r="34" spans="3:15" x14ac:dyDescent="0.35">
      <c r="C34" t="str">
        <f ca="1"/>
        <v>OEZ0</v>
      </c>
      <c r="D34" t="str">
        <f ca="1"/>
        <v>VOON</v>
      </c>
      <c r="E34" t="str">
        <f ca="1"/>
        <v>OEZ0VOON</v>
      </c>
      <c r="F34" t="str">
        <f ca="1"/>
        <v>OEZ0 Comdty</v>
      </c>
      <c r="G34" t="str">
        <f ca="1"/>
        <v>Future</v>
      </c>
      <c r="H34" t="str">
        <f ca="1"/>
        <v>Buy</v>
      </c>
      <c r="I34">
        <f ca="1"/>
        <v>1</v>
      </c>
      <c r="J34">
        <f ca="1"/>
        <v>5</v>
      </c>
      <c r="K34" s="98">
        <f ca="1"/>
        <v>500000</v>
      </c>
      <c r="L34">
        <f ca="1"/>
        <v>135.33000000000001</v>
      </c>
      <c r="M34">
        <f ca="1"/>
        <v>135.38</v>
      </c>
      <c r="N34">
        <f ca="1"/>
        <v>135.38</v>
      </c>
      <c r="O34">
        <f ca="1"/>
        <v>249.99999999991473</v>
      </c>
    </row>
    <row r="35" spans="3:15" x14ac:dyDescent="0.35">
      <c r="C35" t="str">
        <f ca="1"/>
        <v>XS2262065159</v>
      </c>
      <c r="D35" t="str">
        <f ca="1"/>
        <v>VOON</v>
      </c>
      <c r="E35" t="str">
        <f ca="1"/>
        <v>XS2262065159VOON</v>
      </c>
      <c r="F35" t="str">
        <f ca="1"/>
        <v>TENN 0 1/8 11/30/32</v>
      </c>
      <c r="G35" t="str">
        <f ca="1"/>
        <v>Bond Corporate</v>
      </c>
      <c r="H35" t="str">
        <f ca="1"/>
        <v>Sell</v>
      </c>
      <c r="I35">
        <f ca="1"/>
        <v>-1</v>
      </c>
      <c r="J35">
        <f ca="1"/>
        <v>1000000</v>
      </c>
      <c r="K35" s="98">
        <f ca="1"/>
        <v>-1000000</v>
      </c>
      <c r="L35">
        <f ca="1"/>
        <v>99.2</v>
      </c>
      <c r="M35" t="str">
        <f ca="1"/>
        <v>#N/A Requesting Data...</v>
      </c>
      <c r="N35" t="str">
        <f ca="1"/>
        <v>#N/A Requesting Data...</v>
      </c>
      <c r="O35" t="str">
        <f ca="1"/>
        <v>-</v>
      </c>
    </row>
    <row r="36" spans="3:15" x14ac:dyDescent="0.35">
      <c r="C36" t="str">
        <f ca="1"/>
        <v>XS2262065233</v>
      </c>
      <c r="D36" t="str">
        <f ca="1"/>
        <v>VOON</v>
      </c>
      <c r="E36" t="str">
        <f ca="1"/>
        <v>XS2262065233VOON</v>
      </c>
      <c r="F36" t="str">
        <f ca="1"/>
        <v>TENN 0 1/2 11/30/40</v>
      </c>
      <c r="G36" t="str">
        <f ca="1"/>
        <v>Bond Corporate</v>
      </c>
      <c r="H36" t="str">
        <f ca="1"/>
        <v>Sell</v>
      </c>
      <c r="I36">
        <f ca="1"/>
        <v>-1</v>
      </c>
      <c r="J36">
        <f ca="1"/>
        <v>500000</v>
      </c>
      <c r="K36" s="98">
        <f ca="1"/>
        <v>-500000</v>
      </c>
      <c r="L36">
        <f ca="1"/>
        <v>99.5</v>
      </c>
      <c r="M36" t="str">
        <f ca="1"/>
        <v>#N/A Requesting Data...</v>
      </c>
      <c r="N36" t="str">
        <f ca="1"/>
        <v>#N/A Requesting Data...</v>
      </c>
      <c r="O36" t="str">
        <f ca="1"/>
        <v>-</v>
      </c>
    </row>
    <row r="37" spans="3:15" x14ac:dyDescent="0.35">
      <c r="C37" t="str">
        <f ca="1"/>
        <v>UBZ0</v>
      </c>
      <c r="D37" t="str">
        <f ca="1"/>
        <v>VOON</v>
      </c>
      <c r="E37" t="str">
        <f ca="1"/>
        <v>UBZ0VOON</v>
      </c>
      <c r="F37" t="str">
        <f ca="1"/>
        <v>UBZ0 Comdty</v>
      </c>
      <c r="G37" t="str">
        <f ca="1"/>
        <v>Future</v>
      </c>
      <c r="H37" t="str">
        <f ca="1"/>
        <v>Buy</v>
      </c>
      <c r="I37">
        <f ca="1"/>
        <v>1</v>
      </c>
      <c r="J37">
        <f ca="1"/>
        <v>1</v>
      </c>
      <c r="K37" s="98">
        <f ca="1"/>
        <v>100000</v>
      </c>
      <c r="L37">
        <f ca="1"/>
        <v>225.16</v>
      </c>
      <c r="M37">
        <f ca="1"/>
        <v>226.14</v>
      </c>
      <c r="N37">
        <f ca="1"/>
        <v>226.14</v>
      </c>
      <c r="O37">
        <f ca="1"/>
        <v>979.99999999998977</v>
      </c>
    </row>
    <row r="38" spans="3:15" x14ac:dyDescent="0.35">
      <c r="C38" t="str">
        <f ca="1"/>
        <v>UBZ0</v>
      </c>
      <c r="D38" t="str">
        <f ca="1"/>
        <v>VOON</v>
      </c>
      <c r="E38" t="str">
        <f ca="1"/>
        <v>UBZ0VOON</v>
      </c>
      <c r="F38" t="str">
        <f ca="1"/>
        <v>UBZ0 Comdty</v>
      </c>
      <c r="G38" t="str">
        <f ca="1"/>
        <v>Future</v>
      </c>
      <c r="H38" t="str">
        <f ca="1"/>
        <v>Buy</v>
      </c>
      <c r="I38">
        <f ca="1"/>
        <v>1</v>
      </c>
      <c r="J38">
        <f ca="1"/>
        <v>1</v>
      </c>
      <c r="K38" s="98">
        <f ca="1"/>
        <v>100000</v>
      </c>
      <c r="L38">
        <f ca="1"/>
        <v>225.3</v>
      </c>
      <c r="M38">
        <f ca="1"/>
        <v>226.14</v>
      </c>
      <c r="N38">
        <f ca="1"/>
        <v>226.14</v>
      </c>
      <c r="O38">
        <f ca="1"/>
        <v>839.99999999997499</v>
      </c>
    </row>
    <row r="39" spans="3:15" x14ac:dyDescent="0.35">
      <c r="C39" t="str">
        <f ca="1"/>
        <v>RXZ0</v>
      </c>
      <c r="D39" t="str">
        <f ca="1"/>
        <v>VOON</v>
      </c>
      <c r="E39" t="str">
        <f ca="1"/>
        <v>RXZ0VOON</v>
      </c>
      <c r="F39" t="str">
        <f ca="1"/>
        <v>RXZ0 Comdty</v>
      </c>
      <c r="G39" t="str">
        <f ca="1"/>
        <v>Future</v>
      </c>
      <c r="H39" t="str">
        <f ca="1"/>
        <v>Buy</v>
      </c>
      <c r="I39">
        <f ca="1"/>
        <v>1</v>
      </c>
      <c r="J39">
        <f ca="1"/>
        <v>3</v>
      </c>
      <c r="K39" s="98">
        <f ca="1"/>
        <v>300000</v>
      </c>
      <c r="L39">
        <f ca="1"/>
        <v>175.02</v>
      </c>
      <c r="M39">
        <f ca="1"/>
        <v>175.22</v>
      </c>
      <c r="N39">
        <f ca="1"/>
        <v>175.22</v>
      </c>
      <c r="O39">
        <f ca="1"/>
        <v>599.99999999996589</v>
      </c>
    </row>
    <row r="40" spans="3:15" x14ac:dyDescent="0.35">
      <c r="C40" t="str">
        <f ca="1"/>
        <v>XS2262065159</v>
      </c>
      <c r="D40" t="str">
        <f ca="1"/>
        <v>VOON</v>
      </c>
      <c r="E40" t="str">
        <f ca="1"/>
        <v>XS2262065159VOON</v>
      </c>
      <c r="F40" t="str">
        <f ca="1"/>
        <v>TENN 0 1/8 11/30/32</v>
      </c>
      <c r="G40" t="str">
        <f ca="1"/>
        <v>Bond Corporate</v>
      </c>
      <c r="H40" t="str">
        <f ca="1"/>
        <v>Sell</v>
      </c>
      <c r="I40">
        <f ca="1"/>
        <v>-1</v>
      </c>
      <c r="J40">
        <f ca="1"/>
        <v>500000</v>
      </c>
      <c r="K40" s="98">
        <f ca="1"/>
        <v>-500000</v>
      </c>
      <c r="L40">
        <f ca="1"/>
        <v>99.382999999999996</v>
      </c>
      <c r="M40" t="str">
        <f ca="1"/>
        <v>#N/A Requesting Data...</v>
      </c>
      <c r="N40" t="str">
        <f ca="1"/>
        <v>#N/A Requesting Data...</v>
      </c>
      <c r="O40" t="str">
        <f ca="1"/>
        <v>-</v>
      </c>
    </row>
    <row r="41" spans="3:15" x14ac:dyDescent="0.35">
      <c r="C41" t="str">
        <f ca="1"/>
        <v>RXZ0</v>
      </c>
      <c r="D41" t="str">
        <f ca="1"/>
        <v>VOON</v>
      </c>
      <c r="E41" t="str">
        <f ca="1"/>
        <v>RXZ0VOON</v>
      </c>
      <c r="F41" t="str">
        <f ca="1"/>
        <v>RXZ0 Comdty</v>
      </c>
      <c r="G41" t="str">
        <f ca="1"/>
        <v>Future</v>
      </c>
      <c r="H41" t="str">
        <f ca="1"/>
        <v>Buy</v>
      </c>
      <c r="I41">
        <f ca="1"/>
        <v>1</v>
      </c>
      <c r="J41">
        <f ca="1"/>
        <v>2</v>
      </c>
      <c r="K41" s="98">
        <f ca="1"/>
        <v>200000</v>
      </c>
      <c r="L41">
        <f ca="1"/>
        <v>175.06</v>
      </c>
      <c r="M41">
        <f ca="1"/>
        <v>175.22</v>
      </c>
      <c r="N41">
        <f ca="1"/>
        <v>175.22</v>
      </c>
      <c r="O41">
        <f ca="1"/>
        <v>319.99999999999318</v>
      </c>
    </row>
    <row r="42" spans="3:15" x14ac:dyDescent="0.35">
      <c r="C42" t="str">
        <f ca="1"/>
        <v>UBZ0</v>
      </c>
      <c r="D42" t="str">
        <f ca="1"/>
        <v>VOON</v>
      </c>
      <c r="E42" t="str">
        <f ca="1"/>
        <v>UBZ0VOON</v>
      </c>
      <c r="F42" t="str">
        <f ca="1"/>
        <v>UBZ0 Comdty</v>
      </c>
      <c r="G42" t="str">
        <f ca="1"/>
        <v>Future</v>
      </c>
      <c r="H42" t="str">
        <f ca="1"/>
        <v>Buy</v>
      </c>
      <c r="I42">
        <f ca="1"/>
        <v>1</v>
      </c>
      <c r="J42">
        <f ca="1"/>
        <v>2</v>
      </c>
      <c r="K42" s="98">
        <f ca="1"/>
        <v>200000</v>
      </c>
      <c r="L42">
        <f ca="1"/>
        <v>225.36</v>
      </c>
      <c r="M42">
        <f ca="1"/>
        <v>226.14</v>
      </c>
      <c r="N42">
        <f ca="1"/>
        <v>226.14</v>
      </c>
      <c r="O42">
        <f ca="1"/>
        <v>1559.9999999999454</v>
      </c>
    </row>
    <row r="43" spans="3:15" x14ac:dyDescent="0.35">
      <c r="C43" t="str">
        <f ca="1"/>
        <v>XS2262065233</v>
      </c>
      <c r="D43" t="str">
        <f ca="1"/>
        <v>VOON</v>
      </c>
      <c r="E43" t="str">
        <f ca="1"/>
        <v>XS2262065233VOON</v>
      </c>
      <c r="F43" t="str">
        <f ca="1"/>
        <v>TENN 0 1/2 11/30/40</v>
      </c>
      <c r="G43" t="str">
        <f ca="1"/>
        <v>Bond Corporate</v>
      </c>
      <c r="H43" t="str">
        <f ca="1"/>
        <v>Sell</v>
      </c>
      <c r="I43">
        <f ca="1"/>
        <v>-1</v>
      </c>
      <c r="J43">
        <f ca="1"/>
        <v>500000</v>
      </c>
      <c r="K43" s="98">
        <f ca="1"/>
        <v>-500000</v>
      </c>
      <c r="L43">
        <f ca="1"/>
        <v>99.61</v>
      </c>
      <c r="M43" t="str">
        <f ca="1"/>
        <v>#N/A Requesting Data...</v>
      </c>
      <c r="N43" t="str">
        <f ca="1"/>
        <v>#N/A Requesting Data...</v>
      </c>
      <c r="O43" t="str">
        <f ca="1"/>
        <v>-</v>
      </c>
    </row>
    <row r="44" spans="3:15" x14ac:dyDescent="0.35">
      <c r="C44" t="str">
        <f ca="1"/>
        <v>UBZ0</v>
      </c>
      <c r="D44" t="str">
        <f ca="1"/>
        <v>VOON</v>
      </c>
      <c r="E44" t="str">
        <f ca="1"/>
        <v>UBZ0VOON</v>
      </c>
      <c r="F44" t="str">
        <f ca="1"/>
        <v>UBZ0 Comdty</v>
      </c>
      <c r="G44" t="str">
        <f ca="1"/>
        <v>Future</v>
      </c>
      <c r="H44" t="str">
        <f ca="1"/>
        <v>Sell</v>
      </c>
      <c r="I44">
        <f ca="1"/>
        <v>-1</v>
      </c>
      <c r="J44">
        <f ca="1"/>
        <v>1</v>
      </c>
      <c r="K44" s="98">
        <f ca="1"/>
        <v>-100000</v>
      </c>
      <c r="L44">
        <f ca="1"/>
        <v>225.14</v>
      </c>
      <c r="M44">
        <f ca="1"/>
        <v>226.14</v>
      </c>
      <c r="N44">
        <f ca="1"/>
        <v>226.14</v>
      </c>
      <c r="O44">
        <f ca="1"/>
        <v>-1000</v>
      </c>
    </row>
    <row r="45" spans="3:15" x14ac:dyDescent="0.35">
      <c r="C45" t="str">
        <f ca="1"/>
        <v>XS1504194173</v>
      </c>
      <c r="D45" t="str">
        <f ca="1"/>
        <v>VOON</v>
      </c>
      <c r="E45" t="str">
        <f ca="1"/>
        <v>XS1504194173VOON</v>
      </c>
      <c r="F45" t="str">
        <f ca="1"/>
        <v>HERIM 0 7/8 10/14/26</v>
      </c>
      <c r="G45" t="str">
        <f ca="1"/>
        <v>Bond Corporate</v>
      </c>
      <c r="H45" t="str">
        <f ca="1"/>
        <v>Sell</v>
      </c>
      <c r="I45">
        <f ca="1"/>
        <v>-1</v>
      </c>
      <c r="J45">
        <f ca="1"/>
        <v>2700000</v>
      </c>
      <c r="K45" s="98">
        <f ca="1"/>
        <v>-2700000</v>
      </c>
      <c r="L45">
        <f ca="1"/>
        <v>104.175</v>
      </c>
      <c r="M45" t="e">
        <f ca="1"/>
        <v>#N/A</v>
      </c>
      <c r="N45">
        <f ca="1"/>
        <v>104.298</v>
      </c>
      <c r="O45">
        <f ca="1"/>
        <v>-3321.000000000126</v>
      </c>
    </row>
    <row r="46" spans="3:15" x14ac:dyDescent="0.35">
      <c r="C46" t="str">
        <f ca="1"/>
        <v>OEZ0</v>
      </c>
      <c r="D46" t="str">
        <f ca="1"/>
        <v>VOON</v>
      </c>
      <c r="E46" t="str">
        <f ca="1"/>
        <v>OEZ0VOON</v>
      </c>
      <c r="F46" t="str">
        <f ca="1"/>
        <v>OEZ0 Comdty</v>
      </c>
      <c r="G46" t="str">
        <f ca="1"/>
        <v>Future</v>
      </c>
      <c r="H46" t="str">
        <f ca="1"/>
        <v>Buy</v>
      </c>
      <c r="I46">
        <f ca="1"/>
        <v>1</v>
      </c>
      <c r="J46">
        <f ca="1"/>
        <v>11</v>
      </c>
      <c r="K46" s="98">
        <f ca="1"/>
        <v>1100000</v>
      </c>
      <c r="L46">
        <f ca="1"/>
        <v>135.34</v>
      </c>
      <c r="M46">
        <f ca="1"/>
        <v>135.38</v>
      </c>
      <c r="N46">
        <f ca="1"/>
        <v>135.38</v>
      </c>
      <c r="O46">
        <f ca="1"/>
        <v>439.99999999991252</v>
      </c>
    </row>
    <row r="47" spans="3:15" x14ac:dyDescent="0.35">
      <c r="C47" t="str">
        <f ca="1"/>
        <v>DE0001102416</v>
      </c>
      <c r="D47" t="str">
        <f ca="1"/>
        <v>VOON</v>
      </c>
      <c r="E47" t="str">
        <f ca="1"/>
        <v>DE0001102416VOON</v>
      </c>
      <c r="F47" t="str">
        <f ca="1"/>
        <v>DBR 0 1/4 02/15/27</v>
      </c>
      <c r="G47" t="str">
        <f ca="1"/>
        <v>Bond Sovereign</v>
      </c>
      <c r="H47" t="str">
        <f ca="1"/>
        <v>Sell</v>
      </c>
      <c r="I47">
        <f ca="1"/>
        <v>-1</v>
      </c>
      <c r="J47">
        <f ca="1"/>
        <v>4600000</v>
      </c>
      <c r="K47" s="98">
        <f ca="1"/>
        <v>-4600000</v>
      </c>
      <c r="L47">
        <f ca="1"/>
        <v>106.236</v>
      </c>
      <c r="M47" t="e">
        <f ca="1"/>
        <v>#N/A</v>
      </c>
      <c r="N47">
        <f ca="1"/>
        <v>106.29900000000001</v>
      </c>
      <c r="O47">
        <f ca="1"/>
        <v>-2898.00000000011</v>
      </c>
    </row>
    <row r="48" spans="3:15" x14ac:dyDescent="0.35">
      <c r="C48" t="str">
        <f ca="1"/>
        <v>FR0013444775</v>
      </c>
      <c r="D48" t="str">
        <f ca="1"/>
        <v>VOON</v>
      </c>
      <c r="E48" t="str">
        <f ca="1"/>
        <v>FR0013444775VOON</v>
      </c>
      <c r="F48" t="str">
        <f ca="1"/>
        <v>ENGIFP 0 03/04/27</v>
      </c>
      <c r="G48" t="str">
        <f ca="1"/>
        <v>Bond Corporate</v>
      </c>
      <c r="H48" t="str">
        <f ca="1"/>
        <v>Buy</v>
      </c>
      <c r="I48">
        <f ca="1"/>
        <v>1</v>
      </c>
      <c r="J48">
        <f ca="1"/>
        <v>5000000</v>
      </c>
      <c r="K48" s="98">
        <f ca="1"/>
        <v>5000000</v>
      </c>
      <c r="L48">
        <f ca="1"/>
        <v>100.687</v>
      </c>
      <c r="M48" t="str">
        <f ca="1"/>
        <v>#N/A Requesting Data...</v>
      </c>
      <c r="N48" t="str">
        <f ca="1"/>
        <v>#N/A Requesting Data...</v>
      </c>
      <c r="O48" t="str">
        <f ca="1"/>
        <v>-</v>
      </c>
    </row>
    <row r="49" spans="3:15" x14ac:dyDescent="0.35">
      <c r="C49" t="str">
        <f ca="1"/>
        <v>DE0001102416</v>
      </c>
      <c r="D49" t="str">
        <f ca="1"/>
        <v>VOON</v>
      </c>
      <c r="E49" t="str">
        <f ca="1"/>
        <v>DE0001102416VOON</v>
      </c>
      <c r="F49" t="str">
        <f ca="1"/>
        <v>DBR 0 1/4 02/15/27</v>
      </c>
      <c r="G49" t="str">
        <f ca="1"/>
        <v>Bond Sovereign</v>
      </c>
      <c r="H49" t="str">
        <f ca="1"/>
        <v>Buy</v>
      </c>
      <c r="I49">
        <f ca="1"/>
        <v>1</v>
      </c>
      <c r="J49">
        <f ca="1"/>
        <v>1600000</v>
      </c>
      <c r="K49" s="98">
        <f ca="1"/>
        <v>1600000</v>
      </c>
      <c r="L49">
        <f ca="1"/>
        <v>106.265</v>
      </c>
      <c r="M49" t="e">
        <f ca="1"/>
        <v>#N/A</v>
      </c>
      <c r="N49">
        <f ca="1"/>
        <v>106.29900000000001</v>
      </c>
      <c r="O49">
        <f ca="1"/>
        <v>544.00000000009641</v>
      </c>
    </row>
    <row r="50" spans="3:15" x14ac:dyDescent="0.35">
      <c r="C50" t="str">
        <f ca="1"/>
        <v>XS1652866002</v>
      </c>
      <c r="D50" t="str">
        <f ca="1"/>
        <v>VOON</v>
      </c>
      <c r="E50" t="str">
        <f ca="1"/>
        <v>XS1652866002VOON</v>
      </c>
      <c r="F50" t="str">
        <f ca="1"/>
        <v>TRNIM 1 3/8 07/26/27</v>
      </c>
      <c r="G50" t="str">
        <f ca="1"/>
        <v>Bond Corporate</v>
      </c>
      <c r="H50" t="str">
        <f ca="1"/>
        <v>Sell</v>
      </c>
      <c r="I50">
        <f ca="1"/>
        <v>-1</v>
      </c>
      <c r="J50">
        <f ca="1"/>
        <v>2000000</v>
      </c>
      <c r="K50" s="98">
        <f ca="1"/>
        <v>-2000000</v>
      </c>
      <c r="L50">
        <f ca="1"/>
        <v>109.845</v>
      </c>
      <c r="M50" t="e">
        <f ca="1"/>
        <v>#N/A</v>
      </c>
      <c r="N50">
        <f ca="1"/>
        <v>109.76300000000001</v>
      </c>
      <c r="O50">
        <f ca="1"/>
        <v>1639.9999999998727</v>
      </c>
    </row>
    <row r="51" spans="3:15" x14ac:dyDescent="0.35">
      <c r="C51" t="str">
        <f ca="1"/>
        <v>OEZ0</v>
      </c>
      <c r="D51" t="str">
        <f ca="1"/>
        <v>VOON</v>
      </c>
      <c r="E51" t="str">
        <f ca="1"/>
        <v>OEZ0VOON</v>
      </c>
      <c r="F51" t="str">
        <f ca="1"/>
        <v>OEZ0 Comdty</v>
      </c>
      <c r="G51" t="str">
        <f ca="1"/>
        <v>Future</v>
      </c>
      <c r="H51" t="str">
        <f ca="1"/>
        <v>Buy</v>
      </c>
      <c r="I51">
        <f ca="1"/>
        <v>1</v>
      </c>
      <c r="J51">
        <f ca="1"/>
        <v>22</v>
      </c>
      <c r="K51" s="98">
        <f ca="1"/>
        <v>2200000</v>
      </c>
      <c r="L51">
        <f ca="1"/>
        <v>135.36000000000001</v>
      </c>
      <c r="M51">
        <f ca="1"/>
        <v>135.38</v>
      </c>
      <c r="N51">
        <f ca="1"/>
        <v>135.38</v>
      </c>
      <c r="O51">
        <f ca="1"/>
        <v>439.99999999959982</v>
      </c>
    </row>
    <row r="52" spans="3:15" x14ac:dyDescent="0.35">
      <c r="C52" t="str">
        <f ca="1"/>
        <v>RXZ0</v>
      </c>
      <c r="D52" t="str">
        <f ca="1"/>
        <v>VOON</v>
      </c>
      <c r="E52" t="str">
        <f ca="1"/>
        <v>RXZ0VOON</v>
      </c>
      <c r="F52" t="str">
        <f ca="1"/>
        <v>RXZ0 Comdty</v>
      </c>
      <c r="G52" t="str">
        <f ca="1"/>
        <v>Future</v>
      </c>
      <c r="H52" t="str">
        <f ca="1"/>
        <v>Buy</v>
      </c>
      <c r="I52">
        <f ca="1"/>
        <v>1</v>
      </c>
      <c r="J52">
        <f ca="1"/>
        <v>5</v>
      </c>
      <c r="K52" s="98">
        <f ca="1"/>
        <v>500000</v>
      </c>
      <c r="L52">
        <f ca="1"/>
        <v>175.12</v>
      </c>
      <c r="M52">
        <f ca="1"/>
        <v>175.22</v>
      </c>
      <c r="N52">
        <f ca="1"/>
        <v>175.22</v>
      </c>
      <c r="O52">
        <f ca="1"/>
        <v>499.99999999997164</v>
      </c>
    </row>
    <row r="53" spans="3:15" x14ac:dyDescent="0.35">
      <c r="C53" t="str">
        <f ca="1"/>
        <v>OEZ0</v>
      </c>
      <c r="D53" t="str">
        <f ca="1"/>
        <v>VOON</v>
      </c>
      <c r="E53" t="str">
        <f ca="1"/>
        <v>OEZ0VOON</v>
      </c>
      <c r="F53" t="str">
        <f ca="1"/>
        <v>OEZ0 Comdty</v>
      </c>
      <c r="G53" t="str">
        <f ca="1"/>
        <v>Future</v>
      </c>
      <c r="H53" t="str">
        <f ca="1"/>
        <v>Sell</v>
      </c>
      <c r="I53">
        <f ca="1"/>
        <v>-1</v>
      </c>
      <c r="J53">
        <f ca="1"/>
        <v>45</v>
      </c>
      <c r="K53" s="98">
        <f ca="1"/>
        <v>-4500000</v>
      </c>
      <c r="L53">
        <f ca="1"/>
        <v>135.36000000000001</v>
      </c>
      <c r="M53">
        <f ca="1"/>
        <v>135.38</v>
      </c>
      <c r="N53">
        <f ca="1"/>
        <v>135.38</v>
      </c>
      <c r="O53">
        <f ca="1"/>
        <v>-899.99999999918145</v>
      </c>
    </row>
    <row r="54" spans="3:15" x14ac:dyDescent="0.35">
      <c r="C54" t="str">
        <f ca="1"/>
        <v>DE0001102416</v>
      </c>
      <c r="D54" t="str">
        <f ca="1"/>
        <v>VOON</v>
      </c>
      <c r="E54" t="str">
        <f ca="1"/>
        <v>DE0001102416VOON</v>
      </c>
      <c r="F54" t="str">
        <f ca="1"/>
        <v>DBR 0 1/4 02/15/27</v>
      </c>
      <c r="G54" t="str">
        <f ca="1"/>
        <v>Bond Sovereign</v>
      </c>
      <c r="H54" t="str">
        <f ca="1"/>
        <v>Buy</v>
      </c>
      <c r="I54">
        <f ca="1"/>
        <v>1</v>
      </c>
      <c r="J54">
        <f ca="1"/>
        <v>3000000</v>
      </c>
      <c r="K54" s="98">
        <f ca="1"/>
        <v>3000000</v>
      </c>
      <c r="L54">
        <f ca="1"/>
        <v>106.285</v>
      </c>
      <c r="M54" t="e">
        <f ca="1"/>
        <v>#N/A</v>
      </c>
      <c r="N54">
        <f ca="1"/>
        <v>106.29900000000001</v>
      </c>
      <c r="O54">
        <f ca="1"/>
        <v>420.00000000030008</v>
      </c>
    </row>
    <row r="55" spans="3:15" x14ac:dyDescent="0.35">
      <c r="C55" t="str">
        <f ca="1"/>
        <v>UBZ0</v>
      </c>
      <c r="D55" t="str">
        <f ca="1"/>
        <v>VOON</v>
      </c>
      <c r="E55" t="str">
        <f ca="1"/>
        <v>UBZ0VOON</v>
      </c>
      <c r="F55" t="str">
        <f ca="1"/>
        <v>UBZ0 Comdty</v>
      </c>
      <c r="G55" t="str">
        <f ca="1"/>
        <v>Future</v>
      </c>
      <c r="H55" t="str">
        <f ca="1"/>
        <v>Buy</v>
      </c>
      <c r="I55">
        <f ca="1"/>
        <v>1</v>
      </c>
      <c r="J55">
        <f ca="1"/>
        <v>1</v>
      </c>
      <c r="K55" s="98">
        <f ca="1"/>
        <v>100000</v>
      </c>
      <c r="L55">
        <f ca="1"/>
        <v>225.84</v>
      </c>
      <c r="M55">
        <f ca="1"/>
        <v>226.14</v>
      </c>
      <c r="N55">
        <f ca="1"/>
        <v>226.14</v>
      </c>
      <c r="O55">
        <f ca="1"/>
        <v>299.99999999998295</v>
      </c>
    </row>
    <row r="56" spans="3:15" x14ac:dyDescent="0.35">
      <c r="C56" t="str">
        <f ca="1"/>
        <v>OEZ0</v>
      </c>
      <c r="D56" t="str">
        <f ca="1"/>
        <v>VOON</v>
      </c>
      <c r="E56" t="str">
        <f ca="1"/>
        <v>OEZ0VOON</v>
      </c>
      <c r="F56" t="str">
        <f ca="1"/>
        <v>OEZ0 Comdty</v>
      </c>
      <c r="G56" t="str">
        <f ca="1"/>
        <v>Future</v>
      </c>
      <c r="H56" t="str">
        <f ca="1"/>
        <v>Sell</v>
      </c>
      <c r="I56">
        <f ca="1"/>
        <v>-1</v>
      </c>
      <c r="J56">
        <f ca="1"/>
        <v>3</v>
      </c>
      <c r="K56" s="98">
        <f ca="1"/>
        <v>-300000</v>
      </c>
      <c r="L56">
        <f ca="1"/>
        <v>135.34</v>
      </c>
      <c r="M56">
        <f ca="1"/>
        <v>135.38</v>
      </c>
      <c r="N56">
        <f ca="1"/>
        <v>135.38</v>
      </c>
      <c r="O56">
        <f ca="1"/>
        <v>-119.99999999997614</v>
      </c>
    </row>
    <row r="57" spans="3:15" x14ac:dyDescent="0.35">
      <c r="C57" t="str">
        <f ca="1"/>
        <v>FR0014000NZ4</v>
      </c>
      <c r="D57" t="str">
        <f ca="1"/>
        <v>VOON</v>
      </c>
      <c r="E57" t="str">
        <f ca="1"/>
        <v>FR0014000NZ4VOON</v>
      </c>
      <c r="F57" t="str">
        <f ca="1"/>
        <v>RENAUL 2 3/8 05/25/26</v>
      </c>
      <c r="G57" t="str">
        <f ca="1"/>
        <v>Bond Corporate</v>
      </c>
      <c r="H57" t="str">
        <f ca="1"/>
        <v>Sell</v>
      </c>
      <c r="I57">
        <f ca="1"/>
        <v>-1</v>
      </c>
      <c r="J57">
        <f ca="1"/>
        <v>1000000</v>
      </c>
      <c r="K57" s="98">
        <f ca="1"/>
        <v>-1000000</v>
      </c>
      <c r="L57">
        <f ca="1"/>
        <v>100</v>
      </c>
      <c r="M57" t="e">
        <f ca="1"/>
        <v>#N/A</v>
      </c>
      <c r="N57" t="str">
        <f ca="1"/>
        <v>-</v>
      </c>
      <c r="O57" t="str">
        <f ca="1"/>
        <v>-</v>
      </c>
    </row>
    <row r="58" spans="3:15" x14ac:dyDescent="0.35">
      <c r="C58" t="str">
        <f ca="1"/>
        <v>FR0014000D49</v>
      </c>
      <c r="D58" t="str">
        <f ca="1"/>
        <v>VOON</v>
      </c>
      <c r="E58" t="str">
        <f ca="1"/>
        <v>FR0014000D49VOON</v>
      </c>
      <c r="F58" t="str">
        <f ca="1"/>
        <v>MLFP 0 1/4 11/02/32</v>
      </c>
      <c r="G58" t="str">
        <f ca="1"/>
        <v>Bond Corporate</v>
      </c>
      <c r="H58" t="str">
        <f ca="1"/>
        <v>Sell</v>
      </c>
      <c r="I58">
        <f ca="1"/>
        <v>-1</v>
      </c>
      <c r="J58">
        <f ca="1"/>
        <v>2000000</v>
      </c>
      <c r="K58" s="98">
        <f ca="1"/>
        <v>-2000000</v>
      </c>
      <c r="L58">
        <f ca="1"/>
        <v>100.94499999999999</v>
      </c>
      <c r="M58" t="e">
        <f ca="1"/>
        <v>#N/A</v>
      </c>
      <c r="N58">
        <f ca="1"/>
        <v>100.943</v>
      </c>
      <c r="O58">
        <f ca="1"/>
        <v>39.999999999906777</v>
      </c>
    </row>
    <row r="59" spans="3:15" x14ac:dyDescent="0.35">
      <c r="C59" t="str">
        <f ca="1"/>
        <v>RXZ0</v>
      </c>
      <c r="D59" t="str">
        <f ca="1"/>
        <v>VOON</v>
      </c>
      <c r="E59" t="str">
        <f ca="1"/>
        <v>RXZ0VOON</v>
      </c>
      <c r="F59" t="str">
        <f ca="1"/>
        <v>RXZ0 Comdty</v>
      </c>
      <c r="G59" t="str">
        <f ca="1"/>
        <v>Future</v>
      </c>
      <c r="H59" t="str">
        <f ca="1"/>
        <v>Buy</v>
      </c>
      <c r="I59">
        <f ca="1"/>
        <v>1</v>
      </c>
      <c r="J59">
        <f ca="1"/>
        <v>10</v>
      </c>
      <c r="K59" s="98">
        <f ca="1"/>
        <v>1000000</v>
      </c>
      <c r="L59">
        <f ca="1"/>
        <v>175.24</v>
      </c>
      <c r="M59">
        <f ca="1"/>
        <v>175.22</v>
      </c>
      <c r="N59">
        <f ca="1"/>
        <v>175.22</v>
      </c>
      <c r="O59">
        <f ca="1"/>
        <v>-200.00000000010235</v>
      </c>
    </row>
    <row r="60" spans="3:15" x14ac:dyDescent="0.35">
      <c r="C60" t="str">
        <f ca="1"/>
        <v>RXZ0</v>
      </c>
      <c r="D60" t="str">
        <f ca="1"/>
        <v>VOON</v>
      </c>
      <c r="E60" t="str">
        <f ca="1"/>
        <v>RXZ0VOON</v>
      </c>
      <c r="F60" t="str">
        <f ca="1"/>
        <v>RXZ0 Comdty</v>
      </c>
      <c r="G60" t="str">
        <f ca="1"/>
        <v>Future</v>
      </c>
      <c r="H60" t="str">
        <f ca="1"/>
        <v>Buy</v>
      </c>
      <c r="I60">
        <f ca="1"/>
        <v>1</v>
      </c>
      <c r="J60">
        <f ca="1"/>
        <v>5</v>
      </c>
      <c r="K60" s="98">
        <f ca="1"/>
        <v>500000</v>
      </c>
      <c r="L60">
        <f ca="1"/>
        <v>175.24</v>
      </c>
      <c r="M60">
        <f ca="1"/>
        <v>175.22</v>
      </c>
      <c r="N60">
        <f ca="1"/>
        <v>175.22</v>
      </c>
      <c r="O60">
        <f ca="1"/>
        <v>-100.00000000005117</v>
      </c>
    </row>
    <row r="61" spans="3:15" x14ac:dyDescent="0.35">
      <c r="C61" t="str">
        <f ca="1"/>
        <v>RXZ0</v>
      </c>
      <c r="D61" t="str">
        <f ca="1"/>
        <v>VOON</v>
      </c>
      <c r="E61" t="str">
        <f ca="1"/>
        <v>RXZ0VOON</v>
      </c>
      <c r="F61" t="str">
        <f ca="1"/>
        <v>RXZ0 Comdty</v>
      </c>
      <c r="G61" t="str">
        <f ca="1"/>
        <v>Future</v>
      </c>
      <c r="H61" t="str">
        <f ca="1"/>
        <v>Sell</v>
      </c>
      <c r="I61">
        <f ca="1"/>
        <v>-1</v>
      </c>
      <c r="J61">
        <f ca="1"/>
        <v>3</v>
      </c>
      <c r="K61" s="98">
        <f ca="1"/>
        <v>-300000</v>
      </c>
      <c r="L61">
        <f ca="1"/>
        <v>175.14</v>
      </c>
      <c r="M61">
        <f ca="1"/>
        <v>175.22</v>
      </c>
      <c r="N61">
        <f ca="1"/>
        <v>175.22</v>
      </c>
      <c r="O61">
        <f ca="1"/>
        <v>-240.00000000003749</v>
      </c>
    </row>
    <row r="62" spans="3:15" x14ac:dyDescent="0.35">
      <c r="C62" t="str">
        <f ca="1"/>
        <v>UBZ0</v>
      </c>
      <c r="D62" t="str">
        <f ca="1"/>
        <v>VOON</v>
      </c>
      <c r="E62" t="str">
        <f ca="1"/>
        <v>UBZ0VOON</v>
      </c>
      <c r="F62" t="str">
        <f ca="1"/>
        <v>UBZ0 Comdty</v>
      </c>
      <c r="G62" t="str">
        <f ca="1"/>
        <v>Future</v>
      </c>
      <c r="H62" t="str">
        <f ca="1"/>
        <v>Sell</v>
      </c>
      <c r="I62">
        <f ca="1"/>
        <v>-1</v>
      </c>
      <c r="J62">
        <f ca="1"/>
        <v>1</v>
      </c>
      <c r="K62" s="98">
        <f ca="1"/>
        <v>-100000</v>
      </c>
      <c r="L62">
        <f ca="1"/>
        <v>225.88</v>
      </c>
      <c r="M62">
        <f ca="1"/>
        <v>226.14</v>
      </c>
      <c r="N62">
        <f ca="1"/>
        <v>226.14</v>
      </c>
      <c r="O62">
        <f ca="1"/>
        <v>-259.99999999999091</v>
      </c>
    </row>
    <row r="63" spans="3:15" x14ac:dyDescent="0.35">
      <c r="C63" t="str">
        <f ca="1"/>
        <v>RXZ0</v>
      </c>
      <c r="D63" t="str">
        <f ca="1"/>
        <v>VOON</v>
      </c>
      <c r="E63" t="str">
        <f ca="1"/>
        <v>RXZ0VOON</v>
      </c>
      <c r="F63" t="str">
        <f ca="1"/>
        <v>RXZ0 Comdty</v>
      </c>
      <c r="G63" t="str">
        <f ca="1"/>
        <v>Future</v>
      </c>
      <c r="H63" t="str">
        <f ca="1"/>
        <v>Sell</v>
      </c>
      <c r="I63">
        <f ca="1"/>
        <v>-1</v>
      </c>
      <c r="J63">
        <f ca="1"/>
        <v>3</v>
      </c>
      <c r="K63" s="98">
        <f ca="1"/>
        <v>-300000</v>
      </c>
      <c r="L63">
        <f ca="1"/>
        <v>175.07</v>
      </c>
      <c r="M63">
        <f ca="1"/>
        <v>175.22</v>
      </c>
      <c r="N63">
        <f ca="1"/>
        <v>175.22</v>
      </c>
      <c r="O63">
        <f ca="1"/>
        <v>-450.00000000001705</v>
      </c>
    </row>
    <row r="64" spans="3:15" x14ac:dyDescent="0.35">
      <c r="C64" t="str">
        <f ca="1"/>
        <v>BE6321529396</v>
      </c>
      <c r="D64" t="str">
        <f ca="1"/>
        <v>VOON</v>
      </c>
      <c r="E64" t="str">
        <f ca="1"/>
        <v>BE6321529396VOON</v>
      </c>
      <c r="F64" t="str">
        <f ca="1"/>
        <v>ELIATB 0 7/8 04/28/30</v>
      </c>
      <c r="G64" t="str">
        <f ca="1"/>
        <v>Bond Corporate</v>
      </c>
      <c r="H64" t="str">
        <f ca="1"/>
        <v>Buy</v>
      </c>
      <c r="I64">
        <f ca="1"/>
        <v>1</v>
      </c>
      <c r="J64">
        <f ca="1"/>
        <v>800000</v>
      </c>
      <c r="K64" s="98">
        <f ca="1"/>
        <v>800000</v>
      </c>
      <c r="L64">
        <f ca="1"/>
        <v>105.66500000000001</v>
      </c>
      <c r="M64">
        <f ca="1"/>
        <v>105.608</v>
      </c>
      <c r="N64">
        <f ca="1"/>
        <v>105.771</v>
      </c>
      <c r="O64">
        <f ca="1"/>
        <v>847.99999999995646</v>
      </c>
    </row>
    <row r="65" spans="3:15" x14ac:dyDescent="0.35">
      <c r="C65" t="str">
        <f ca="1"/>
        <v>UBZ0</v>
      </c>
      <c r="D65" t="str">
        <f ca="1"/>
        <v>VOON</v>
      </c>
      <c r="E65" t="str">
        <f ca="1"/>
        <v>UBZ0VOON</v>
      </c>
      <c r="F65" t="str">
        <f ca="1"/>
        <v>UBZ0 Comdty</v>
      </c>
      <c r="G65" t="str">
        <f ca="1"/>
        <v>Future</v>
      </c>
      <c r="H65" t="str">
        <f ca="1"/>
        <v>Buy</v>
      </c>
      <c r="I65">
        <f ca="1"/>
        <v>1</v>
      </c>
      <c r="J65">
        <f ca="1"/>
        <v>1</v>
      </c>
      <c r="K65" s="98">
        <f ca="1"/>
        <v>100000</v>
      </c>
      <c r="L65">
        <f ca="1"/>
        <v>226.04</v>
      </c>
      <c r="M65">
        <f ca="1"/>
        <v>226.14</v>
      </c>
      <c r="N65">
        <f ca="1"/>
        <v>226.14</v>
      </c>
      <c r="O65">
        <f ca="1"/>
        <v>99.999999999994316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4BDC0-D91D-45EE-8F13-B25E445650F5}">
  <sheetPr codeName="Sheet11">
    <tabColor theme="9" tint="-0.249977111117893"/>
  </sheetPr>
  <dimension ref="A1:T61"/>
  <sheetViews>
    <sheetView workbookViewId="0">
      <selection activeCell="J2" sqref="J2"/>
    </sheetView>
  </sheetViews>
  <sheetFormatPr defaultRowHeight="14.5" x14ac:dyDescent="0.35"/>
  <cols>
    <col min="1" max="1" width="11.90625" bestFit="1" customWidth="1"/>
    <col min="2" max="2" width="11.54296875" bestFit="1" customWidth="1"/>
    <col min="3" max="3" width="14.08984375" bestFit="1" customWidth="1"/>
    <col min="4" max="4" width="21.54296875" bestFit="1" customWidth="1"/>
    <col min="5" max="5" width="23.1796875" bestFit="1" customWidth="1"/>
    <col min="6" max="6" width="10" bestFit="1" customWidth="1"/>
    <col min="7" max="7" width="12" bestFit="1" customWidth="1"/>
    <col min="8" max="8" width="16.26953125" bestFit="1" customWidth="1"/>
    <col min="9" max="9" width="14.81640625" bestFit="1" customWidth="1"/>
    <col min="10" max="10" width="19.453125" bestFit="1" customWidth="1"/>
    <col min="11" max="11" width="31.36328125" bestFit="1" customWidth="1"/>
    <col min="12" max="12" width="17.26953125" bestFit="1" customWidth="1"/>
    <col min="13" max="13" width="23.08984375" bestFit="1" customWidth="1"/>
    <col min="14" max="14" width="10.36328125" bestFit="1" customWidth="1"/>
    <col min="15" max="15" width="19.26953125" bestFit="1" customWidth="1"/>
    <col min="20" max="20" width="11.36328125" bestFit="1" customWidth="1"/>
  </cols>
  <sheetData>
    <row r="1" spans="1:20" x14ac:dyDescent="0.35">
      <c r="A1" t="s">
        <v>1492</v>
      </c>
      <c r="B1" t="s">
        <v>1493</v>
      </c>
      <c r="C1" t="s">
        <v>1494</v>
      </c>
      <c r="D1" t="s">
        <v>1279</v>
      </c>
      <c r="E1" t="s">
        <v>1495</v>
      </c>
      <c r="F1" t="s">
        <v>1496</v>
      </c>
      <c r="G1" t="s">
        <v>1497</v>
      </c>
      <c r="H1" t="s">
        <v>1498</v>
      </c>
      <c r="I1" t="s">
        <v>1499</v>
      </c>
      <c r="J1" t="s">
        <v>1297</v>
      </c>
      <c r="K1" t="s">
        <v>1298</v>
      </c>
      <c r="L1" t="s">
        <v>1500</v>
      </c>
      <c r="M1" t="s">
        <v>1501</v>
      </c>
      <c r="N1" t="s">
        <v>1502</v>
      </c>
      <c r="O1" t="s">
        <v>1283</v>
      </c>
    </row>
    <row r="2" spans="1:20" x14ac:dyDescent="0.35">
      <c r="A2" s="99">
        <v>44152</v>
      </c>
      <c r="B2" s="100">
        <v>0.34833333333333333</v>
      </c>
      <c r="C2" s="3" t="s">
        <v>331</v>
      </c>
      <c r="D2" s="3" t="s">
        <v>332</v>
      </c>
      <c r="E2" s="3" t="s">
        <v>1507</v>
      </c>
      <c r="F2">
        <v>4500000</v>
      </c>
      <c r="G2">
        <v>106.495</v>
      </c>
      <c r="H2" s="3" t="s">
        <v>1511</v>
      </c>
      <c r="I2" s="3" t="s">
        <v>256</v>
      </c>
      <c r="J2" s="3" t="s">
        <v>256</v>
      </c>
      <c r="K2" s="3" t="s">
        <v>10</v>
      </c>
      <c r="L2" s="3" t="s">
        <v>4</v>
      </c>
      <c r="M2">
        <v>0</v>
      </c>
      <c r="N2">
        <v>106.495</v>
      </c>
      <c r="O2" s="3" t="s">
        <v>30</v>
      </c>
    </row>
    <row r="3" spans="1:20" x14ac:dyDescent="0.35">
      <c r="A3" s="99">
        <v>44152</v>
      </c>
      <c r="B3" s="100">
        <v>0.35700231481481481</v>
      </c>
      <c r="C3" s="3" t="s">
        <v>433</v>
      </c>
      <c r="D3" s="3" t="s">
        <v>434</v>
      </c>
      <c r="E3" s="3" t="s">
        <v>1507</v>
      </c>
      <c r="F3">
        <v>400000</v>
      </c>
      <c r="G3">
        <v>102.495</v>
      </c>
      <c r="H3" s="3" t="s">
        <v>1511</v>
      </c>
      <c r="I3" s="3" t="s">
        <v>256</v>
      </c>
      <c r="J3" s="3" t="s">
        <v>256</v>
      </c>
      <c r="K3" s="3" t="s">
        <v>10</v>
      </c>
      <c r="L3" s="3" t="s">
        <v>4</v>
      </c>
      <c r="M3">
        <v>0</v>
      </c>
      <c r="N3">
        <v>102.161</v>
      </c>
      <c r="O3" s="3" t="s">
        <v>30</v>
      </c>
    </row>
    <row r="4" spans="1:20" x14ac:dyDescent="0.35">
      <c r="A4" s="99">
        <v>44152</v>
      </c>
      <c r="B4" s="100">
        <v>0.35993055555555553</v>
      </c>
      <c r="C4" s="3" t="s">
        <v>400</v>
      </c>
      <c r="D4" s="3" t="s">
        <v>401</v>
      </c>
      <c r="E4" s="3" t="s">
        <v>1507</v>
      </c>
      <c r="F4">
        <v>3000000</v>
      </c>
      <c r="G4">
        <v>111.87</v>
      </c>
      <c r="H4" s="3" t="s">
        <v>1511</v>
      </c>
      <c r="I4" s="3" t="s">
        <v>256</v>
      </c>
      <c r="J4" s="3" t="s">
        <v>256</v>
      </c>
      <c r="K4" s="3" t="s">
        <v>10</v>
      </c>
      <c r="L4" s="3" t="s">
        <v>4</v>
      </c>
      <c r="M4">
        <v>0</v>
      </c>
      <c r="N4">
        <v>111.562</v>
      </c>
      <c r="O4" s="3" t="s">
        <v>30</v>
      </c>
      <c r="T4" s="98"/>
    </row>
    <row r="5" spans="1:20" x14ac:dyDescent="0.35">
      <c r="A5" s="99">
        <v>44152</v>
      </c>
      <c r="B5" s="100">
        <v>0.36802083333333335</v>
      </c>
      <c r="C5" s="3" t="s">
        <v>1638</v>
      </c>
      <c r="D5" s="3" t="s">
        <v>1639</v>
      </c>
      <c r="E5" s="3" t="s">
        <v>1503</v>
      </c>
      <c r="F5">
        <v>500000</v>
      </c>
      <c r="G5">
        <v>106.485</v>
      </c>
      <c r="H5" s="3" t="s">
        <v>1651</v>
      </c>
      <c r="I5" s="3" t="s">
        <v>256</v>
      </c>
      <c r="J5" s="3" t="s">
        <v>256</v>
      </c>
      <c r="K5" s="3" t="s">
        <v>10</v>
      </c>
      <c r="L5" s="3" t="s">
        <v>266</v>
      </c>
      <c r="M5">
        <v>0</v>
      </c>
      <c r="N5">
        <v>106.52800000000001</v>
      </c>
      <c r="O5" s="3" t="s">
        <v>30</v>
      </c>
    </row>
    <row r="6" spans="1:20" x14ac:dyDescent="0.35">
      <c r="A6" s="99">
        <v>44152</v>
      </c>
      <c r="B6" s="100">
        <v>0.37001157407407409</v>
      </c>
      <c r="C6" s="3" t="s">
        <v>596</v>
      </c>
      <c r="D6" s="3" t="s">
        <v>597</v>
      </c>
      <c r="E6" s="3" t="s">
        <v>1503</v>
      </c>
      <c r="F6">
        <v>127000</v>
      </c>
      <c r="G6">
        <v>107.125</v>
      </c>
      <c r="H6" s="3" t="s">
        <v>1651</v>
      </c>
      <c r="I6" s="3" t="s">
        <v>256</v>
      </c>
      <c r="J6" s="3" t="s">
        <v>256</v>
      </c>
      <c r="K6" s="3" t="s">
        <v>10</v>
      </c>
      <c r="L6" s="3" t="s">
        <v>4</v>
      </c>
      <c r="M6">
        <v>0</v>
      </c>
      <c r="N6">
        <v>107.096</v>
      </c>
      <c r="O6" s="3" t="s">
        <v>30</v>
      </c>
    </row>
    <row r="7" spans="1:20" x14ac:dyDescent="0.35">
      <c r="A7" s="99">
        <v>44152</v>
      </c>
      <c r="B7" s="100">
        <v>0.37200231481481483</v>
      </c>
      <c r="C7" s="3" t="s">
        <v>1638</v>
      </c>
      <c r="D7" s="3" t="s">
        <v>1639</v>
      </c>
      <c r="E7" s="3" t="s">
        <v>1503</v>
      </c>
      <c r="F7">
        <v>3000000</v>
      </c>
      <c r="G7">
        <v>106.485</v>
      </c>
      <c r="H7" s="3" t="s">
        <v>1651</v>
      </c>
      <c r="I7" s="3" t="s">
        <v>256</v>
      </c>
      <c r="J7" s="3" t="s">
        <v>256</v>
      </c>
      <c r="K7" s="3" t="s">
        <v>10</v>
      </c>
      <c r="L7" s="3" t="s">
        <v>266</v>
      </c>
      <c r="M7">
        <v>0</v>
      </c>
      <c r="N7">
        <v>106.52800000000001</v>
      </c>
      <c r="O7" s="3" t="s">
        <v>30</v>
      </c>
    </row>
    <row r="8" spans="1:20" x14ac:dyDescent="0.35">
      <c r="A8" s="99">
        <v>44152</v>
      </c>
      <c r="B8" s="100">
        <v>0.37267361111111114</v>
      </c>
      <c r="C8" s="3" t="s">
        <v>1638</v>
      </c>
      <c r="D8" s="3" t="s">
        <v>1639</v>
      </c>
      <c r="E8" s="3" t="s">
        <v>1503</v>
      </c>
      <c r="F8">
        <v>3500000</v>
      </c>
      <c r="G8">
        <v>106.485</v>
      </c>
      <c r="H8" s="3" t="s">
        <v>1651</v>
      </c>
      <c r="I8" s="3" t="s">
        <v>256</v>
      </c>
      <c r="J8" s="3" t="s">
        <v>256</v>
      </c>
      <c r="K8" s="3" t="s">
        <v>10</v>
      </c>
      <c r="L8" s="3" t="s">
        <v>266</v>
      </c>
      <c r="M8">
        <v>0</v>
      </c>
      <c r="N8">
        <v>106.52800000000001</v>
      </c>
      <c r="O8" s="3" t="s">
        <v>30</v>
      </c>
    </row>
    <row r="9" spans="1:20" x14ac:dyDescent="0.35">
      <c r="A9" s="99">
        <v>44152</v>
      </c>
      <c r="B9" s="100">
        <v>0.37910879629629629</v>
      </c>
      <c r="C9" s="3" t="s">
        <v>426</v>
      </c>
      <c r="D9" s="3" t="s">
        <v>427</v>
      </c>
      <c r="E9" s="3" t="s">
        <v>1507</v>
      </c>
      <c r="F9">
        <v>1500000</v>
      </c>
      <c r="G9">
        <v>102.255</v>
      </c>
      <c r="H9" s="3" t="s">
        <v>1651</v>
      </c>
      <c r="I9" s="3" t="s">
        <v>256</v>
      </c>
      <c r="J9" s="3" t="s">
        <v>256</v>
      </c>
      <c r="K9" s="3" t="s">
        <v>10</v>
      </c>
      <c r="L9" s="3" t="s">
        <v>4</v>
      </c>
      <c r="M9">
        <v>0</v>
      </c>
      <c r="N9">
        <v>102.25</v>
      </c>
      <c r="O9" s="3" t="s">
        <v>30</v>
      </c>
    </row>
    <row r="10" spans="1:20" x14ac:dyDescent="0.35">
      <c r="A10" s="99">
        <v>44152</v>
      </c>
      <c r="B10" s="100">
        <v>0.39042824074074073</v>
      </c>
      <c r="C10" s="3" t="s">
        <v>372</v>
      </c>
      <c r="D10" s="3" t="s">
        <v>373</v>
      </c>
      <c r="E10" s="3" t="s">
        <v>1507</v>
      </c>
      <c r="F10">
        <v>700000</v>
      </c>
      <c r="G10">
        <v>106.995</v>
      </c>
      <c r="H10" s="3" t="s">
        <v>1511</v>
      </c>
      <c r="I10" s="3" t="s">
        <v>256</v>
      </c>
      <c r="J10" s="3" t="s">
        <v>256</v>
      </c>
      <c r="K10" s="3" t="s">
        <v>10</v>
      </c>
      <c r="L10" s="3" t="s">
        <v>4</v>
      </c>
      <c r="M10">
        <v>0</v>
      </c>
      <c r="N10">
        <v>106.80200000000001</v>
      </c>
      <c r="O10" s="3" t="s">
        <v>30</v>
      </c>
    </row>
    <row r="11" spans="1:20" x14ac:dyDescent="0.35">
      <c r="A11" s="99">
        <v>44152</v>
      </c>
      <c r="B11" s="100">
        <v>0.39098379629629632</v>
      </c>
      <c r="C11" s="3" t="s">
        <v>337</v>
      </c>
      <c r="D11" s="3" t="s">
        <v>338</v>
      </c>
      <c r="E11" s="3" t="s">
        <v>1507</v>
      </c>
      <c r="F11">
        <v>800000</v>
      </c>
      <c r="G11">
        <v>103.735</v>
      </c>
      <c r="H11" s="3" t="s">
        <v>1511</v>
      </c>
      <c r="I11" s="3" t="s">
        <v>256</v>
      </c>
      <c r="J11" s="3" t="s">
        <v>256</v>
      </c>
      <c r="K11" s="3" t="s">
        <v>10</v>
      </c>
      <c r="L11" s="3" t="s">
        <v>4</v>
      </c>
      <c r="M11">
        <v>0</v>
      </c>
      <c r="N11">
        <v>103.096</v>
      </c>
      <c r="O11" s="3" t="s">
        <v>30</v>
      </c>
    </row>
    <row r="12" spans="1:20" x14ac:dyDescent="0.35">
      <c r="A12" s="99">
        <v>44152</v>
      </c>
      <c r="B12" s="100">
        <v>0.39156249999999998</v>
      </c>
      <c r="C12" s="3" t="s">
        <v>587</v>
      </c>
      <c r="D12" s="3" t="s">
        <v>361</v>
      </c>
      <c r="E12" s="3" t="s">
        <v>1507</v>
      </c>
      <c r="F12">
        <v>400000</v>
      </c>
      <c r="G12">
        <v>102.35</v>
      </c>
      <c r="H12" s="3" t="s">
        <v>1511</v>
      </c>
      <c r="I12" s="3" t="s">
        <v>256</v>
      </c>
      <c r="J12" s="3" t="s">
        <v>256</v>
      </c>
      <c r="K12" s="3" t="s">
        <v>10</v>
      </c>
      <c r="L12" s="3" t="s">
        <v>4</v>
      </c>
      <c r="M12">
        <v>0</v>
      </c>
      <c r="N12">
        <v>101.873</v>
      </c>
      <c r="O12" s="3" t="s">
        <v>30</v>
      </c>
    </row>
    <row r="13" spans="1:20" x14ac:dyDescent="0.35">
      <c r="A13" s="99">
        <v>44152</v>
      </c>
      <c r="B13" s="100">
        <v>0.40115740740740741</v>
      </c>
      <c r="C13" s="3" t="s">
        <v>1243</v>
      </c>
      <c r="D13" s="3" t="s">
        <v>1244</v>
      </c>
      <c r="E13" s="3" t="s">
        <v>1503</v>
      </c>
      <c r="F13">
        <v>800000</v>
      </c>
      <c r="G13">
        <v>107.6</v>
      </c>
      <c r="H13" s="3" t="s">
        <v>1651</v>
      </c>
      <c r="I13" s="3" t="s">
        <v>256</v>
      </c>
      <c r="J13" s="3" t="s">
        <v>256</v>
      </c>
      <c r="K13" s="3" t="s">
        <v>10</v>
      </c>
      <c r="L13" s="3" t="s">
        <v>266</v>
      </c>
      <c r="M13">
        <v>0</v>
      </c>
      <c r="N13">
        <v>107.521</v>
      </c>
      <c r="O13" s="3" t="s">
        <v>30</v>
      </c>
    </row>
    <row r="14" spans="1:20" x14ac:dyDescent="0.35">
      <c r="A14" s="99">
        <v>44152</v>
      </c>
      <c r="B14" s="100">
        <v>0.40459490740740739</v>
      </c>
      <c r="C14" s="3" t="s">
        <v>329</v>
      </c>
      <c r="D14" s="3" t="s">
        <v>330</v>
      </c>
      <c r="E14" s="3" t="s">
        <v>1503</v>
      </c>
      <c r="F14">
        <v>200000</v>
      </c>
      <c r="G14">
        <v>102.63</v>
      </c>
      <c r="H14" s="3" t="s">
        <v>1511</v>
      </c>
      <c r="I14" s="3" t="s">
        <v>256</v>
      </c>
      <c r="J14" s="3" t="s">
        <v>256</v>
      </c>
      <c r="K14" s="3" t="s">
        <v>10</v>
      </c>
      <c r="L14" s="3" t="s">
        <v>4</v>
      </c>
      <c r="M14">
        <v>0</v>
      </c>
      <c r="N14">
        <v>102.80800000000001</v>
      </c>
      <c r="O14" s="3" t="s">
        <v>30</v>
      </c>
    </row>
    <row r="15" spans="1:20" x14ac:dyDescent="0.35">
      <c r="A15" s="99">
        <v>44152</v>
      </c>
      <c r="B15" s="100">
        <v>0.55517361111111108</v>
      </c>
      <c r="C15" s="3" t="s">
        <v>372</v>
      </c>
      <c r="D15" s="3" t="s">
        <v>373</v>
      </c>
      <c r="E15" s="3" t="s">
        <v>1503</v>
      </c>
      <c r="F15">
        <v>600000</v>
      </c>
      <c r="G15">
        <v>106.63</v>
      </c>
      <c r="H15" s="3" t="s">
        <v>1511</v>
      </c>
      <c r="I15" s="3" t="s">
        <v>256</v>
      </c>
      <c r="J15" s="3" t="s">
        <v>256</v>
      </c>
      <c r="K15" s="3" t="s">
        <v>10</v>
      </c>
      <c r="L15" s="3" t="s">
        <v>4</v>
      </c>
      <c r="M15">
        <v>0</v>
      </c>
      <c r="N15">
        <v>106.80200000000001</v>
      </c>
      <c r="O15" s="3" t="s">
        <v>30</v>
      </c>
    </row>
    <row r="16" spans="1:20" x14ac:dyDescent="0.35">
      <c r="A16" s="99">
        <v>44152</v>
      </c>
      <c r="B16" s="100">
        <v>0.56545138888888891</v>
      </c>
      <c r="C16" s="3" t="s">
        <v>948</v>
      </c>
      <c r="D16" s="3" t="s">
        <v>949</v>
      </c>
      <c r="E16" s="3" t="s">
        <v>1507</v>
      </c>
      <c r="F16">
        <v>200000</v>
      </c>
      <c r="G16">
        <v>106.22</v>
      </c>
      <c r="H16" s="3" t="s">
        <v>1511</v>
      </c>
      <c r="I16" s="3" t="s">
        <v>256</v>
      </c>
      <c r="J16" s="3" t="s">
        <v>256</v>
      </c>
      <c r="K16" s="3" t="s">
        <v>10</v>
      </c>
      <c r="L16" s="3" t="s">
        <v>266</v>
      </c>
      <c r="M16">
        <v>0</v>
      </c>
      <c r="N16">
        <v>105.52800000000001</v>
      </c>
      <c r="O16" s="3" t="s">
        <v>30</v>
      </c>
    </row>
    <row r="17" spans="1:15" x14ac:dyDescent="0.35">
      <c r="A17" s="99">
        <v>44152</v>
      </c>
      <c r="B17" s="100">
        <v>0.56869212962962967</v>
      </c>
      <c r="C17" s="3" t="s">
        <v>372</v>
      </c>
      <c r="D17" s="3" t="s">
        <v>373</v>
      </c>
      <c r="E17" s="3" t="s">
        <v>1503</v>
      </c>
      <c r="F17">
        <v>209000</v>
      </c>
      <c r="G17">
        <v>106.63</v>
      </c>
      <c r="H17" s="3" t="s">
        <v>1511</v>
      </c>
      <c r="I17" s="3" t="s">
        <v>256</v>
      </c>
      <c r="J17" s="3" t="s">
        <v>256</v>
      </c>
      <c r="K17" s="3" t="s">
        <v>10</v>
      </c>
      <c r="L17" s="3" t="s">
        <v>4</v>
      </c>
      <c r="M17">
        <v>0</v>
      </c>
      <c r="N17">
        <v>106.80200000000001</v>
      </c>
      <c r="O17" s="3" t="s">
        <v>30</v>
      </c>
    </row>
    <row r="18" spans="1:15" x14ac:dyDescent="0.35">
      <c r="A18" s="99">
        <v>44152</v>
      </c>
      <c r="B18" s="100">
        <v>0.63885416666666661</v>
      </c>
      <c r="C18" s="3" t="s">
        <v>299</v>
      </c>
      <c r="D18" s="3" t="s">
        <v>300</v>
      </c>
      <c r="E18" s="3" t="s">
        <v>1503</v>
      </c>
      <c r="F18">
        <v>4500000</v>
      </c>
      <c r="G18">
        <v>112.655</v>
      </c>
      <c r="H18" s="3" t="s">
        <v>1511</v>
      </c>
      <c r="I18" s="3" t="s">
        <v>256</v>
      </c>
      <c r="J18" s="3" t="s">
        <v>256</v>
      </c>
      <c r="K18" s="3" t="s">
        <v>10</v>
      </c>
      <c r="L18" s="3" t="s">
        <v>283</v>
      </c>
      <c r="M18">
        <v>0</v>
      </c>
      <c r="N18">
        <v>112.432</v>
      </c>
      <c r="O18" s="3" t="s">
        <v>30</v>
      </c>
    </row>
    <row r="19" spans="1:15" x14ac:dyDescent="0.35">
      <c r="A19" s="99">
        <v>44152</v>
      </c>
      <c r="B19" s="100">
        <v>0.64063657407407404</v>
      </c>
      <c r="C19" s="3" t="s">
        <v>297</v>
      </c>
      <c r="D19" s="3" t="s">
        <v>298</v>
      </c>
      <c r="E19" s="3" t="s">
        <v>1507</v>
      </c>
      <c r="F19">
        <v>7200000</v>
      </c>
      <c r="G19">
        <v>103.75</v>
      </c>
      <c r="H19" s="3" t="s">
        <v>1511</v>
      </c>
      <c r="I19" s="3" t="s">
        <v>256</v>
      </c>
      <c r="J19" s="3" t="s">
        <v>256</v>
      </c>
      <c r="K19" s="3" t="s">
        <v>10</v>
      </c>
      <c r="L19" s="3" t="s">
        <v>4</v>
      </c>
      <c r="M19">
        <v>0</v>
      </c>
      <c r="N19">
        <v>103.679</v>
      </c>
      <c r="O19" s="3" t="s">
        <v>30</v>
      </c>
    </row>
    <row r="20" spans="1:15" x14ac:dyDescent="0.35">
      <c r="A20" s="99">
        <v>44152</v>
      </c>
      <c r="B20" s="100">
        <v>0.64100694444444439</v>
      </c>
      <c r="C20" s="3" t="s">
        <v>292</v>
      </c>
      <c r="D20" s="3" t="s">
        <v>293</v>
      </c>
      <c r="E20" s="3" t="s">
        <v>1503</v>
      </c>
      <c r="F20">
        <v>4200000</v>
      </c>
      <c r="G20">
        <v>104.625</v>
      </c>
      <c r="H20" s="3" t="s">
        <v>1511</v>
      </c>
      <c r="I20" s="3" t="s">
        <v>256</v>
      </c>
      <c r="J20" s="3" t="s">
        <v>256</v>
      </c>
      <c r="K20" s="3" t="s">
        <v>10</v>
      </c>
      <c r="L20" s="3" t="s">
        <v>4</v>
      </c>
      <c r="M20">
        <v>0</v>
      </c>
      <c r="N20">
        <v>104.735</v>
      </c>
      <c r="O20" s="3" t="s">
        <v>30</v>
      </c>
    </row>
    <row r="21" spans="1:15" x14ac:dyDescent="0.35">
      <c r="A21" s="99">
        <v>44152</v>
      </c>
      <c r="B21" s="100">
        <v>0.64795138888888892</v>
      </c>
      <c r="C21" s="3" t="s">
        <v>1760</v>
      </c>
      <c r="D21" s="3" t="s">
        <v>1761</v>
      </c>
      <c r="E21" s="3" t="s">
        <v>1503</v>
      </c>
      <c r="F21">
        <v>1000000</v>
      </c>
      <c r="G21">
        <v>106.375</v>
      </c>
      <c r="H21" s="3" t="s">
        <v>253</v>
      </c>
      <c r="I21" s="3" t="s">
        <v>256</v>
      </c>
      <c r="J21" s="3" t="s">
        <v>256</v>
      </c>
      <c r="K21" s="3" t="s">
        <v>10</v>
      </c>
      <c r="L21" s="3" t="s">
        <v>283</v>
      </c>
      <c r="M21">
        <v>0</v>
      </c>
      <c r="N21">
        <v>106.304</v>
      </c>
      <c r="O21" s="3" t="s">
        <v>30</v>
      </c>
    </row>
    <row r="22" spans="1:15" x14ac:dyDescent="0.35">
      <c r="A22" s="99">
        <v>44152</v>
      </c>
      <c r="B22" s="100">
        <v>0.647974537037037</v>
      </c>
      <c r="C22" s="3" t="s">
        <v>360</v>
      </c>
      <c r="D22" s="3" t="s">
        <v>361</v>
      </c>
      <c r="E22" s="3" t="s">
        <v>1507</v>
      </c>
      <c r="F22">
        <v>1000000</v>
      </c>
      <c r="G22">
        <v>103.7</v>
      </c>
      <c r="H22" s="3" t="s">
        <v>253</v>
      </c>
      <c r="I22" s="3" t="s">
        <v>256</v>
      </c>
      <c r="J22" s="3" t="s">
        <v>256</v>
      </c>
      <c r="K22" s="3" t="s">
        <v>10</v>
      </c>
      <c r="L22" s="3" t="s">
        <v>4</v>
      </c>
      <c r="M22">
        <v>0</v>
      </c>
      <c r="N22">
        <v>103.723</v>
      </c>
      <c r="O22" s="3" t="s">
        <v>30</v>
      </c>
    </row>
    <row r="23" spans="1:15" x14ac:dyDescent="0.35">
      <c r="A23" s="99">
        <v>44152</v>
      </c>
      <c r="B23" s="100">
        <v>0.67312499999999997</v>
      </c>
      <c r="C23" s="3" t="s">
        <v>433</v>
      </c>
      <c r="D23" s="3" t="s">
        <v>434</v>
      </c>
      <c r="E23" s="3" t="s">
        <v>1507</v>
      </c>
      <c r="F23">
        <v>200000</v>
      </c>
      <c r="G23">
        <v>102.295</v>
      </c>
      <c r="H23" s="3" t="s">
        <v>1511</v>
      </c>
      <c r="I23" s="3" t="s">
        <v>256</v>
      </c>
      <c r="J23" s="3" t="s">
        <v>256</v>
      </c>
      <c r="K23" s="3" t="s">
        <v>10</v>
      </c>
      <c r="L23" s="3" t="s">
        <v>4</v>
      </c>
      <c r="M23">
        <v>0</v>
      </c>
      <c r="N23">
        <v>102.161</v>
      </c>
      <c r="O23" s="3" t="s">
        <v>30</v>
      </c>
    </row>
    <row r="24" spans="1:15" x14ac:dyDescent="0.35">
      <c r="A24" s="99">
        <v>44152</v>
      </c>
      <c r="B24" s="100">
        <v>0.67314814814814816</v>
      </c>
      <c r="C24" s="3" t="s">
        <v>305</v>
      </c>
      <c r="D24" s="3" t="s">
        <v>306</v>
      </c>
      <c r="E24" s="3" t="s">
        <v>1507</v>
      </c>
      <c r="F24">
        <v>200000</v>
      </c>
      <c r="G24">
        <v>99.37</v>
      </c>
      <c r="H24" s="3" t="s">
        <v>1511</v>
      </c>
      <c r="I24" s="3" t="s">
        <v>256</v>
      </c>
      <c r="J24" s="3" t="s">
        <v>256</v>
      </c>
      <c r="K24" s="3" t="s">
        <v>10</v>
      </c>
      <c r="L24" s="3" t="s">
        <v>4</v>
      </c>
      <c r="M24">
        <v>0</v>
      </c>
      <c r="N24">
        <v>99.304000000000002</v>
      </c>
      <c r="O24" s="3" t="s">
        <v>30</v>
      </c>
    </row>
    <row r="25" spans="1:15" x14ac:dyDescent="0.35">
      <c r="A25" s="99">
        <v>44152</v>
      </c>
      <c r="B25" s="100">
        <v>0.6744444444444444</v>
      </c>
      <c r="C25" s="3" t="s">
        <v>598</v>
      </c>
      <c r="D25" s="3" t="s">
        <v>599</v>
      </c>
      <c r="E25" s="3" t="s">
        <v>1507</v>
      </c>
      <c r="F25">
        <v>2194000</v>
      </c>
      <c r="G25">
        <v>99.5</v>
      </c>
      <c r="H25" s="3" t="s">
        <v>1772</v>
      </c>
      <c r="I25" s="3" t="s">
        <v>256</v>
      </c>
      <c r="J25" s="3" t="s">
        <v>256</v>
      </c>
      <c r="K25" s="3" t="s">
        <v>10</v>
      </c>
      <c r="L25" s="3" t="s">
        <v>4</v>
      </c>
      <c r="M25">
        <v>0</v>
      </c>
      <c r="N25">
        <v>99.438000000000002</v>
      </c>
      <c r="O25" s="3" t="s">
        <v>30</v>
      </c>
    </row>
    <row r="26" spans="1:15" x14ac:dyDescent="0.35">
      <c r="A26" s="99">
        <v>44152</v>
      </c>
      <c r="B26" s="100">
        <v>0.69268518518518518</v>
      </c>
      <c r="C26" s="3" t="s">
        <v>417</v>
      </c>
      <c r="D26" s="3" t="s">
        <v>418</v>
      </c>
      <c r="E26" s="3" t="s">
        <v>1503</v>
      </c>
      <c r="F26">
        <v>1996000</v>
      </c>
      <c r="G26">
        <v>101.755</v>
      </c>
      <c r="H26" s="3" t="s">
        <v>1772</v>
      </c>
      <c r="I26" s="3" t="s">
        <v>256</v>
      </c>
      <c r="J26" s="3" t="s">
        <v>256</v>
      </c>
      <c r="K26" s="3" t="s">
        <v>10</v>
      </c>
      <c r="L26" s="3" t="s">
        <v>4</v>
      </c>
      <c r="M26">
        <v>0</v>
      </c>
      <c r="N26">
        <v>101.979</v>
      </c>
      <c r="O26" s="3" t="s">
        <v>30</v>
      </c>
    </row>
    <row r="27" spans="1:15" x14ac:dyDescent="0.35">
      <c r="A27" s="99">
        <v>44152</v>
      </c>
      <c r="B27" s="100">
        <v>0.72228009259259263</v>
      </c>
      <c r="C27" s="3" t="s">
        <v>426</v>
      </c>
      <c r="D27" s="3" t="s">
        <v>427</v>
      </c>
      <c r="E27" s="3" t="s">
        <v>1507</v>
      </c>
      <c r="F27">
        <v>5000000</v>
      </c>
      <c r="G27">
        <v>102.37</v>
      </c>
      <c r="H27" s="3" t="s">
        <v>1511</v>
      </c>
      <c r="I27" s="3" t="s">
        <v>256</v>
      </c>
      <c r="J27" s="3" t="s">
        <v>256</v>
      </c>
      <c r="K27" s="3" t="s">
        <v>10</v>
      </c>
      <c r="L27" s="3" t="s">
        <v>4</v>
      </c>
      <c r="M27">
        <v>0</v>
      </c>
      <c r="N27">
        <v>102.25</v>
      </c>
      <c r="O27" s="3" t="s">
        <v>30</v>
      </c>
    </row>
    <row r="28" spans="1:15" x14ac:dyDescent="0.35">
      <c r="A28" s="99">
        <v>44152</v>
      </c>
      <c r="B28" s="100">
        <v>0.73030092592592588</v>
      </c>
      <c r="C28" s="3" t="s">
        <v>1084</v>
      </c>
      <c r="D28" s="3" t="s">
        <v>255</v>
      </c>
      <c r="E28" s="3" t="s">
        <v>1505</v>
      </c>
      <c r="F28">
        <v>4000000</v>
      </c>
      <c r="G28">
        <v>-9.9689999999999994</v>
      </c>
      <c r="H28" s="3" t="s">
        <v>1506</v>
      </c>
      <c r="I28" s="3" t="s">
        <v>1678</v>
      </c>
      <c r="J28" s="3" t="s">
        <v>256</v>
      </c>
      <c r="K28" s="3" t="s">
        <v>10</v>
      </c>
      <c r="L28" s="3" t="s">
        <v>4</v>
      </c>
      <c r="M28">
        <v>0</v>
      </c>
      <c r="N28">
        <v>-9.907</v>
      </c>
      <c r="O28" s="3" t="s">
        <v>5</v>
      </c>
    </row>
    <row r="29" spans="1:15" x14ac:dyDescent="0.35">
      <c r="A29" s="99">
        <v>44152</v>
      </c>
      <c r="B29" s="100">
        <v>0.35659722222222223</v>
      </c>
      <c r="C29" s="3" t="s">
        <v>1711</v>
      </c>
      <c r="D29" s="3" t="s">
        <v>1712</v>
      </c>
      <c r="E29" s="3" t="s">
        <v>1503</v>
      </c>
      <c r="F29">
        <v>1200000</v>
      </c>
      <c r="G29">
        <v>103.08499999999999</v>
      </c>
      <c r="H29" s="3" t="s">
        <v>1511</v>
      </c>
      <c r="I29" s="3" t="s">
        <v>9</v>
      </c>
      <c r="J29" s="3" t="s">
        <v>9</v>
      </c>
      <c r="K29" s="3" t="s">
        <v>10</v>
      </c>
      <c r="L29" s="3" t="s">
        <v>4</v>
      </c>
      <c r="M29">
        <v>0</v>
      </c>
      <c r="N29">
        <v>103.218</v>
      </c>
      <c r="O29" s="3" t="s">
        <v>30</v>
      </c>
    </row>
    <row r="30" spans="1:15" x14ac:dyDescent="0.35">
      <c r="A30" s="99">
        <v>44152</v>
      </c>
      <c r="B30" s="100">
        <v>0.36412037037037037</v>
      </c>
      <c r="C30" s="3" t="s">
        <v>16</v>
      </c>
      <c r="D30" s="3" t="s">
        <v>17</v>
      </c>
      <c r="E30" s="3" t="s">
        <v>1503</v>
      </c>
      <c r="F30">
        <v>5</v>
      </c>
      <c r="G30">
        <v>135.33000000000001</v>
      </c>
      <c r="H30" s="3" t="s">
        <v>1679</v>
      </c>
      <c r="I30" s="3" t="s">
        <v>9</v>
      </c>
      <c r="J30" s="3" t="s">
        <v>9</v>
      </c>
      <c r="K30" s="3" t="s">
        <v>10</v>
      </c>
      <c r="L30" s="3" t="s">
        <v>4</v>
      </c>
      <c r="M30">
        <v>0</v>
      </c>
      <c r="N30">
        <v>135.37</v>
      </c>
      <c r="O30" s="3" t="s">
        <v>13</v>
      </c>
    </row>
    <row r="31" spans="1:15" x14ac:dyDescent="0.35">
      <c r="A31" s="99">
        <v>44152</v>
      </c>
      <c r="B31" s="100">
        <v>0.36645833333333333</v>
      </c>
      <c r="C31" s="3" t="s">
        <v>1666</v>
      </c>
      <c r="D31" s="3" t="s">
        <v>1667</v>
      </c>
      <c r="E31" s="3" t="s">
        <v>1507</v>
      </c>
      <c r="F31">
        <v>1000000</v>
      </c>
      <c r="G31">
        <v>99.2</v>
      </c>
      <c r="H31" s="3" t="s">
        <v>1504</v>
      </c>
      <c r="I31" s="3" t="s">
        <v>9</v>
      </c>
      <c r="J31" s="3" t="s">
        <v>9</v>
      </c>
      <c r="K31" s="3" t="s">
        <v>10</v>
      </c>
      <c r="L31" s="3" t="s">
        <v>4</v>
      </c>
      <c r="M31">
        <v>0</v>
      </c>
      <c r="N31">
        <v>99.36</v>
      </c>
      <c r="O31" s="3" t="s">
        <v>30</v>
      </c>
    </row>
    <row r="32" spans="1:15" x14ac:dyDescent="0.35">
      <c r="A32" s="99">
        <v>44152</v>
      </c>
      <c r="B32" s="100">
        <v>0.37292824074074077</v>
      </c>
      <c r="C32" s="3" t="s">
        <v>1668</v>
      </c>
      <c r="D32" s="3" t="s">
        <v>1669</v>
      </c>
      <c r="E32" s="3" t="s">
        <v>1507</v>
      </c>
      <c r="F32">
        <v>500000</v>
      </c>
      <c r="G32">
        <v>99.5</v>
      </c>
      <c r="H32" s="3" t="s">
        <v>1504</v>
      </c>
      <c r="I32" s="3" t="s">
        <v>9</v>
      </c>
      <c r="J32" s="3" t="s">
        <v>9</v>
      </c>
      <c r="K32" s="3" t="s">
        <v>10</v>
      </c>
      <c r="L32" s="3" t="s">
        <v>4</v>
      </c>
      <c r="M32">
        <v>0</v>
      </c>
      <c r="N32">
        <v>99.724999999999994</v>
      </c>
      <c r="O32" s="3" t="s">
        <v>30</v>
      </c>
    </row>
    <row r="33" spans="1:15" x14ac:dyDescent="0.35">
      <c r="A33" s="99">
        <v>44152</v>
      </c>
      <c r="B33" s="100">
        <v>0.37346064814814817</v>
      </c>
      <c r="C33" s="3" t="s">
        <v>25</v>
      </c>
      <c r="D33" s="3" t="s">
        <v>26</v>
      </c>
      <c r="E33" s="3" t="s">
        <v>1503</v>
      </c>
      <c r="F33">
        <v>1</v>
      </c>
      <c r="G33">
        <v>225.16</v>
      </c>
      <c r="H33" s="3" t="s">
        <v>1679</v>
      </c>
      <c r="I33" s="3" t="s">
        <v>9</v>
      </c>
      <c r="J33" s="3" t="s">
        <v>9</v>
      </c>
      <c r="K33" s="3" t="s">
        <v>10</v>
      </c>
      <c r="L33" s="3" t="s">
        <v>4</v>
      </c>
      <c r="M33">
        <v>0</v>
      </c>
      <c r="N33">
        <v>226</v>
      </c>
      <c r="O33" s="3" t="s">
        <v>13</v>
      </c>
    </row>
    <row r="34" spans="1:15" x14ac:dyDescent="0.35">
      <c r="A34" s="99">
        <v>44152</v>
      </c>
      <c r="B34" s="100">
        <v>0.39731481481481479</v>
      </c>
      <c r="C34" s="3" t="s">
        <v>25</v>
      </c>
      <c r="D34" s="3" t="s">
        <v>26</v>
      </c>
      <c r="E34" s="3" t="s">
        <v>1503</v>
      </c>
      <c r="F34">
        <v>1</v>
      </c>
      <c r="G34">
        <v>225.3</v>
      </c>
      <c r="H34" s="3" t="s">
        <v>1679</v>
      </c>
      <c r="I34" s="3" t="s">
        <v>9</v>
      </c>
      <c r="J34" s="3" t="s">
        <v>9</v>
      </c>
      <c r="K34" s="3" t="s">
        <v>10</v>
      </c>
      <c r="L34" s="3" t="s">
        <v>4</v>
      </c>
      <c r="M34">
        <v>0</v>
      </c>
      <c r="N34">
        <v>226</v>
      </c>
      <c r="O34" s="3" t="s">
        <v>13</v>
      </c>
    </row>
    <row r="35" spans="1:15" x14ac:dyDescent="0.35">
      <c r="A35" s="99">
        <v>44152</v>
      </c>
      <c r="B35" s="100">
        <v>0.39899305555555553</v>
      </c>
      <c r="C35" s="3" t="s">
        <v>11</v>
      </c>
      <c r="D35" s="3" t="s">
        <v>12</v>
      </c>
      <c r="E35" s="3" t="s">
        <v>1503</v>
      </c>
      <c r="F35">
        <v>3</v>
      </c>
      <c r="G35">
        <v>175.02</v>
      </c>
      <c r="H35" s="3" t="s">
        <v>1679</v>
      </c>
      <c r="I35" s="3" t="s">
        <v>9</v>
      </c>
      <c r="J35" s="3" t="s">
        <v>9</v>
      </c>
      <c r="K35" s="3" t="s">
        <v>10</v>
      </c>
      <c r="L35" s="3" t="s">
        <v>4</v>
      </c>
      <c r="M35">
        <v>0</v>
      </c>
      <c r="N35">
        <v>175.2</v>
      </c>
      <c r="O35" s="3" t="s">
        <v>13</v>
      </c>
    </row>
    <row r="36" spans="1:15" x14ac:dyDescent="0.35">
      <c r="A36" s="99">
        <v>44152</v>
      </c>
      <c r="B36" s="100">
        <v>0.4387152777777778</v>
      </c>
      <c r="C36" s="3" t="s">
        <v>1666</v>
      </c>
      <c r="D36" s="3" t="s">
        <v>1667</v>
      </c>
      <c r="E36" s="3" t="s">
        <v>1507</v>
      </c>
      <c r="F36">
        <v>500000</v>
      </c>
      <c r="G36">
        <v>99.382999999999996</v>
      </c>
      <c r="H36" s="3" t="s">
        <v>1652</v>
      </c>
      <c r="I36" s="3" t="s">
        <v>9</v>
      </c>
      <c r="J36" s="3" t="s">
        <v>9</v>
      </c>
      <c r="K36" s="3" t="s">
        <v>10</v>
      </c>
      <c r="L36" s="3" t="s">
        <v>4</v>
      </c>
      <c r="M36">
        <v>0</v>
      </c>
      <c r="N36">
        <v>99.36</v>
      </c>
      <c r="O36" s="3" t="s">
        <v>30</v>
      </c>
    </row>
    <row r="37" spans="1:15" x14ac:dyDescent="0.35">
      <c r="A37" s="99">
        <v>44152</v>
      </c>
      <c r="B37" s="100">
        <v>0.43890046296296298</v>
      </c>
      <c r="C37" s="3" t="s">
        <v>11</v>
      </c>
      <c r="D37" s="3" t="s">
        <v>12</v>
      </c>
      <c r="E37" s="3" t="s">
        <v>1503</v>
      </c>
      <c r="F37">
        <v>2</v>
      </c>
      <c r="G37">
        <v>175.06</v>
      </c>
      <c r="H37" s="3" t="s">
        <v>1679</v>
      </c>
      <c r="I37" s="3" t="s">
        <v>9</v>
      </c>
      <c r="J37" s="3" t="s">
        <v>9</v>
      </c>
      <c r="K37" s="3" t="s">
        <v>10</v>
      </c>
      <c r="L37" s="3" t="s">
        <v>4</v>
      </c>
      <c r="M37">
        <v>0</v>
      </c>
      <c r="N37">
        <v>175.2</v>
      </c>
      <c r="O37" s="3" t="s">
        <v>13</v>
      </c>
    </row>
    <row r="38" spans="1:15" x14ac:dyDescent="0.35">
      <c r="A38" s="99">
        <v>44152</v>
      </c>
      <c r="B38" s="100">
        <v>0.46880787037037036</v>
      </c>
      <c r="C38" s="3" t="s">
        <v>25</v>
      </c>
      <c r="D38" s="3" t="s">
        <v>26</v>
      </c>
      <c r="E38" s="3" t="s">
        <v>1503</v>
      </c>
      <c r="F38">
        <v>2</v>
      </c>
      <c r="G38">
        <v>225.36</v>
      </c>
      <c r="H38" s="3" t="s">
        <v>1679</v>
      </c>
      <c r="I38" s="3" t="s">
        <v>9</v>
      </c>
      <c r="J38" s="3" t="s">
        <v>9</v>
      </c>
      <c r="K38" s="3" t="s">
        <v>10</v>
      </c>
      <c r="L38" s="3" t="s">
        <v>4</v>
      </c>
      <c r="M38">
        <v>0</v>
      </c>
      <c r="N38">
        <v>226</v>
      </c>
      <c r="O38" s="3" t="s">
        <v>13</v>
      </c>
    </row>
    <row r="39" spans="1:15" x14ac:dyDescent="0.35">
      <c r="A39" s="99">
        <v>44152</v>
      </c>
      <c r="B39" s="100">
        <v>0.46946759259259258</v>
      </c>
      <c r="C39" s="3" t="s">
        <v>1668</v>
      </c>
      <c r="D39" s="3" t="s">
        <v>1669</v>
      </c>
      <c r="E39" s="3" t="s">
        <v>1507</v>
      </c>
      <c r="F39">
        <v>500000</v>
      </c>
      <c r="G39">
        <v>99.61</v>
      </c>
      <c r="H39" s="3" t="s">
        <v>1504</v>
      </c>
      <c r="I39" s="3" t="s">
        <v>9</v>
      </c>
      <c r="J39" s="3" t="s">
        <v>9</v>
      </c>
      <c r="K39" s="3" t="s">
        <v>10</v>
      </c>
      <c r="L39" s="3" t="s">
        <v>4</v>
      </c>
      <c r="M39">
        <v>0</v>
      </c>
      <c r="N39">
        <v>99.724999999999994</v>
      </c>
      <c r="O39" s="3" t="s">
        <v>30</v>
      </c>
    </row>
    <row r="40" spans="1:15" x14ac:dyDescent="0.35">
      <c r="A40" s="99">
        <v>44152</v>
      </c>
      <c r="B40" s="100">
        <v>0.48167824074074073</v>
      </c>
      <c r="C40" s="3" t="s">
        <v>25</v>
      </c>
      <c r="D40" s="3" t="s">
        <v>26</v>
      </c>
      <c r="E40" s="3" t="s">
        <v>1507</v>
      </c>
      <c r="F40">
        <v>1</v>
      </c>
      <c r="G40">
        <v>225.14</v>
      </c>
      <c r="H40" s="3" t="s">
        <v>1679</v>
      </c>
      <c r="I40" s="3" t="s">
        <v>9</v>
      </c>
      <c r="J40" s="3" t="s">
        <v>9</v>
      </c>
      <c r="K40" s="3" t="s">
        <v>10</v>
      </c>
      <c r="L40" s="3" t="s">
        <v>4</v>
      </c>
      <c r="M40">
        <v>0</v>
      </c>
      <c r="N40">
        <v>226</v>
      </c>
      <c r="O40" s="3" t="s">
        <v>13</v>
      </c>
    </row>
    <row r="41" spans="1:15" x14ac:dyDescent="0.35">
      <c r="A41" s="99">
        <v>44152</v>
      </c>
      <c r="B41" s="100">
        <v>0.49973379629629627</v>
      </c>
      <c r="C41" s="3" t="s">
        <v>114</v>
      </c>
      <c r="D41" s="3" t="s">
        <v>115</v>
      </c>
      <c r="E41" s="3" t="s">
        <v>1507</v>
      </c>
      <c r="F41">
        <v>2700000</v>
      </c>
      <c r="G41">
        <v>104.175</v>
      </c>
      <c r="H41" s="3" t="s">
        <v>1511</v>
      </c>
      <c r="I41" s="3" t="s">
        <v>9</v>
      </c>
      <c r="J41" s="3" t="s">
        <v>9</v>
      </c>
      <c r="K41" s="3" t="s">
        <v>10</v>
      </c>
      <c r="L41" s="3" t="s">
        <v>4</v>
      </c>
      <c r="M41">
        <v>0</v>
      </c>
      <c r="N41">
        <v>104.175</v>
      </c>
      <c r="O41" s="3" t="s">
        <v>30</v>
      </c>
    </row>
    <row r="42" spans="1:15" x14ac:dyDescent="0.35">
      <c r="A42" s="99">
        <v>44152</v>
      </c>
      <c r="B42" s="100">
        <v>0.5</v>
      </c>
      <c r="C42" s="3" t="s">
        <v>16</v>
      </c>
      <c r="D42" s="3" t="s">
        <v>17</v>
      </c>
      <c r="E42" s="3" t="s">
        <v>1503</v>
      </c>
      <c r="F42">
        <v>11</v>
      </c>
      <c r="G42">
        <v>135.34</v>
      </c>
      <c r="H42" s="3" t="s">
        <v>1679</v>
      </c>
      <c r="I42" s="3" t="s">
        <v>9</v>
      </c>
      <c r="J42" s="3" t="s">
        <v>9</v>
      </c>
      <c r="K42" s="3" t="s">
        <v>10</v>
      </c>
      <c r="L42" s="3" t="s">
        <v>4</v>
      </c>
      <c r="M42">
        <v>0</v>
      </c>
      <c r="N42">
        <v>135.37</v>
      </c>
      <c r="O42" s="3" t="s">
        <v>13</v>
      </c>
    </row>
    <row r="43" spans="1:15" x14ac:dyDescent="0.35">
      <c r="A43" s="99">
        <v>44152</v>
      </c>
      <c r="B43" s="100">
        <v>0.51993055555555556</v>
      </c>
      <c r="C43" s="3" t="s">
        <v>1480</v>
      </c>
      <c r="D43" s="3" t="s">
        <v>1481</v>
      </c>
      <c r="E43" s="3" t="s">
        <v>1507</v>
      </c>
      <c r="F43">
        <v>4600000</v>
      </c>
      <c r="G43">
        <v>106.236</v>
      </c>
      <c r="H43" s="3" t="s">
        <v>1511</v>
      </c>
      <c r="I43" s="3" t="s">
        <v>9</v>
      </c>
      <c r="J43" s="3" t="s">
        <v>9</v>
      </c>
      <c r="K43" s="3" t="s">
        <v>10</v>
      </c>
      <c r="L43" s="3" t="s">
        <v>4</v>
      </c>
      <c r="M43">
        <v>0</v>
      </c>
      <c r="N43">
        <v>106.285</v>
      </c>
      <c r="O43" s="3" t="s">
        <v>894</v>
      </c>
    </row>
    <row r="44" spans="1:15" x14ac:dyDescent="0.35">
      <c r="A44" s="99">
        <v>44152</v>
      </c>
      <c r="B44" s="100">
        <v>0.52254629629629634</v>
      </c>
      <c r="C44" s="3" t="s">
        <v>1739</v>
      </c>
      <c r="D44" s="3" t="s">
        <v>1740</v>
      </c>
      <c r="E44" s="3" t="s">
        <v>1503</v>
      </c>
      <c r="F44">
        <v>5000000</v>
      </c>
      <c r="G44">
        <v>100.687</v>
      </c>
      <c r="H44" s="3" t="s">
        <v>1511</v>
      </c>
      <c r="I44" s="3" t="s">
        <v>9</v>
      </c>
      <c r="J44" s="3" t="s">
        <v>9</v>
      </c>
      <c r="K44" s="3" t="s">
        <v>10</v>
      </c>
      <c r="L44" s="3" t="s">
        <v>4</v>
      </c>
      <c r="M44">
        <v>0</v>
      </c>
      <c r="N44">
        <v>100.857</v>
      </c>
      <c r="O44" s="3" t="s">
        <v>30</v>
      </c>
    </row>
    <row r="45" spans="1:15" x14ac:dyDescent="0.35">
      <c r="A45" s="99">
        <v>44152</v>
      </c>
      <c r="B45" s="100">
        <v>0.53307870370370369</v>
      </c>
      <c r="C45" s="3" t="s">
        <v>1480</v>
      </c>
      <c r="D45" s="3" t="s">
        <v>1481</v>
      </c>
      <c r="E45" s="3" t="s">
        <v>1503</v>
      </c>
      <c r="F45">
        <v>1600000</v>
      </c>
      <c r="G45">
        <v>106.265</v>
      </c>
      <c r="H45" s="3" t="s">
        <v>1741</v>
      </c>
      <c r="I45" s="3" t="s">
        <v>9</v>
      </c>
      <c r="J45" s="3" t="s">
        <v>9</v>
      </c>
      <c r="K45" s="3" t="s">
        <v>10</v>
      </c>
      <c r="L45" s="3" t="s">
        <v>4</v>
      </c>
      <c r="M45">
        <v>0</v>
      </c>
      <c r="N45">
        <v>106.285</v>
      </c>
      <c r="O45" s="3" t="s">
        <v>894</v>
      </c>
    </row>
    <row r="46" spans="1:15" x14ac:dyDescent="0.35">
      <c r="A46" s="99">
        <v>44152</v>
      </c>
      <c r="B46" s="100">
        <v>0.53836805555555556</v>
      </c>
      <c r="C46" s="3" t="s">
        <v>1275</v>
      </c>
      <c r="D46" s="3" t="s">
        <v>1276</v>
      </c>
      <c r="E46" s="3" t="s">
        <v>1507</v>
      </c>
      <c r="F46">
        <v>2000000</v>
      </c>
      <c r="G46">
        <v>109.845</v>
      </c>
      <c r="H46" s="3" t="s">
        <v>1511</v>
      </c>
      <c r="I46" s="3" t="s">
        <v>9</v>
      </c>
      <c r="J46" s="3" t="s">
        <v>9</v>
      </c>
      <c r="K46" s="3" t="s">
        <v>10</v>
      </c>
      <c r="L46" s="3" t="s">
        <v>4</v>
      </c>
      <c r="M46">
        <v>0</v>
      </c>
      <c r="N46">
        <v>109.845</v>
      </c>
      <c r="O46" s="3" t="s">
        <v>30</v>
      </c>
    </row>
    <row r="47" spans="1:15" x14ac:dyDescent="0.35">
      <c r="A47" s="99">
        <v>44152</v>
      </c>
      <c r="B47" s="100">
        <v>0.53961805555555553</v>
      </c>
      <c r="C47" s="3" t="s">
        <v>16</v>
      </c>
      <c r="D47" s="3" t="s">
        <v>17</v>
      </c>
      <c r="E47" s="3" t="s">
        <v>1503</v>
      </c>
      <c r="F47">
        <v>22</v>
      </c>
      <c r="G47">
        <v>135.36000000000001</v>
      </c>
      <c r="H47" s="3" t="s">
        <v>1679</v>
      </c>
      <c r="I47" s="3" t="s">
        <v>9</v>
      </c>
      <c r="J47" s="3" t="s">
        <v>9</v>
      </c>
      <c r="K47" s="3" t="s">
        <v>10</v>
      </c>
      <c r="L47" s="3" t="s">
        <v>4</v>
      </c>
      <c r="M47">
        <v>0</v>
      </c>
      <c r="N47">
        <v>135.37</v>
      </c>
      <c r="O47" s="3" t="s">
        <v>13</v>
      </c>
    </row>
    <row r="48" spans="1:15" x14ac:dyDescent="0.35">
      <c r="A48" s="99">
        <v>44152</v>
      </c>
      <c r="B48" s="100">
        <v>0.55612268518518515</v>
      </c>
      <c r="C48" s="3" t="s">
        <v>11</v>
      </c>
      <c r="D48" s="3" t="s">
        <v>12</v>
      </c>
      <c r="E48" s="3" t="s">
        <v>1503</v>
      </c>
      <c r="F48">
        <v>5</v>
      </c>
      <c r="G48">
        <v>175.12</v>
      </c>
      <c r="H48" s="3" t="s">
        <v>1679</v>
      </c>
      <c r="I48" s="3" t="s">
        <v>9</v>
      </c>
      <c r="J48" s="3" t="s">
        <v>9</v>
      </c>
      <c r="K48" s="3" t="s">
        <v>10</v>
      </c>
      <c r="L48" s="3" t="s">
        <v>4</v>
      </c>
      <c r="M48">
        <v>0</v>
      </c>
      <c r="N48">
        <v>175.2</v>
      </c>
      <c r="O48" s="3" t="s">
        <v>13</v>
      </c>
    </row>
    <row r="49" spans="1:15" x14ac:dyDescent="0.35">
      <c r="A49" s="99">
        <v>44152</v>
      </c>
      <c r="B49" s="100">
        <v>0.55700231481481477</v>
      </c>
      <c r="C49" s="3" t="s">
        <v>16</v>
      </c>
      <c r="D49" s="3" t="s">
        <v>17</v>
      </c>
      <c r="E49" s="3" t="s">
        <v>1507</v>
      </c>
      <c r="F49">
        <v>45</v>
      </c>
      <c r="G49">
        <v>135.36000000000001</v>
      </c>
      <c r="H49" s="3" t="s">
        <v>1679</v>
      </c>
      <c r="I49" s="3" t="s">
        <v>9</v>
      </c>
      <c r="J49" s="3" t="s">
        <v>9</v>
      </c>
      <c r="K49" s="3" t="s">
        <v>10</v>
      </c>
      <c r="L49" s="3" t="s">
        <v>4</v>
      </c>
      <c r="M49">
        <v>0</v>
      </c>
      <c r="N49">
        <v>135.37</v>
      </c>
      <c r="O49" s="3" t="s">
        <v>13</v>
      </c>
    </row>
    <row r="50" spans="1:15" x14ac:dyDescent="0.35">
      <c r="A50" s="99">
        <v>44152</v>
      </c>
      <c r="B50" s="100">
        <v>0.55785879629629631</v>
      </c>
      <c r="C50" s="3" t="s">
        <v>1480</v>
      </c>
      <c r="D50" s="3" t="s">
        <v>1481</v>
      </c>
      <c r="E50" s="3" t="s">
        <v>1503</v>
      </c>
      <c r="F50">
        <v>3000000</v>
      </c>
      <c r="G50">
        <v>106.285</v>
      </c>
      <c r="H50" s="3" t="s">
        <v>1741</v>
      </c>
      <c r="I50" s="3" t="s">
        <v>9</v>
      </c>
      <c r="J50" s="3" t="s">
        <v>9</v>
      </c>
      <c r="K50" s="3" t="s">
        <v>10</v>
      </c>
      <c r="L50" s="3" t="s">
        <v>4</v>
      </c>
      <c r="M50">
        <v>0</v>
      </c>
      <c r="N50">
        <v>106.285</v>
      </c>
      <c r="O50" s="3" t="s">
        <v>894</v>
      </c>
    </row>
    <row r="51" spans="1:15" x14ac:dyDescent="0.35">
      <c r="A51" s="99">
        <v>44152</v>
      </c>
      <c r="B51" s="100">
        <v>0.56342592592592589</v>
      </c>
      <c r="C51" s="3" t="s">
        <v>25</v>
      </c>
      <c r="D51" s="3" t="s">
        <v>26</v>
      </c>
      <c r="E51" s="3" t="s">
        <v>1503</v>
      </c>
      <c r="F51">
        <v>1</v>
      </c>
      <c r="G51">
        <v>225.84</v>
      </c>
      <c r="H51" s="3" t="s">
        <v>1679</v>
      </c>
      <c r="I51" s="3" t="s">
        <v>9</v>
      </c>
      <c r="J51" s="3" t="s">
        <v>9</v>
      </c>
      <c r="K51" s="3" t="s">
        <v>10</v>
      </c>
      <c r="L51" s="3" t="s">
        <v>4</v>
      </c>
      <c r="M51">
        <v>0</v>
      </c>
      <c r="N51">
        <v>226</v>
      </c>
      <c r="O51" s="3" t="s">
        <v>13</v>
      </c>
    </row>
    <row r="52" spans="1:15" x14ac:dyDescent="0.35">
      <c r="A52" s="99">
        <v>44152</v>
      </c>
      <c r="B52" s="100">
        <v>0.5905555555555555</v>
      </c>
      <c r="C52" s="3" t="s">
        <v>16</v>
      </c>
      <c r="D52" s="3" t="s">
        <v>17</v>
      </c>
      <c r="E52" s="3" t="s">
        <v>1507</v>
      </c>
      <c r="F52">
        <v>3</v>
      </c>
      <c r="G52">
        <v>135.34</v>
      </c>
      <c r="H52" s="3" t="s">
        <v>1679</v>
      </c>
      <c r="I52" s="3" t="s">
        <v>9</v>
      </c>
      <c r="J52" s="3" t="s">
        <v>9</v>
      </c>
      <c r="K52" s="3" t="s">
        <v>10</v>
      </c>
      <c r="L52" s="3" t="s">
        <v>4</v>
      </c>
      <c r="M52">
        <v>0</v>
      </c>
      <c r="N52">
        <v>135.37</v>
      </c>
      <c r="O52" s="3" t="s">
        <v>13</v>
      </c>
    </row>
    <row r="53" spans="1:15" x14ac:dyDescent="0.35">
      <c r="A53" s="99">
        <v>44152</v>
      </c>
      <c r="B53" s="100">
        <v>0.60979166666666662</v>
      </c>
      <c r="C53" s="3" t="s">
        <v>1662</v>
      </c>
      <c r="D53" s="3" t="s">
        <v>1701</v>
      </c>
      <c r="E53" s="3" t="s">
        <v>1507</v>
      </c>
      <c r="F53">
        <v>1000000</v>
      </c>
      <c r="G53">
        <v>100</v>
      </c>
      <c r="H53" s="3" t="s">
        <v>1511</v>
      </c>
      <c r="I53" s="3" t="s">
        <v>9</v>
      </c>
      <c r="J53" s="3" t="s">
        <v>9</v>
      </c>
      <c r="K53" s="3" t="s">
        <v>10</v>
      </c>
      <c r="L53" s="3" t="s">
        <v>4</v>
      </c>
      <c r="M53">
        <v>0</v>
      </c>
      <c r="N53">
        <v>100</v>
      </c>
      <c r="O53" s="3" t="s">
        <v>30</v>
      </c>
    </row>
    <row r="54" spans="1:15" x14ac:dyDescent="0.35">
      <c r="A54" s="99">
        <v>44152</v>
      </c>
      <c r="B54" s="100">
        <v>0.63576388888888891</v>
      </c>
      <c r="C54" s="3" t="s">
        <v>1338</v>
      </c>
      <c r="D54" s="3" t="s">
        <v>1339</v>
      </c>
      <c r="E54" s="3" t="s">
        <v>1507</v>
      </c>
      <c r="F54">
        <v>2000000</v>
      </c>
      <c r="G54">
        <v>100.94499999999999</v>
      </c>
      <c r="H54" s="3" t="s">
        <v>1511</v>
      </c>
      <c r="I54" s="3" t="s">
        <v>9</v>
      </c>
      <c r="J54" s="3" t="s">
        <v>9</v>
      </c>
      <c r="K54" s="3" t="s">
        <v>10</v>
      </c>
      <c r="L54" s="3" t="s">
        <v>4</v>
      </c>
      <c r="M54">
        <v>0</v>
      </c>
      <c r="N54">
        <v>100.94499999999999</v>
      </c>
      <c r="O54" s="3" t="s">
        <v>30</v>
      </c>
    </row>
    <row r="55" spans="1:15" x14ac:dyDescent="0.35">
      <c r="A55" s="99">
        <v>44152</v>
      </c>
      <c r="B55" s="100">
        <v>0.63601851851851854</v>
      </c>
      <c r="C55" s="3" t="s">
        <v>11</v>
      </c>
      <c r="D55" s="3" t="s">
        <v>12</v>
      </c>
      <c r="E55" s="3" t="s">
        <v>1503</v>
      </c>
      <c r="F55">
        <v>10</v>
      </c>
      <c r="G55">
        <v>175.24</v>
      </c>
      <c r="H55" s="3" t="s">
        <v>1679</v>
      </c>
      <c r="I55" s="3" t="s">
        <v>9</v>
      </c>
      <c r="J55" s="3" t="s">
        <v>9</v>
      </c>
      <c r="K55" s="3" t="s">
        <v>10</v>
      </c>
      <c r="L55" s="3" t="s">
        <v>4</v>
      </c>
      <c r="M55">
        <v>0</v>
      </c>
      <c r="N55">
        <v>175.2</v>
      </c>
      <c r="O55" s="3" t="s">
        <v>13</v>
      </c>
    </row>
    <row r="56" spans="1:15" x14ac:dyDescent="0.35">
      <c r="A56" s="99">
        <v>44152</v>
      </c>
      <c r="B56" s="100">
        <v>0.6362268518518519</v>
      </c>
      <c r="C56" s="3" t="s">
        <v>11</v>
      </c>
      <c r="D56" s="3" t="s">
        <v>12</v>
      </c>
      <c r="E56" s="3" t="s">
        <v>1503</v>
      </c>
      <c r="F56">
        <v>5</v>
      </c>
      <c r="G56">
        <v>175.24</v>
      </c>
      <c r="H56" s="3" t="s">
        <v>1679</v>
      </c>
      <c r="I56" s="3" t="s">
        <v>9</v>
      </c>
      <c r="J56" s="3" t="s">
        <v>9</v>
      </c>
      <c r="K56" s="3" t="s">
        <v>10</v>
      </c>
      <c r="L56" s="3" t="s">
        <v>4</v>
      </c>
      <c r="M56">
        <v>0</v>
      </c>
      <c r="N56">
        <v>175.2</v>
      </c>
      <c r="O56" s="3" t="s">
        <v>13</v>
      </c>
    </row>
    <row r="57" spans="1:15" x14ac:dyDescent="0.35">
      <c r="A57" s="99">
        <v>44152</v>
      </c>
      <c r="B57" s="100">
        <v>0.64402777777777775</v>
      </c>
      <c r="C57" s="3" t="s">
        <v>11</v>
      </c>
      <c r="D57" s="3" t="s">
        <v>12</v>
      </c>
      <c r="E57" s="3" t="s">
        <v>1507</v>
      </c>
      <c r="F57">
        <v>3</v>
      </c>
      <c r="G57">
        <v>175.14</v>
      </c>
      <c r="H57" s="3" t="s">
        <v>1679</v>
      </c>
      <c r="I57" s="3" t="s">
        <v>9</v>
      </c>
      <c r="J57" s="3" t="s">
        <v>9</v>
      </c>
      <c r="K57" s="3" t="s">
        <v>10</v>
      </c>
      <c r="L57" s="3" t="s">
        <v>4</v>
      </c>
      <c r="M57">
        <v>0</v>
      </c>
      <c r="N57">
        <v>175.2</v>
      </c>
      <c r="O57" s="3" t="s">
        <v>13</v>
      </c>
    </row>
    <row r="58" spans="1:15" x14ac:dyDescent="0.35">
      <c r="A58" s="99">
        <v>44152</v>
      </c>
      <c r="B58" s="100">
        <v>0.65248842592592593</v>
      </c>
      <c r="C58" s="3" t="s">
        <v>25</v>
      </c>
      <c r="D58" s="3" t="s">
        <v>26</v>
      </c>
      <c r="E58" s="3" t="s">
        <v>1507</v>
      </c>
      <c r="F58">
        <v>1</v>
      </c>
      <c r="G58">
        <v>225.88</v>
      </c>
      <c r="H58" s="3" t="s">
        <v>1679</v>
      </c>
      <c r="I58" s="3" t="s">
        <v>9</v>
      </c>
      <c r="J58" s="3" t="s">
        <v>9</v>
      </c>
      <c r="K58" s="3" t="s">
        <v>10</v>
      </c>
      <c r="L58" s="3" t="s">
        <v>4</v>
      </c>
      <c r="M58">
        <v>0</v>
      </c>
      <c r="N58">
        <v>226</v>
      </c>
      <c r="O58" s="3" t="s">
        <v>13</v>
      </c>
    </row>
    <row r="59" spans="1:15" x14ac:dyDescent="0.35">
      <c r="A59" s="99">
        <v>44152</v>
      </c>
      <c r="B59" s="100">
        <v>0.66130787037037042</v>
      </c>
      <c r="C59" s="3" t="s">
        <v>11</v>
      </c>
      <c r="D59" s="3" t="s">
        <v>12</v>
      </c>
      <c r="E59" s="3" t="s">
        <v>1507</v>
      </c>
      <c r="F59">
        <v>3</v>
      </c>
      <c r="G59">
        <v>175.07</v>
      </c>
      <c r="H59" s="3" t="s">
        <v>1679</v>
      </c>
      <c r="I59" s="3" t="s">
        <v>9</v>
      </c>
      <c r="J59" s="3" t="s">
        <v>9</v>
      </c>
      <c r="K59" s="3" t="s">
        <v>10</v>
      </c>
      <c r="L59" s="3" t="s">
        <v>4</v>
      </c>
      <c r="M59">
        <v>0</v>
      </c>
      <c r="N59">
        <v>175.2</v>
      </c>
      <c r="O59" s="3" t="s">
        <v>13</v>
      </c>
    </row>
    <row r="60" spans="1:15" x14ac:dyDescent="0.35">
      <c r="A60" s="99">
        <v>44152</v>
      </c>
      <c r="B60" s="100">
        <v>0.66206018518518517</v>
      </c>
      <c r="C60" s="3" t="s">
        <v>665</v>
      </c>
      <c r="D60" s="3" t="s">
        <v>666</v>
      </c>
      <c r="E60" s="3" t="s">
        <v>1503</v>
      </c>
      <c r="F60">
        <v>800000</v>
      </c>
      <c r="G60">
        <v>105.66500000000001</v>
      </c>
      <c r="H60" s="3" t="s">
        <v>1511</v>
      </c>
      <c r="I60" s="3" t="s">
        <v>9</v>
      </c>
      <c r="J60" s="3" t="s">
        <v>9</v>
      </c>
      <c r="K60" s="3" t="s">
        <v>10</v>
      </c>
      <c r="L60" s="3" t="s">
        <v>4</v>
      </c>
      <c r="M60">
        <v>0</v>
      </c>
      <c r="N60">
        <v>105.771</v>
      </c>
      <c r="O60" s="3" t="s">
        <v>30</v>
      </c>
    </row>
    <row r="61" spans="1:15" x14ac:dyDescent="0.35">
      <c r="A61" s="99">
        <v>44152</v>
      </c>
      <c r="B61" s="100">
        <v>0.68085648148148148</v>
      </c>
      <c r="C61" s="3" t="s">
        <v>25</v>
      </c>
      <c r="D61" s="3" t="s">
        <v>26</v>
      </c>
      <c r="E61" s="3" t="s">
        <v>1503</v>
      </c>
      <c r="F61">
        <v>1</v>
      </c>
      <c r="G61">
        <v>226.04</v>
      </c>
      <c r="H61" s="3" t="s">
        <v>1679</v>
      </c>
      <c r="I61" s="3" t="s">
        <v>9</v>
      </c>
      <c r="J61" s="3" t="s">
        <v>9</v>
      </c>
      <c r="K61" s="3" t="s">
        <v>10</v>
      </c>
      <c r="L61" s="3" t="s">
        <v>4</v>
      </c>
      <c r="M61">
        <v>0</v>
      </c>
      <c r="N61">
        <v>226</v>
      </c>
      <c r="O61" s="3" t="s">
        <v>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633D6-A6F9-4F97-BF9E-172B0FED223D}">
  <sheetPr codeName="Sheet10">
    <tabColor theme="9" tint="-0.249977111117893"/>
  </sheetPr>
  <dimension ref="A1:AI376"/>
  <sheetViews>
    <sheetView topLeftCell="H262" workbookViewId="0">
      <selection activeCell="Q294" sqref="Q294"/>
    </sheetView>
  </sheetViews>
  <sheetFormatPr defaultRowHeight="14.5" x14ac:dyDescent="0.35"/>
  <cols>
    <col min="1" max="1" width="13.453125" bestFit="1" customWidth="1"/>
    <col min="2" max="2" width="12.36328125" bestFit="1" customWidth="1"/>
    <col min="3" max="3" width="10" bestFit="1" customWidth="1"/>
    <col min="4" max="4" width="11.36328125" bestFit="1" customWidth="1"/>
    <col min="5" max="5" width="12" bestFit="1" customWidth="1"/>
    <col min="6" max="6" width="16" bestFit="1" customWidth="1"/>
    <col min="7" max="7" width="48.26953125" bestFit="1" customWidth="1"/>
    <col min="8" max="8" width="10.36328125" bestFit="1" customWidth="1"/>
    <col min="9" max="9" width="21.81640625" bestFit="1" customWidth="1"/>
    <col min="10" max="10" width="22.90625" bestFit="1" customWidth="1"/>
    <col min="11" max="11" width="9.81640625" bestFit="1" customWidth="1"/>
    <col min="12" max="12" width="21.26953125" bestFit="1" customWidth="1"/>
    <col min="13" max="13" width="21.1796875" bestFit="1" customWidth="1"/>
    <col min="14" max="14" width="14.36328125" bestFit="1" customWidth="1"/>
    <col min="15" max="15" width="7.7265625" bestFit="1" customWidth="1"/>
    <col min="16" max="16" width="14.26953125" bestFit="1" customWidth="1"/>
    <col min="17" max="17" width="10.26953125" bestFit="1" customWidth="1"/>
    <col min="18" max="18" width="16.26953125" bestFit="1" customWidth="1"/>
    <col min="19" max="19" width="16" bestFit="1" customWidth="1"/>
    <col min="20" max="20" width="20.1796875" bestFit="1" customWidth="1"/>
    <col min="21" max="21" width="11.26953125" bestFit="1" customWidth="1"/>
    <col min="22" max="22" width="20.36328125" bestFit="1" customWidth="1"/>
    <col min="23" max="23" width="25.54296875" bestFit="1" customWidth="1"/>
    <col min="24" max="24" width="14.453125" bestFit="1" customWidth="1"/>
    <col min="25" max="25" width="19.26953125" bestFit="1" customWidth="1"/>
    <col min="26" max="26" width="17.08984375" bestFit="1" customWidth="1"/>
    <col min="27" max="27" width="19.54296875" bestFit="1" customWidth="1"/>
    <col min="28" max="28" width="18.1796875" bestFit="1" customWidth="1"/>
    <col min="29" max="29" width="10.08984375" bestFit="1" customWidth="1"/>
    <col min="30" max="30" width="4.6328125" customWidth="1"/>
    <col min="31" max="31" width="4.6328125" bestFit="1" customWidth="1"/>
    <col min="32" max="32" width="4.6328125" customWidth="1"/>
    <col min="33" max="33" width="4.6328125" bestFit="1" customWidth="1"/>
    <col min="34" max="34" width="25.08984375" bestFit="1" customWidth="1"/>
  </cols>
  <sheetData>
    <row r="1" spans="1:30" x14ac:dyDescent="0.35">
      <c r="A1" t="s">
        <v>608</v>
      </c>
      <c r="B1" t="s">
        <v>609</v>
      </c>
      <c r="C1" t="s">
        <v>610</v>
      </c>
      <c r="D1" t="s">
        <v>611</v>
      </c>
      <c r="E1" t="s">
        <v>612</v>
      </c>
      <c r="F1" t="s">
        <v>1003</v>
      </c>
      <c r="G1" t="s">
        <v>1004</v>
      </c>
      <c r="H1" t="s">
        <v>621</v>
      </c>
      <c r="I1" t="s">
        <v>615</v>
      </c>
      <c r="J1" t="s">
        <v>618</v>
      </c>
      <c r="K1" t="s">
        <v>1005</v>
      </c>
      <c r="L1" t="s">
        <v>616</v>
      </c>
      <c r="M1" t="s">
        <v>613</v>
      </c>
      <c r="N1" t="s">
        <v>1006</v>
      </c>
      <c r="O1" t="s">
        <v>1007</v>
      </c>
      <c r="P1" t="s">
        <v>622</v>
      </c>
      <c r="Q1" t="s">
        <v>1008</v>
      </c>
      <c r="R1" t="s">
        <v>1009</v>
      </c>
      <c r="S1" t="s">
        <v>1010</v>
      </c>
      <c r="T1" t="s">
        <v>619</v>
      </c>
      <c r="U1" t="s">
        <v>1011</v>
      </c>
      <c r="V1" t="s">
        <v>635</v>
      </c>
      <c r="W1" t="s">
        <v>632</v>
      </c>
      <c r="X1" t="s">
        <v>1326</v>
      </c>
      <c r="Y1" t="s">
        <v>1327</v>
      </c>
      <c r="Z1" t="s">
        <v>1508</v>
      </c>
      <c r="AA1" t="s">
        <v>634</v>
      </c>
      <c r="AB1" t="s">
        <v>1764</v>
      </c>
      <c r="AC1" t="s">
        <v>1509</v>
      </c>
      <c r="AD1" t="s">
        <v>1510</v>
      </c>
    </row>
    <row r="2" spans="1:30" x14ac:dyDescent="0.35">
      <c r="A2" s="3" t="s">
        <v>640</v>
      </c>
      <c r="B2" s="3" t="s">
        <v>643</v>
      </c>
      <c r="C2" s="3" t="s">
        <v>644</v>
      </c>
      <c r="D2" s="3" t="s">
        <v>1012</v>
      </c>
      <c r="E2" s="3" t="s">
        <v>1013</v>
      </c>
      <c r="F2" s="3" t="s">
        <v>640</v>
      </c>
      <c r="G2" s="3" t="s">
        <v>640</v>
      </c>
      <c r="I2" s="3" t="s">
        <v>640</v>
      </c>
      <c r="J2" s="3" t="s">
        <v>640</v>
      </c>
      <c r="L2" s="3" t="s">
        <v>640</v>
      </c>
      <c r="M2" s="3" t="s">
        <v>640</v>
      </c>
      <c r="N2" s="3" t="s">
        <v>640</v>
      </c>
      <c r="T2" s="3" t="s">
        <v>640</v>
      </c>
      <c r="V2" s="3" t="s">
        <v>640</v>
      </c>
      <c r="W2" s="3" t="s">
        <v>640</v>
      </c>
      <c r="X2" s="3" t="s">
        <v>640</v>
      </c>
      <c r="Y2" s="3" t="s">
        <v>640</v>
      </c>
      <c r="Z2" s="3" t="s">
        <v>640</v>
      </c>
      <c r="AA2" t="s">
        <v>640</v>
      </c>
      <c r="AB2" s="3" t="s">
        <v>640</v>
      </c>
      <c r="AC2" s="3" t="s">
        <v>640</v>
      </c>
      <c r="AD2" s="3" t="s">
        <v>640</v>
      </c>
    </row>
    <row r="3" spans="1:30" x14ac:dyDescent="0.35">
      <c r="A3" s="3" t="s">
        <v>1</v>
      </c>
      <c r="B3" s="3" t="s">
        <v>1782</v>
      </c>
      <c r="C3" s="3" t="s">
        <v>1783</v>
      </c>
      <c r="D3" s="3" t="s">
        <v>1784</v>
      </c>
      <c r="E3" s="3" t="s">
        <v>1785</v>
      </c>
      <c r="F3" s="3" t="s">
        <v>640</v>
      </c>
      <c r="G3" s="3" t="s">
        <v>640</v>
      </c>
      <c r="I3" s="3" t="s">
        <v>640</v>
      </c>
      <c r="J3" s="3" t="s">
        <v>640</v>
      </c>
      <c r="L3" s="3" t="s">
        <v>640</v>
      </c>
      <c r="M3" s="3" t="s">
        <v>640</v>
      </c>
      <c r="N3" s="3" t="s">
        <v>640</v>
      </c>
      <c r="T3" s="3" t="s">
        <v>640</v>
      </c>
      <c r="V3" s="3" t="s">
        <v>640</v>
      </c>
      <c r="W3" s="3" t="s">
        <v>640</v>
      </c>
      <c r="X3" s="3" t="s">
        <v>640</v>
      </c>
      <c r="Y3" s="3" t="s">
        <v>640</v>
      </c>
      <c r="Z3" s="3" t="s">
        <v>640</v>
      </c>
      <c r="AA3" t="s">
        <v>640</v>
      </c>
      <c r="AB3" s="3" t="s">
        <v>640</v>
      </c>
      <c r="AC3" s="3" t="s">
        <v>640</v>
      </c>
      <c r="AD3" s="3" t="s">
        <v>640</v>
      </c>
    </row>
    <row r="4" spans="1:30" x14ac:dyDescent="0.35">
      <c r="A4" s="3" t="s">
        <v>1014</v>
      </c>
      <c r="B4" s="3" t="s">
        <v>1786</v>
      </c>
      <c r="C4" s="3" t="s">
        <v>1787</v>
      </c>
      <c r="D4" s="3" t="s">
        <v>1788</v>
      </c>
      <c r="E4" s="3" t="s">
        <v>640</v>
      </c>
      <c r="F4" s="3" t="s">
        <v>640</v>
      </c>
      <c r="G4" s="3" t="s">
        <v>640</v>
      </c>
      <c r="I4" s="3" t="s">
        <v>640</v>
      </c>
      <c r="J4" s="3" t="s">
        <v>640</v>
      </c>
      <c r="L4" s="3" t="s">
        <v>640</v>
      </c>
      <c r="M4" s="3" t="s">
        <v>640</v>
      </c>
      <c r="N4" s="3" t="s">
        <v>640</v>
      </c>
      <c r="T4" s="3" t="s">
        <v>640</v>
      </c>
      <c r="V4" s="3" t="s">
        <v>640</v>
      </c>
      <c r="W4" s="3" t="s">
        <v>640</v>
      </c>
      <c r="X4" s="3" t="s">
        <v>640</v>
      </c>
      <c r="Y4" s="3" t="s">
        <v>640</v>
      </c>
      <c r="Z4" s="3" t="s">
        <v>640</v>
      </c>
      <c r="AA4" t="s">
        <v>640</v>
      </c>
      <c r="AB4" s="3" t="s">
        <v>640</v>
      </c>
      <c r="AC4" s="3" t="s">
        <v>640</v>
      </c>
      <c r="AD4" s="3" t="s">
        <v>640</v>
      </c>
    </row>
    <row r="5" spans="1:30" x14ac:dyDescent="0.35">
      <c r="A5" s="3" t="s">
        <v>1015</v>
      </c>
      <c r="B5" s="3" t="s">
        <v>1789</v>
      </c>
      <c r="C5" s="3" t="s">
        <v>1790</v>
      </c>
      <c r="D5" s="3" t="s">
        <v>1791</v>
      </c>
      <c r="E5" s="3" t="s">
        <v>640</v>
      </c>
      <c r="F5" s="3" t="s">
        <v>640</v>
      </c>
      <c r="G5" s="3" t="s">
        <v>640</v>
      </c>
      <c r="I5" s="3" t="s">
        <v>640</v>
      </c>
      <c r="J5" s="3" t="s">
        <v>640</v>
      </c>
      <c r="L5" s="3" t="s">
        <v>640</v>
      </c>
      <c r="M5" s="3" t="s">
        <v>640</v>
      </c>
      <c r="N5" s="3" t="s">
        <v>640</v>
      </c>
      <c r="T5" s="3" t="s">
        <v>640</v>
      </c>
      <c r="V5" s="3" t="s">
        <v>640</v>
      </c>
      <c r="W5" s="3" t="s">
        <v>640</v>
      </c>
      <c r="X5" s="3" t="s">
        <v>640</v>
      </c>
      <c r="Y5" s="3" t="s">
        <v>640</v>
      </c>
      <c r="Z5" s="3" t="s">
        <v>640</v>
      </c>
      <c r="AA5" t="s">
        <v>640</v>
      </c>
      <c r="AB5" s="3" t="s">
        <v>640</v>
      </c>
      <c r="AC5" s="3" t="s">
        <v>640</v>
      </c>
      <c r="AD5" s="3" t="s">
        <v>640</v>
      </c>
    </row>
    <row r="6" spans="1:30" x14ac:dyDescent="0.35">
      <c r="A6" s="3" t="s">
        <v>608</v>
      </c>
      <c r="B6" s="3" t="s">
        <v>608</v>
      </c>
      <c r="C6" s="3" t="s">
        <v>608</v>
      </c>
      <c r="D6" s="3" t="s">
        <v>608</v>
      </c>
      <c r="E6" s="3" t="s">
        <v>608</v>
      </c>
      <c r="F6" s="3" t="s">
        <v>640</v>
      </c>
      <c r="G6" s="3" t="s">
        <v>1071</v>
      </c>
      <c r="H6">
        <v>3376240</v>
      </c>
      <c r="I6" s="3" t="s">
        <v>4</v>
      </c>
      <c r="J6" s="3" t="s">
        <v>640</v>
      </c>
      <c r="L6" s="3" t="s">
        <v>640</v>
      </c>
      <c r="M6" s="3" t="s">
        <v>640</v>
      </c>
      <c r="N6" s="3" t="s">
        <v>640</v>
      </c>
      <c r="O6">
        <v>1</v>
      </c>
      <c r="P6">
        <v>1</v>
      </c>
      <c r="Q6">
        <v>0</v>
      </c>
      <c r="R6">
        <v>0</v>
      </c>
      <c r="S6">
        <v>0</v>
      </c>
      <c r="T6" s="3" t="s">
        <v>1153</v>
      </c>
      <c r="U6">
        <v>1</v>
      </c>
      <c r="V6" s="3" t="s">
        <v>256</v>
      </c>
      <c r="W6" s="3" t="s">
        <v>640</v>
      </c>
      <c r="X6" s="3" t="s">
        <v>1328</v>
      </c>
      <c r="Y6" s="3" t="s">
        <v>1328</v>
      </c>
      <c r="Z6" s="3" t="s">
        <v>1328</v>
      </c>
      <c r="AA6" t="s">
        <v>1568</v>
      </c>
      <c r="AB6" s="3" t="s">
        <v>1765</v>
      </c>
      <c r="AC6" s="3" t="s">
        <v>640</v>
      </c>
      <c r="AD6" s="3" t="s">
        <v>640</v>
      </c>
    </row>
    <row r="7" spans="1:30" x14ac:dyDescent="0.35">
      <c r="A7" s="3" t="s">
        <v>608</v>
      </c>
      <c r="B7" s="3" t="s">
        <v>608</v>
      </c>
      <c r="C7" s="3" t="s">
        <v>608</v>
      </c>
      <c r="D7" s="3" t="s">
        <v>608</v>
      </c>
      <c r="E7" s="3" t="s">
        <v>608</v>
      </c>
      <c r="F7" s="3" t="s">
        <v>640</v>
      </c>
      <c r="G7" s="3" t="s">
        <v>1071</v>
      </c>
      <c r="H7">
        <v>19338</v>
      </c>
      <c r="I7" s="3" t="s">
        <v>4</v>
      </c>
      <c r="J7" s="3" t="s">
        <v>640</v>
      </c>
      <c r="L7" s="3" t="s">
        <v>640</v>
      </c>
      <c r="M7" s="3" t="s">
        <v>640</v>
      </c>
      <c r="N7" s="3" t="s">
        <v>640</v>
      </c>
      <c r="O7">
        <v>1</v>
      </c>
      <c r="P7">
        <v>1</v>
      </c>
      <c r="Q7">
        <v>0</v>
      </c>
      <c r="R7">
        <v>0</v>
      </c>
      <c r="S7">
        <v>0</v>
      </c>
      <c r="T7" s="3" t="s">
        <v>1153</v>
      </c>
      <c r="U7">
        <v>1</v>
      </c>
      <c r="V7" s="3" t="s">
        <v>9</v>
      </c>
      <c r="W7" s="3" t="s">
        <v>640</v>
      </c>
      <c r="X7" s="3" t="s">
        <v>1328</v>
      </c>
      <c r="Y7" s="3" t="s">
        <v>1328</v>
      </c>
      <c r="Z7" s="3" t="s">
        <v>1328</v>
      </c>
      <c r="AA7" t="s">
        <v>1569</v>
      </c>
      <c r="AB7" s="3" t="s">
        <v>1765</v>
      </c>
      <c r="AC7" s="3" t="s">
        <v>640</v>
      </c>
      <c r="AD7" s="3" t="s">
        <v>640</v>
      </c>
    </row>
    <row r="8" spans="1:30" x14ac:dyDescent="0.35">
      <c r="A8" s="3" t="s">
        <v>608</v>
      </c>
      <c r="B8" s="3" t="s">
        <v>608</v>
      </c>
      <c r="C8" s="3" t="s">
        <v>608</v>
      </c>
      <c r="D8" s="3" t="s">
        <v>608</v>
      </c>
      <c r="E8" s="3" t="s">
        <v>608</v>
      </c>
      <c r="F8" s="3" t="s">
        <v>640</v>
      </c>
      <c r="G8" s="3" t="s">
        <v>1071</v>
      </c>
      <c r="H8">
        <v>-30984474</v>
      </c>
      <c r="I8" s="3" t="s">
        <v>4</v>
      </c>
      <c r="J8" s="3" t="s">
        <v>640</v>
      </c>
      <c r="L8" s="3" t="s">
        <v>640</v>
      </c>
      <c r="M8" s="3" t="s">
        <v>640</v>
      </c>
      <c r="N8" s="3" t="s">
        <v>640</v>
      </c>
      <c r="O8">
        <v>1</v>
      </c>
      <c r="P8">
        <v>1</v>
      </c>
      <c r="Q8">
        <v>0</v>
      </c>
      <c r="R8">
        <v>0</v>
      </c>
      <c r="S8">
        <v>0</v>
      </c>
      <c r="T8" s="3" t="s">
        <v>1153</v>
      </c>
      <c r="U8">
        <v>1</v>
      </c>
      <c r="V8" s="3" t="s">
        <v>9</v>
      </c>
      <c r="W8" s="3" t="s">
        <v>640</v>
      </c>
      <c r="X8" s="3" t="s">
        <v>1328</v>
      </c>
      <c r="Y8" s="3" t="s">
        <v>1328</v>
      </c>
      <c r="Z8" s="3" t="s">
        <v>1328</v>
      </c>
      <c r="AA8" t="s">
        <v>1717</v>
      </c>
      <c r="AB8" s="3" t="s">
        <v>1765</v>
      </c>
      <c r="AC8" s="3" t="s">
        <v>640</v>
      </c>
      <c r="AD8" s="3" t="s">
        <v>640</v>
      </c>
    </row>
    <row r="9" spans="1:30" x14ac:dyDescent="0.35">
      <c r="A9" s="3" t="s">
        <v>608</v>
      </c>
      <c r="B9" s="3" t="s">
        <v>608</v>
      </c>
      <c r="C9" s="3" t="s">
        <v>608</v>
      </c>
      <c r="D9" s="3" t="s">
        <v>608</v>
      </c>
      <c r="E9" s="3" t="s">
        <v>608</v>
      </c>
      <c r="F9" s="3" t="s">
        <v>640</v>
      </c>
      <c r="G9" s="3" t="s">
        <v>1071</v>
      </c>
      <c r="H9">
        <v>-17336551</v>
      </c>
      <c r="I9" s="3" t="s">
        <v>4</v>
      </c>
      <c r="J9" s="3" t="s">
        <v>640</v>
      </c>
      <c r="L9" s="3" t="s">
        <v>640</v>
      </c>
      <c r="M9" s="3" t="s">
        <v>640</v>
      </c>
      <c r="N9" s="3" t="s">
        <v>640</v>
      </c>
      <c r="O9">
        <v>1</v>
      </c>
      <c r="P9">
        <v>1</v>
      </c>
      <c r="Q9">
        <v>0</v>
      </c>
      <c r="R9">
        <v>0</v>
      </c>
      <c r="S9">
        <v>0</v>
      </c>
      <c r="T9" s="3" t="s">
        <v>1153</v>
      </c>
      <c r="U9">
        <v>1</v>
      </c>
      <c r="V9" s="3" t="s">
        <v>256</v>
      </c>
      <c r="W9" s="3" t="s">
        <v>640</v>
      </c>
      <c r="X9" s="3" t="s">
        <v>1328</v>
      </c>
      <c r="Y9" s="3" t="s">
        <v>1328</v>
      </c>
      <c r="Z9" s="3" t="s">
        <v>1328</v>
      </c>
      <c r="AA9" t="s">
        <v>1737</v>
      </c>
      <c r="AB9" s="3" t="s">
        <v>1765</v>
      </c>
      <c r="AC9" s="3" t="s">
        <v>640</v>
      </c>
      <c r="AD9" s="3" t="s">
        <v>640</v>
      </c>
    </row>
    <row r="10" spans="1:30" x14ac:dyDescent="0.35">
      <c r="A10" s="3" t="s">
        <v>608</v>
      </c>
      <c r="B10" s="3" t="s">
        <v>608</v>
      </c>
      <c r="C10" s="3" t="s">
        <v>608</v>
      </c>
      <c r="D10" s="3" t="s">
        <v>608</v>
      </c>
      <c r="E10" s="3" t="s">
        <v>608</v>
      </c>
      <c r="F10" s="3" t="s">
        <v>640</v>
      </c>
      <c r="G10" s="3" t="s">
        <v>1071</v>
      </c>
      <c r="H10">
        <v>-254189</v>
      </c>
      <c r="I10" s="3" t="s">
        <v>4</v>
      </c>
      <c r="J10" s="3" t="s">
        <v>640</v>
      </c>
      <c r="L10" s="3" t="s">
        <v>640</v>
      </c>
      <c r="M10" s="3" t="s">
        <v>640</v>
      </c>
      <c r="N10" s="3" t="s">
        <v>640</v>
      </c>
      <c r="O10">
        <v>1</v>
      </c>
      <c r="P10">
        <v>1</v>
      </c>
      <c r="Q10">
        <v>0</v>
      </c>
      <c r="R10">
        <v>0</v>
      </c>
      <c r="S10">
        <v>0</v>
      </c>
      <c r="T10" s="3" t="s">
        <v>1153</v>
      </c>
      <c r="U10">
        <v>1</v>
      </c>
      <c r="V10" s="3" t="s">
        <v>449</v>
      </c>
      <c r="W10" s="3" t="s">
        <v>640</v>
      </c>
      <c r="X10" s="3" t="s">
        <v>1328</v>
      </c>
      <c r="Y10" s="3" t="s">
        <v>1328</v>
      </c>
      <c r="Z10" s="3" t="s">
        <v>1328</v>
      </c>
      <c r="AA10" t="s">
        <v>1570</v>
      </c>
      <c r="AB10" s="3" t="s">
        <v>1765</v>
      </c>
      <c r="AC10" s="3" t="s">
        <v>640</v>
      </c>
      <c r="AD10" s="3" t="s">
        <v>640</v>
      </c>
    </row>
    <row r="11" spans="1:30" x14ac:dyDescent="0.35">
      <c r="A11" s="3" t="s">
        <v>608</v>
      </c>
      <c r="B11" s="3" t="s">
        <v>608</v>
      </c>
      <c r="C11" s="3" t="s">
        <v>608</v>
      </c>
      <c r="D11" s="3" t="s">
        <v>608</v>
      </c>
      <c r="E11" s="3" t="s">
        <v>608</v>
      </c>
      <c r="F11" s="3" t="s">
        <v>640</v>
      </c>
      <c r="G11" s="3" t="s">
        <v>1071</v>
      </c>
      <c r="H11">
        <v>-48</v>
      </c>
      <c r="I11" s="3" t="s">
        <v>4</v>
      </c>
      <c r="J11" s="3" t="s">
        <v>640</v>
      </c>
      <c r="L11" s="3" t="s">
        <v>640</v>
      </c>
      <c r="M11" s="3" t="s">
        <v>640</v>
      </c>
      <c r="N11" s="3" t="s">
        <v>640</v>
      </c>
      <c r="O11">
        <v>1</v>
      </c>
      <c r="P11">
        <v>1</v>
      </c>
      <c r="Q11">
        <v>0</v>
      </c>
      <c r="R11">
        <v>0</v>
      </c>
      <c r="S11">
        <v>0</v>
      </c>
      <c r="T11" s="3" t="s">
        <v>1153</v>
      </c>
      <c r="U11">
        <v>1</v>
      </c>
      <c r="V11" s="3" t="s">
        <v>9</v>
      </c>
      <c r="W11" s="3" t="s">
        <v>640</v>
      </c>
      <c r="X11" s="3" t="s">
        <v>1328</v>
      </c>
      <c r="Y11" s="3" t="s">
        <v>1328</v>
      </c>
      <c r="Z11" s="3" t="s">
        <v>1328</v>
      </c>
      <c r="AA11" t="s">
        <v>1571</v>
      </c>
      <c r="AB11" s="3" t="s">
        <v>1765</v>
      </c>
      <c r="AC11" s="3" t="s">
        <v>640</v>
      </c>
      <c r="AD11" s="3" t="s">
        <v>640</v>
      </c>
    </row>
    <row r="12" spans="1:30" x14ac:dyDescent="0.35">
      <c r="A12" s="3" t="s">
        <v>608</v>
      </c>
      <c r="B12" s="3" t="s">
        <v>608</v>
      </c>
      <c r="C12" s="3" t="s">
        <v>608</v>
      </c>
      <c r="D12" s="3" t="s">
        <v>608</v>
      </c>
      <c r="E12" s="3" t="s">
        <v>608</v>
      </c>
      <c r="F12" s="3" t="s">
        <v>640</v>
      </c>
      <c r="G12" s="3" t="s">
        <v>1071</v>
      </c>
      <c r="H12">
        <v>-47137149</v>
      </c>
      <c r="I12" s="3" t="s">
        <v>4</v>
      </c>
      <c r="J12" s="3" t="s">
        <v>640</v>
      </c>
      <c r="L12" s="3" t="s">
        <v>640</v>
      </c>
      <c r="M12" s="3" t="s">
        <v>640</v>
      </c>
      <c r="N12" s="3" t="s">
        <v>640</v>
      </c>
      <c r="O12">
        <v>1</v>
      </c>
      <c r="P12">
        <v>1</v>
      </c>
      <c r="Q12">
        <v>0</v>
      </c>
      <c r="R12">
        <v>0</v>
      </c>
      <c r="S12">
        <v>0</v>
      </c>
      <c r="T12" s="3" t="s">
        <v>1153</v>
      </c>
      <c r="U12">
        <v>1</v>
      </c>
      <c r="V12" s="3" t="s">
        <v>449</v>
      </c>
      <c r="W12" s="3" t="s">
        <v>640</v>
      </c>
      <c r="X12" s="3" t="s">
        <v>1328</v>
      </c>
      <c r="Y12" s="3" t="s">
        <v>1328</v>
      </c>
      <c r="Z12" s="3" t="s">
        <v>1328</v>
      </c>
      <c r="AA12" t="s">
        <v>1690</v>
      </c>
      <c r="AB12" s="3" t="s">
        <v>1765</v>
      </c>
      <c r="AC12" s="3" t="s">
        <v>640</v>
      </c>
      <c r="AD12" s="3" t="s">
        <v>640</v>
      </c>
    </row>
    <row r="13" spans="1:30" x14ac:dyDescent="0.35">
      <c r="A13" s="3" t="s">
        <v>608</v>
      </c>
      <c r="B13" s="3" t="s">
        <v>608</v>
      </c>
      <c r="C13" s="3" t="s">
        <v>608</v>
      </c>
      <c r="D13" s="3" t="s">
        <v>608</v>
      </c>
      <c r="E13" s="3" t="s">
        <v>608</v>
      </c>
      <c r="F13" s="3" t="s">
        <v>640</v>
      </c>
      <c r="G13" s="3" t="s">
        <v>1071</v>
      </c>
      <c r="H13">
        <v>-88454</v>
      </c>
      <c r="I13" s="3" t="s">
        <v>4</v>
      </c>
      <c r="J13" s="3" t="s">
        <v>640</v>
      </c>
      <c r="L13" s="3" t="s">
        <v>640</v>
      </c>
      <c r="M13" s="3" t="s">
        <v>640</v>
      </c>
      <c r="N13" s="3" t="s">
        <v>640</v>
      </c>
      <c r="O13">
        <v>1</v>
      </c>
      <c r="P13">
        <v>1</v>
      </c>
      <c r="Q13">
        <v>0</v>
      </c>
      <c r="R13">
        <v>0</v>
      </c>
      <c r="S13">
        <v>0</v>
      </c>
      <c r="T13" s="3" t="s">
        <v>1153</v>
      </c>
      <c r="U13">
        <v>1</v>
      </c>
      <c r="V13" s="3" t="s">
        <v>230</v>
      </c>
      <c r="W13" s="3" t="s">
        <v>640</v>
      </c>
      <c r="X13" s="3" t="s">
        <v>1328</v>
      </c>
      <c r="Y13" s="3" t="s">
        <v>1328</v>
      </c>
      <c r="Z13" s="3" t="s">
        <v>1328</v>
      </c>
      <c r="AA13" t="s">
        <v>1691</v>
      </c>
      <c r="AB13" s="3" t="s">
        <v>1765</v>
      </c>
      <c r="AC13" s="3" t="s">
        <v>640</v>
      </c>
      <c r="AD13" s="3" t="s">
        <v>640</v>
      </c>
    </row>
    <row r="14" spans="1:30" x14ac:dyDescent="0.35">
      <c r="A14" s="3" t="s">
        <v>608</v>
      </c>
      <c r="B14" s="3" t="s">
        <v>608</v>
      </c>
      <c r="C14" s="3" t="s">
        <v>608</v>
      </c>
      <c r="D14" s="3" t="s">
        <v>608</v>
      </c>
      <c r="E14" s="3" t="s">
        <v>608</v>
      </c>
      <c r="F14" s="3" t="s">
        <v>640</v>
      </c>
      <c r="G14" s="3" t="s">
        <v>1071</v>
      </c>
      <c r="H14">
        <v>-2500004</v>
      </c>
      <c r="I14" s="3" t="s">
        <v>4</v>
      </c>
      <c r="J14" s="3" t="s">
        <v>640</v>
      </c>
      <c r="L14" s="3" t="s">
        <v>640</v>
      </c>
      <c r="M14" s="3" t="s">
        <v>640</v>
      </c>
      <c r="N14" s="3" t="s">
        <v>640</v>
      </c>
      <c r="O14">
        <v>1</v>
      </c>
      <c r="P14">
        <v>1</v>
      </c>
      <c r="Q14">
        <v>0</v>
      </c>
      <c r="R14">
        <v>0</v>
      </c>
      <c r="S14">
        <v>0</v>
      </c>
      <c r="T14" s="3" t="s">
        <v>1153</v>
      </c>
      <c r="U14">
        <v>1</v>
      </c>
      <c r="V14" s="3" t="s">
        <v>449</v>
      </c>
      <c r="W14" s="3" t="s">
        <v>640</v>
      </c>
      <c r="X14" s="3" t="s">
        <v>1328</v>
      </c>
      <c r="Y14" s="3" t="s">
        <v>1328</v>
      </c>
      <c r="Z14" s="3" t="s">
        <v>1328</v>
      </c>
      <c r="AA14" t="s">
        <v>1572</v>
      </c>
      <c r="AB14" s="3" t="s">
        <v>1765</v>
      </c>
      <c r="AC14" s="3" t="s">
        <v>640</v>
      </c>
      <c r="AD14" s="3" t="s">
        <v>640</v>
      </c>
    </row>
    <row r="15" spans="1:30" x14ac:dyDescent="0.35">
      <c r="A15" s="3" t="s">
        <v>608</v>
      </c>
      <c r="B15" s="3" t="s">
        <v>608</v>
      </c>
      <c r="C15" s="3" t="s">
        <v>608</v>
      </c>
      <c r="D15" s="3" t="s">
        <v>608</v>
      </c>
      <c r="E15" s="3" t="s">
        <v>608</v>
      </c>
      <c r="F15" s="3" t="s">
        <v>640</v>
      </c>
      <c r="G15" s="3" t="s">
        <v>1071</v>
      </c>
      <c r="H15">
        <v>480217</v>
      </c>
      <c r="I15" s="3" t="s">
        <v>4</v>
      </c>
      <c r="J15" s="3" t="s">
        <v>640</v>
      </c>
      <c r="L15" s="3" t="s">
        <v>640</v>
      </c>
      <c r="M15" s="3" t="s">
        <v>640</v>
      </c>
      <c r="N15" s="3" t="s">
        <v>640</v>
      </c>
      <c r="O15">
        <v>1</v>
      </c>
      <c r="P15">
        <v>1</v>
      </c>
      <c r="Q15">
        <v>0</v>
      </c>
      <c r="R15">
        <v>0</v>
      </c>
      <c r="S15">
        <v>0</v>
      </c>
      <c r="T15" s="3" t="s">
        <v>1153</v>
      </c>
      <c r="U15">
        <v>1</v>
      </c>
      <c r="V15" s="3" t="s">
        <v>9</v>
      </c>
      <c r="W15" s="3" t="s">
        <v>640</v>
      </c>
      <c r="X15" s="3" t="s">
        <v>1328</v>
      </c>
      <c r="Y15" s="3" t="s">
        <v>1328</v>
      </c>
      <c r="Z15" s="3" t="s">
        <v>1328</v>
      </c>
      <c r="AA15" t="s">
        <v>1692</v>
      </c>
      <c r="AB15" s="3" t="s">
        <v>1765</v>
      </c>
      <c r="AC15" s="3" t="s">
        <v>640</v>
      </c>
      <c r="AD15" s="3" t="s">
        <v>640</v>
      </c>
    </row>
    <row r="16" spans="1:30" x14ac:dyDescent="0.35">
      <c r="A16" s="3" t="s">
        <v>608</v>
      </c>
      <c r="B16" s="3" t="s">
        <v>608</v>
      </c>
      <c r="C16" s="3" t="s">
        <v>608</v>
      </c>
      <c r="D16" s="3" t="s">
        <v>608</v>
      </c>
      <c r="E16" s="3" t="s">
        <v>608</v>
      </c>
      <c r="F16" s="3" t="s">
        <v>640</v>
      </c>
      <c r="G16" s="3" t="s">
        <v>1071</v>
      </c>
      <c r="H16">
        <v>251358</v>
      </c>
      <c r="I16" s="3" t="s">
        <v>4</v>
      </c>
      <c r="J16" s="3" t="s">
        <v>640</v>
      </c>
      <c r="L16" s="3" t="s">
        <v>640</v>
      </c>
      <c r="M16" s="3" t="s">
        <v>640</v>
      </c>
      <c r="N16" s="3" t="s">
        <v>640</v>
      </c>
      <c r="O16">
        <v>1</v>
      </c>
      <c r="P16">
        <v>1</v>
      </c>
      <c r="Q16">
        <v>0</v>
      </c>
      <c r="R16">
        <v>0</v>
      </c>
      <c r="S16">
        <v>0</v>
      </c>
      <c r="T16" s="3" t="s">
        <v>1153</v>
      </c>
      <c r="U16">
        <v>1</v>
      </c>
      <c r="V16" s="3" t="s">
        <v>256</v>
      </c>
      <c r="W16" s="3" t="s">
        <v>640</v>
      </c>
      <c r="X16" s="3" t="s">
        <v>1328</v>
      </c>
      <c r="Y16" s="3" t="s">
        <v>1328</v>
      </c>
      <c r="Z16" s="3" t="s">
        <v>1328</v>
      </c>
      <c r="AA16" t="s">
        <v>1693</v>
      </c>
      <c r="AB16" s="3" t="s">
        <v>1765</v>
      </c>
      <c r="AC16" s="3" t="s">
        <v>640</v>
      </c>
      <c r="AD16" s="3" t="s">
        <v>640</v>
      </c>
    </row>
    <row r="17" spans="1:30" x14ac:dyDescent="0.35">
      <c r="A17" s="3" t="s">
        <v>608</v>
      </c>
      <c r="B17" s="3" t="s">
        <v>608</v>
      </c>
      <c r="C17" s="3" t="s">
        <v>608</v>
      </c>
      <c r="D17" s="3" t="s">
        <v>608</v>
      </c>
      <c r="E17" s="3" t="s">
        <v>608</v>
      </c>
      <c r="F17" s="3" t="s">
        <v>640</v>
      </c>
      <c r="G17" s="3" t="s">
        <v>1071</v>
      </c>
      <c r="H17">
        <v>1878376</v>
      </c>
      <c r="I17" s="3" t="s">
        <v>4</v>
      </c>
      <c r="J17" s="3" t="s">
        <v>640</v>
      </c>
      <c r="L17" s="3" t="s">
        <v>640</v>
      </c>
      <c r="M17" s="3" t="s">
        <v>640</v>
      </c>
      <c r="N17" s="3" t="s">
        <v>640</v>
      </c>
      <c r="O17">
        <v>1</v>
      </c>
      <c r="P17">
        <v>1</v>
      </c>
      <c r="Q17">
        <v>0</v>
      </c>
      <c r="R17">
        <v>0</v>
      </c>
      <c r="S17">
        <v>0</v>
      </c>
      <c r="T17" s="3" t="s">
        <v>1153</v>
      </c>
      <c r="U17">
        <v>1</v>
      </c>
      <c r="V17" s="3" t="s">
        <v>230</v>
      </c>
      <c r="W17" s="3" t="s">
        <v>640</v>
      </c>
      <c r="X17" s="3" t="s">
        <v>1328</v>
      </c>
      <c r="Y17" s="3" t="s">
        <v>1328</v>
      </c>
      <c r="Z17" s="3" t="s">
        <v>1328</v>
      </c>
      <c r="AA17" t="s">
        <v>1694</v>
      </c>
      <c r="AB17" s="3" t="s">
        <v>1765</v>
      </c>
      <c r="AC17" s="3" t="s">
        <v>640</v>
      </c>
      <c r="AD17" s="3" t="s">
        <v>640</v>
      </c>
    </row>
    <row r="18" spans="1:30" x14ac:dyDescent="0.35">
      <c r="A18" s="3" t="s">
        <v>608</v>
      </c>
      <c r="B18" s="3" t="s">
        <v>608</v>
      </c>
      <c r="C18" s="3" t="s">
        <v>608</v>
      </c>
      <c r="D18" s="3" t="s">
        <v>608</v>
      </c>
      <c r="E18" s="3" t="s">
        <v>608</v>
      </c>
      <c r="F18" s="3" t="s">
        <v>640</v>
      </c>
      <c r="G18" s="3" t="s">
        <v>1071</v>
      </c>
      <c r="H18">
        <v>10519214</v>
      </c>
      <c r="I18" s="3" t="s">
        <v>4</v>
      </c>
      <c r="J18" s="3" t="s">
        <v>640</v>
      </c>
      <c r="L18" s="3" t="s">
        <v>640</v>
      </c>
      <c r="M18" s="3" t="s">
        <v>640</v>
      </c>
      <c r="N18" s="3" t="s">
        <v>640</v>
      </c>
      <c r="O18">
        <v>1</v>
      </c>
      <c r="P18">
        <v>1</v>
      </c>
      <c r="Q18">
        <v>0</v>
      </c>
      <c r="R18">
        <v>0</v>
      </c>
      <c r="S18">
        <v>0</v>
      </c>
      <c r="T18" s="3" t="s">
        <v>1153</v>
      </c>
      <c r="U18">
        <v>1</v>
      </c>
      <c r="V18" s="3" t="s">
        <v>563</v>
      </c>
      <c r="W18" s="3" t="s">
        <v>640</v>
      </c>
      <c r="X18" s="3" t="s">
        <v>1328</v>
      </c>
      <c r="Y18" s="3" t="s">
        <v>1328</v>
      </c>
      <c r="Z18" s="3" t="s">
        <v>1328</v>
      </c>
      <c r="AA18" t="s">
        <v>1573</v>
      </c>
      <c r="AB18" s="3" t="s">
        <v>1765</v>
      </c>
      <c r="AC18" s="3" t="s">
        <v>640</v>
      </c>
      <c r="AD18" s="3" t="s">
        <v>640</v>
      </c>
    </row>
    <row r="19" spans="1:30" x14ac:dyDescent="0.35">
      <c r="A19" s="3" t="s">
        <v>608</v>
      </c>
      <c r="B19" s="3" t="s">
        <v>608</v>
      </c>
      <c r="C19" s="3" t="s">
        <v>608</v>
      </c>
      <c r="D19" s="3" t="s">
        <v>608</v>
      </c>
      <c r="E19" s="3" t="s">
        <v>608</v>
      </c>
      <c r="F19" s="3" t="s">
        <v>640</v>
      </c>
      <c r="G19" s="3" t="s">
        <v>1076</v>
      </c>
      <c r="H19">
        <v>-7669</v>
      </c>
      <c r="I19" s="3" t="s">
        <v>283</v>
      </c>
      <c r="J19" s="3" t="s">
        <v>640</v>
      </c>
      <c r="L19" s="3" t="s">
        <v>640</v>
      </c>
      <c r="M19" s="3" t="s">
        <v>640</v>
      </c>
      <c r="N19" s="3" t="s">
        <v>640</v>
      </c>
      <c r="O19">
        <v>1</v>
      </c>
      <c r="P19">
        <v>0.9</v>
      </c>
      <c r="Q19">
        <v>-20.420000000000002</v>
      </c>
      <c r="R19">
        <v>0</v>
      </c>
      <c r="S19">
        <v>0</v>
      </c>
      <c r="T19" s="3" t="s">
        <v>1153</v>
      </c>
      <c r="U19">
        <v>1</v>
      </c>
      <c r="V19" s="3" t="s">
        <v>256</v>
      </c>
      <c r="W19" s="3" t="s">
        <v>640</v>
      </c>
      <c r="X19" s="3" t="s">
        <v>1328</v>
      </c>
      <c r="Y19" s="3" t="s">
        <v>1328</v>
      </c>
      <c r="Z19" s="3" t="s">
        <v>1792</v>
      </c>
      <c r="AA19" t="s">
        <v>1577</v>
      </c>
      <c r="AB19" s="3" t="s">
        <v>1766</v>
      </c>
      <c r="AC19" s="3" t="s">
        <v>640</v>
      </c>
      <c r="AD19" s="3" t="s">
        <v>640</v>
      </c>
    </row>
    <row r="20" spans="1:30" x14ac:dyDescent="0.35">
      <c r="A20" s="3" t="s">
        <v>608</v>
      </c>
      <c r="B20" s="3" t="s">
        <v>608</v>
      </c>
      <c r="C20" s="3" t="s">
        <v>608</v>
      </c>
      <c r="D20" s="3" t="s">
        <v>608</v>
      </c>
      <c r="E20" s="3" t="s">
        <v>608</v>
      </c>
      <c r="F20" s="3" t="s">
        <v>640</v>
      </c>
      <c r="G20" s="3" t="s">
        <v>1076</v>
      </c>
      <c r="H20">
        <v>14527786</v>
      </c>
      <c r="I20" s="3" t="s">
        <v>283</v>
      </c>
      <c r="J20" s="3" t="s">
        <v>640</v>
      </c>
      <c r="L20" s="3" t="s">
        <v>640</v>
      </c>
      <c r="M20" s="3" t="s">
        <v>640</v>
      </c>
      <c r="N20" s="3" t="s">
        <v>640</v>
      </c>
      <c r="O20">
        <v>1</v>
      </c>
      <c r="P20">
        <v>0.9</v>
      </c>
      <c r="Q20">
        <v>38682.379999999997</v>
      </c>
      <c r="R20">
        <v>0</v>
      </c>
      <c r="S20">
        <v>0</v>
      </c>
      <c r="T20" s="3" t="s">
        <v>1153</v>
      </c>
      <c r="U20">
        <v>1</v>
      </c>
      <c r="V20" s="3" t="s">
        <v>256</v>
      </c>
      <c r="W20" s="3" t="s">
        <v>640</v>
      </c>
      <c r="X20" s="3" t="s">
        <v>1767</v>
      </c>
      <c r="Y20" s="3" t="s">
        <v>1328</v>
      </c>
      <c r="Z20" s="3" t="s">
        <v>1793</v>
      </c>
      <c r="AA20" t="s">
        <v>1695</v>
      </c>
      <c r="AB20" s="3" t="s">
        <v>1766</v>
      </c>
      <c r="AC20" s="3" t="s">
        <v>640</v>
      </c>
      <c r="AD20" s="3" t="s">
        <v>640</v>
      </c>
    </row>
    <row r="21" spans="1:30" x14ac:dyDescent="0.35">
      <c r="A21" s="3" t="s">
        <v>608</v>
      </c>
      <c r="B21" s="3" t="s">
        <v>608</v>
      </c>
      <c r="C21" s="3" t="s">
        <v>608</v>
      </c>
      <c r="D21" s="3" t="s">
        <v>608</v>
      </c>
      <c r="E21" s="3" t="s">
        <v>608</v>
      </c>
      <c r="F21" s="3" t="s">
        <v>640</v>
      </c>
      <c r="G21" s="3" t="s">
        <v>1076</v>
      </c>
      <c r="H21">
        <v>-5979403</v>
      </c>
      <c r="I21" s="3" t="s">
        <v>283</v>
      </c>
      <c r="J21" s="3" t="s">
        <v>640</v>
      </c>
      <c r="L21" s="3" t="s">
        <v>640</v>
      </c>
      <c r="M21" s="3" t="s">
        <v>640</v>
      </c>
      <c r="N21" s="3" t="s">
        <v>640</v>
      </c>
      <c r="O21">
        <v>1</v>
      </c>
      <c r="P21">
        <v>0.9</v>
      </c>
      <c r="Q21">
        <v>-15921.05</v>
      </c>
      <c r="R21">
        <v>0</v>
      </c>
      <c r="S21">
        <v>0</v>
      </c>
      <c r="T21" s="3" t="s">
        <v>1153</v>
      </c>
      <c r="U21">
        <v>1</v>
      </c>
      <c r="V21" s="3" t="s">
        <v>449</v>
      </c>
      <c r="W21" s="3" t="s">
        <v>640</v>
      </c>
      <c r="X21" s="3" t="s">
        <v>1328</v>
      </c>
      <c r="Y21" s="3" t="s">
        <v>1328</v>
      </c>
      <c r="Z21" s="3" t="s">
        <v>1794</v>
      </c>
      <c r="AA21" t="s">
        <v>1696</v>
      </c>
      <c r="AB21" s="3" t="s">
        <v>1766</v>
      </c>
      <c r="AC21" s="3" t="s">
        <v>640</v>
      </c>
      <c r="AD21" s="3" t="s">
        <v>640</v>
      </c>
    </row>
    <row r="22" spans="1:30" x14ac:dyDescent="0.35">
      <c r="A22" s="3" t="s">
        <v>608</v>
      </c>
      <c r="B22" s="3" t="s">
        <v>608</v>
      </c>
      <c r="C22" s="3" t="s">
        <v>608</v>
      </c>
      <c r="D22" s="3" t="s">
        <v>608</v>
      </c>
      <c r="E22" s="3" t="s">
        <v>608</v>
      </c>
      <c r="F22" s="3" t="s">
        <v>640</v>
      </c>
      <c r="G22" s="3" t="s">
        <v>1076</v>
      </c>
      <c r="H22">
        <v>32161</v>
      </c>
      <c r="I22" s="3" t="s">
        <v>283</v>
      </c>
      <c r="J22" s="3" t="s">
        <v>640</v>
      </c>
      <c r="L22" s="3" t="s">
        <v>640</v>
      </c>
      <c r="M22" s="3" t="s">
        <v>640</v>
      </c>
      <c r="N22" s="3" t="s">
        <v>640</v>
      </c>
      <c r="O22">
        <v>1</v>
      </c>
      <c r="P22">
        <v>0.9</v>
      </c>
      <c r="Q22">
        <v>85.63</v>
      </c>
      <c r="R22">
        <v>0</v>
      </c>
      <c r="S22">
        <v>0</v>
      </c>
      <c r="T22" s="3" t="s">
        <v>1153</v>
      </c>
      <c r="U22">
        <v>1</v>
      </c>
      <c r="V22" s="3" t="s">
        <v>230</v>
      </c>
      <c r="W22" s="3" t="s">
        <v>640</v>
      </c>
      <c r="X22" s="3" t="s">
        <v>1328</v>
      </c>
      <c r="Y22" s="3" t="s">
        <v>1328</v>
      </c>
      <c r="Z22" s="3" t="s">
        <v>1795</v>
      </c>
      <c r="AA22" t="s">
        <v>1578</v>
      </c>
      <c r="AB22" s="3" t="s">
        <v>1766</v>
      </c>
      <c r="AC22" s="3" t="s">
        <v>640</v>
      </c>
      <c r="AD22" s="3" t="s">
        <v>640</v>
      </c>
    </row>
    <row r="23" spans="1:30" x14ac:dyDescent="0.35">
      <c r="A23" s="3" t="s">
        <v>608</v>
      </c>
      <c r="B23" s="3" t="s">
        <v>608</v>
      </c>
      <c r="C23" s="3" t="s">
        <v>608</v>
      </c>
      <c r="D23" s="3" t="s">
        <v>608</v>
      </c>
      <c r="E23" s="3" t="s">
        <v>608</v>
      </c>
      <c r="F23" s="3" t="s">
        <v>640</v>
      </c>
      <c r="G23" s="3" t="s">
        <v>1076</v>
      </c>
      <c r="H23">
        <v>-376668</v>
      </c>
      <c r="I23" s="3" t="s">
        <v>283</v>
      </c>
      <c r="J23" s="3" t="s">
        <v>640</v>
      </c>
      <c r="L23" s="3" t="s">
        <v>640</v>
      </c>
      <c r="M23" s="3" t="s">
        <v>640</v>
      </c>
      <c r="N23" s="3" t="s">
        <v>640</v>
      </c>
      <c r="O23">
        <v>1</v>
      </c>
      <c r="P23">
        <v>0.9</v>
      </c>
      <c r="Q23">
        <v>-1002.94</v>
      </c>
      <c r="R23">
        <v>0</v>
      </c>
      <c r="S23">
        <v>0</v>
      </c>
      <c r="T23" s="3" t="s">
        <v>1153</v>
      </c>
      <c r="U23">
        <v>1</v>
      </c>
      <c r="V23" s="3" t="s">
        <v>563</v>
      </c>
      <c r="W23" s="3" t="s">
        <v>640</v>
      </c>
      <c r="X23" s="3" t="s">
        <v>1328</v>
      </c>
      <c r="Y23" s="3" t="s">
        <v>1328</v>
      </c>
      <c r="Z23" s="3" t="s">
        <v>1796</v>
      </c>
      <c r="AA23" t="s">
        <v>1579</v>
      </c>
      <c r="AB23" s="3" t="s">
        <v>1766</v>
      </c>
      <c r="AC23" s="3" t="s">
        <v>640</v>
      </c>
      <c r="AD23" s="3" t="s">
        <v>640</v>
      </c>
    </row>
    <row r="24" spans="1:30" x14ac:dyDescent="0.35">
      <c r="A24" s="3" t="s">
        <v>608</v>
      </c>
      <c r="B24" s="3" t="s">
        <v>608</v>
      </c>
      <c r="C24" s="3" t="s">
        <v>608</v>
      </c>
      <c r="D24" s="3" t="s">
        <v>608</v>
      </c>
      <c r="E24" s="3" t="s">
        <v>608</v>
      </c>
      <c r="F24" s="3" t="s">
        <v>640</v>
      </c>
      <c r="G24" s="3" t="s">
        <v>1139</v>
      </c>
      <c r="H24">
        <v>-29124</v>
      </c>
      <c r="I24" s="3" t="s">
        <v>266</v>
      </c>
      <c r="J24" s="3" t="s">
        <v>640</v>
      </c>
      <c r="L24" s="3" t="s">
        <v>640</v>
      </c>
      <c r="M24" s="3" t="s">
        <v>640</v>
      </c>
      <c r="N24" s="3" t="s">
        <v>640</v>
      </c>
      <c r="O24">
        <v>1</v>
      </c>
      <c r="P24">
        <v>1.19</v>
      </c>
      <c r="Q24">
        <v>41.48</v>
      </c>
      <c r="R24">
        <v>0</v>
      </c>
      <c r="S24">
        <v>0</v>
      </c>
      <c r="T24" s="3" t="s">
        <v>1153</v>
      </c>
      <c r="U24">
        <v>1</v>
      </c>
      <c r="V24" s="3" t="s">
        <v>256</v>
      </c>
      <c r="W24" s="3" t="s">
        <v>640</v>
      </c>
      <c r="X24" s="3" t="s">
        <v>1328</v>
      </c>
      <c r="Y24" s="3" t="s">
        <v>1328</v>
      </c>
      <c r="Z24" s="3" t="s">
        <v>1797</v>
      </c>
      <c r="AA24" t="s">
        <v>1623</v>
      </c>
      <c r="AB24" s="3" t="s">
        <v>1768</v>
      </c>
      <c r="AC24" s="3" t="s">
        <v>640</v>
      </c>
      <c r="AD24" s="3" t="s">
        <v>640</v>
      </c>
    </row>
    <row r="25" spans="1:30" x14ac:dyDescent="0.35">
      <c r="A25" s="3" t="s">
        <v>608</v>
      </c>
      <c r="B25" s="3" t="s">
        <v>608</v>
      </c>
      <c r="C25" s="3" t="s">
        <v>608</v>
      </c>
      <c r="D25" s="3" t="s">
        <v>608</v>
      </c>
      <c r="E25" s="3" t="s">
        <v>608</v>
      </c>
      <c r="F25" s="3" t="s">
        <v>640</v>
      </c>
      <c r="G25" s="3" t="s">
        <v>1139</v>
      </c>
      <c r="H25">
        <v>13521246</v>
      </c>
      <c r="I25" s="3" t="s">
        <v>266</v>
      </c>
      <c r="J25" s="3" t="s">
        <v>640</v>
      </c>
      <c r="L25" s="3" t="s">
        <v>640</v>
      </c>
      <c r="M25" s="3" t="s">
        <v>640</v>
      </c>
      <c r="N25" s="3" t="s">
        <v>640</v>
      </c>
      <c r="O25">
        <v>1</v>
      </c>
      <c r="P25">
        <v>1.19</v>
      </c>
      <c r="Q25">
        <v>-19257.96</v>
      </c>
      <c r="R25">
        <v>0</v>
      </c>
      <c r="S25">
        <v>0</v>
      </c>
      <c r="T25" s="3" t="s">
        <v>1153</v>
      </c>
      <c r="U25">
        <v>1</v>
      </c>
      <c r="V25" s="3" t="s">
        <v>256</v>
      </c>
      <c r="W25" s="3" t="s">
        <v>640</v>
      </c>
      <c r="X25" s="3" t="s">
        <v>1730</v>
      </c>
      <c r="Y25" s="3" t="s">
        <v>1328</v>
      </c>
      <c r="Z25" s="3" t="s">
        <v>1798</v>
      </c>
      <c r="AA25" t="s">
        <v>1704</v>
      </c>
      <c r="AB25" s="3" t="s">
        <v>1768</v>
      </c>
      <c r="AC25" s="3" t="s">
        <v>640</v>
      </c>
      <c r="AD25" s="3" t="s">
        <v>640</v>
      </c>
    </row>
    <row r="26" spans="1:30" x14ac:dyDescent="0.35">
      <c r="A26" s="3" t="s">
        <v>608</v>
      </c>
      <c r="B26" s="3" t="s">
        <v>608</v>
      </c>
      <c r="C26" s="3" t="s">
        <v>608</v>
      </c>
      <c r="D26" s="3" t="s">
        <v>608</v>
      </c>
      <c r="E26" s="3" t="s">
        <v>608</v>
      </c>
      <c r="F26" s="3" t="s">
        <v>640</v>
      </c>
      <c r="G26" s="3" t="s">
        <v>1139</v>
      </c>
      <c r="H26">
        <v>4000</v>
      </c>
      <c r="I26" s="3" t="s">
        <v>266</v>
      </c>
      <c r="J26" s="3" t="s">
        <v>640</v>
      </c>
      <c r="L26" s="3" t="s">
        <v>640</v>
      </c>
      <c r="M26" s="3" t="s">
        <v>640</v>
      </c>
      <c r="N26" s="3" t="s">
        <v>640</v>
      </c>
      <c r="O26">
        <v>1</v>
      </c>
      <c r="P26">
        <v>1.19</v>
      </c>
      <c r="Q26">
        <v>-5.7</v>
      </c>
      <c r="R26">
        <v>0</v>
      </c>
      <c r="S26">
        <v>0</v>
      </c>
      <c r="T26" s="3" t="s">
        <v>1153</v>
      </c>
      <c r="U26">
        <v>1</v>
      </c>
      <c r="V26" s="3" t="s">
        <v>230</v>
      </c>
      <c r="W26" s="3" t="s">
        <v>640</v>
      </c>
      <c r="X26" s="3" t="s">
        <v>1328</v>
      </c>
      <c r="Y26" s="3" t="s">
        <v>1328</v>
      </c>
      <c r="Z26" s="3" t="s">
        <v>1799</v>
      </c>
      <c r="AA26" t="s">
        <v>1624</v>
      </c>
      <c r="AB26" s="3" t="s">
        <v>1768</v>
      </c>
      <c r="AC26" s="3" t="s">
        <v>640</v>
      </c>
      <c r="AD26" s="3" t="s">
        <v>640</v>
      </c>
    </row>
    <row r="27" spans="1:30" x14ac:dyDescent="0.35">
      <c r="A27" s="3" t="s">
        <v>608</v>
      </c>
      <c r="B27" s="3" t="s">
        <v>608</v>
      </c>
      <c r="C27" s="3" t="s">
        <v>608</v>
      </c>
      <c r="D27" s="3" t="s">
        <v>608</v>
      </c>
      <c r="E27" s="3" t="s">
        <v>608</v>
      </c>
      <c r="F27" s="3" t="s">
        <v>640</v>
      </c>
      <c r="G27" s="3" t="s">
        <v>1139</v>
      </c>
      <c r="H27">
        <v>3167167</v>
      </c>
      <c r="I27" s="3" t="s">
        <v>266</v>
      </c>
      <c r="J27" s="3" t="s">
        <v>640</v>
      </c>
      <c r="L27" s="3" t="s">
        <v>640</v>
      </c>
      <c r="M27" s="3" t="s">
        <v>640</v>
      </c>
      <c r="N27" s="3" t="s">
        <v>640</v>
      </c>
      <c r="O27">
        <v>1</v>
      </c>
      <c r="P27">
        <v>1.19</v>
      </c>
      <c r="Q27">
        <v>-4510.91</v>
      </c>
      <c r="R27">
        <v>0</v>
      </c>
      <c r="S27">
        <v>0</v>
      </c>
      <c r="T27" s="3" t="s">
        <v>1153</v>
      </c>
      <c r="U27">
        <v>1</v>
      </c>
      <c r="V27" s="3" t="s">
        <v>563</v>
      </c>
      <c r="W27" s="3" t="s">
        <v>640</v>
      </c>
      <c r="X27" s="3" t="s">
        <v>1328</v>
      </c>
      <c r="Y27" s="3" t="s">
        <v>1328</v>
      </c>
      <c r="Z27" s="3" t="s">
        <v>1800</v>
      </c>
      <c r="AA27" t="s">
        <v>1705</v>
      </c>
      <c r="AB27" s="3" t="s">
        <v>1768</v>
      </c>
      <c r="AC27" s="3" t="s">
        <v>640</v>
      </c>
      <c r="AD27" s="3" t="s">
        <v>640</v>
      </c>
    </row>
    <row r="28" spans="1:30" x14ac:dyDescent="0.35">
      <c r="A28" s="3" t="s">
        <v>608</v>
      </c>
      <c r="B28" s="3" t="s">
        <v>608</v>
      </c>
      <c r="C28" s="3" t="s">
        <v>608</v>
      </c>
      <c r="D28" s="3" t="s">
        <v>608</v>
      </c>
      <c r="E28" s="3" t="s">
        <v>608</v>
      </c>
      <c r="F28" s="3" t="s">
        <v>640</v>
      </c>
      <c r="G28" s="3" t="s">
        <v>1139</v>
      </c>
      <c r="H28">
        <v>-16720576</v>
      </c>
      <c r="I28" s="3" t="s">
        <v>266</v>
      </c>
      <c r="J28" s="3" t="s">
        <v>640</v>
      </c>
      <c r="L28" s="3" t="s">
        <v>640</v>
      </c>
      <c r="M28" s="3" t="s">
        <v>640</v>
      </c>
      <c r="N28" s="3" t="s">
        <v>640</v>
      </c>
      <c r="O28">
        <v>1</v>
      </c>
      <c r="P28">
        <v>1.19</v>
      </c>
      <c r="Q28">
        <v>23814.68</v>
      </c>
      <c r="R28">
        <v>0</v>
      </c>
      <c r="S28">
        <v>0</v>
      </c>
      <c r="T28" s="3" t="s">
        <v>1153</v>
      </c>
      <c r="U28">
        <v>1</v>
      </c>
      <c r="V28" s="3" t="s">
        <v>449</v>
      </c>
      <c r="W28" s="3" t="s">
        <v>640</v>
      </c>
      <c r="X28" s="3" t="s">
        <v>1769</v>
      </c>
      <c r="Y28" s="3" t="s">
        <v>1328</v>
      </c>
      <c r="Z28" s="3" t="s">
        <v>1801</v>
      </c>
      <c r="AA28" t="s">
        <v>1706</v>
      </c>
      <c r="AB28" s="3" t="s">
        <v>1768</v>
      </c>
      <c r="AC28" s="3" t="s">
        <v>640</v>
      </c>
      <c r="AD28" s="3" t="s">
        <v>640</v>
      </c>
    </row>
    <row r="29" spans="1:30" x14ac:dyDescent="0.35">
      <c r="A29" s="3" t="s">
        <v>608</v>
      </c>
      <c r="B29" s="3" t="s">
        <v>608</v>
      </c>
      <c r="C29" s="3" t="s">
        <v>608</v>
      </c>
      <c r="D29" s="3" t="s">
        <v>608</v>
      </c>
      <c r="E29" s="3" t="s">
        <v>608</v>
      </c>
      <c r="F29" s="3" t="s">
        <v>640</v>
      </c>
      <c r="G29" s="3" t="s">
        <v>1139</v>
      </c>
      <c r="H29">
        <v>13711</v>
      </c>
      <c r="I29" s="3" t="s">
        <v>266</v>
      </c>
      <c r="J29" s="3" t="s">
        <v>640</v>
      </c>
      <c r="L29" s="3" t="s">
        <v>640</v>
      </c>
      <c r="M29" s="3" t="s">
        <v>640</v>
      </c>
      <c r="N29" s="3" t="s">
        <v>640</v>
      </c>
      <c r="O29">
        <v>1</v>
      </c>
      <c r="P29">
        <v>1.19</v>
      </c>
      <c r="Q29">
        <v>-19.53</v>
      </c>
      <c r="R29">
        <v>0</v>
      </c>
      <c r="S29">
        <v>0</v>
      </c>
      <c r="T29" s="3" t="s">
        <v>1153</v>
      </c>
      <c r="U29">
        <v>1</v>
      </c>
      <c r="V29" s="3" t="s">
        <v>230</v>
      </c>
      <c r="W29" s="3" t="s">
        <v>640</v>
      </c>
      <c r="X29" s="3" t="s">
        <v>1328</v>
      </c>
      <c r="Y29" s="3" t="s">
        <v>1328</v>
      </c>
      <c r="Z29" s="3" t="s">
        <v>1802</v>
      </c>
      <c r="AA29" t="s">
        <v>1625</v>
      </c>
      <c r="AB29" s="3" t="s">
        <v>1768</v>
      </c>
      <c r="AC29" s="3" t="s">
        <v>640</v>
      </c>
      <c r="AD29" s="3" t="s">
        <v>640</v>
      </c>
    </row>
    <row r="30" spans="1:30" x14ac:dyDescent="0.35">
      <c r="A30" s="3" t="s">
        <v>608</v>
      </c>
      <c r="B30" s="3" t="s">
        <v>608</v>
      </c>
      <c r="C30" s="3" t="s">
        <v>608</v>
      </c>
      <c r="D30" s="3" t="s">
        <v>608</v>
      </c>
      <c r="E30" s="3" t="s">
        <v>608</v>
      </c>
      <c r="F30" s="3" t="s">
        <v>640</v>
      </c>
      <c r="G30" s="3" t="s">
        <v>1094</v>
      </c>
      <c r="H30">
        <v>-2000000</v>
      </c>
      <c r="I30" s="3" t="s">
        <v>588</v>
      </c>
      <c r="J30" s="3" t="s">
        <v>640</v>
      </c>
      <c r="L30" s="3" t="s">
        <v>640</v>
      </c>
      <c r="M30" s="3" t="s">
        <v>640</v>
      </c>
      <c r="N30" s="3" t="s">
        <v>351</v>
      </c>
      <c r="O30">
        <v>113.83</v>
      </c>
      <c r="P30">
        <v>113.83</v>
      </c>
      <c r="Q30">
        <v>-60.07</v>
      </c>
      <c r="R30">
        <v>0</v>
      </c>
      <c r="S30">
        <v>0</v>
      </c>
      <c r="T30" s="3" t="s">
        <v>448</v>
      </c>
      <c r="U30">
        <v>113.83</v>
      </c>
      <c r="V30" s="3" t="s">
        <v>449</v>
      </c>
      <c r="W30" s="3" t="s">
        <v>640</v>
      </c>
      <c r="X30" s="3" t="s">
        <v>1328</v>
      </c>
      <c r="Y30" s="3" t="s">
        <v>1328</v>
      </c>
      <c r="Z30" s="3" t="s">
        <v>1328</v>
      </c>
      <c r="AA30" t="s">
        <v>1542</v>
      </c>
      <c r="AB30" s="3" t="s">
        <v>1765</v>
      </c>
      <c r="AC30" s="3" t="s">
        <v>640</v>
      </c>
      <c r="AD30" s="3" t="s">
        <v>640</v>
      </c>
    </row>
    <row r="31" spans="1:30" x14ac:dyDescent="0.35">
      <c r="A31" s="3" t="s">
        <v>608</v>
      </c>
      <c r="B31" s="3" t="s">
        <v>608</v>
      </c>
      <c r="C31" s="3" t="s">
        <v>608</v>
      </c>
      <c r="D31" s="3" t="s">
        <v>608</v>
      </c>
      <c r="E31" s="3" t="s">
        <v>608</v>
      </c>
      <c r="F31" s="3" t="s">
        <v>640</v>
      </c>
      <c r="G31" s="3" t="s">
        <v>1240</v>
      </c>
      <c r="H31">
        <v>-400000</v>
      </c>
      <c r="I31" s="3" t="s">
        <v>1314</v>
      </c>
      <c r="J31" s="3" t="s">
        <v>640</v>
      </c>
      <c r="L31" s="3" t="s">
        <v>640</v>
      </c>
      <c r="M31" s="3" t="s">
        <v>640</v>
      </c>
      <c r="N31" s="3" t="s">
        <v>1237</v>
      </c>
      <c r="O31">
        <v>107.41</v>
      </c>
      <c r="P31">
        <v>107.41</v>
      </c>
      <c r="Q31">
        <v>-11.37</v>
      </c>
      <c r="R31">
        <v>0</v>
      </c>
      <c r="S31">
        <v>0</v>
      </c>
      <c r="T31" s="3" t="s">
        <v>448</v>
      </c>
      <c r="U31">
        <v>107.7</v>
      </c>
      <c r="V31" s="3" t="s">
        <v>449</v>
      </c>
      <c r="W31" s="3" t="s">
        <v>640</v>
      </c>
      <c r="X31" s="3" t="s">
        <v>1328</v>
      </c>
      <c r="Y31" s="3" t="s">
        <v>1328</v>
      </c>
      <c r="Z31" s="3" t="s">
        <v>1328</v>
      </c>
      <c r="AA31" t="s">
        <v>1518</v>
      </c>
      <c r="AB31" s="3" t="s">
        <v>1765</v>
      </c>
      <c r="AC31" s="3" t="s">
        <v>640</v>
      </c>
      <c r="AD31" s="3" t="s">
        <v>640</v>
      </c>
    </row>
    <row r="32" spans="1:30" x14ac:dyDescent="0.35">
      <c r="A32" s="3" t="s">
        <v>608</v>
      </c>
      <c r="B32" s="3" t="s">
        <v>608</v>
      </c>
      <c r="C32" s="3" t="s">
        <v>608</v>
      </c>
      <c r="D32" s="3" t="s">
        <v>608</v>
      </c>
      <c r="E32" s="3" t="s">
        <v>608</v>
      </c>
      <c r="F32" s="3" t="s">
        <v>640</v>
      </c>
      <c r="G32" s="3" t="s">
        <v>1360</v>
      </c>
      <c r="H32">
        <v>250000</v>
      </c>
      <c r="I32" s="3" t="s">
        <v>1405</v>
      </c>
      <c r="J32" s="3" t="s">
        <v>640</v>
      </c>
      <c r="L32" s="3" t="s">
        <v>640</v>
      </c>
      <c r="M32" s="3" t="s">
        <v>640</v>
      </c>
      <c r="N32" s="3" t="s">
        <v>1356</v>
      </c>
      <c r="O32">
        <v>83.67</v>
      </c>
      <c r="P32">
        <v>83.67</v>
      </c>
      <c r="Q32">
        <v>296.22000000000003</v>
      </c>
      <c r="R32">
        <v>0</v>
      </c>
      <c r="S32">
        <v>0</v>
      </c>
      <c r="T32" s="3" t="s">
        <v>448</v>
      </c>
      <c r="U32">
        <v>83.67</v>
      </c>
      <c r="V32" s="3" t="s">
        <v>449</v>
      </c>
      <c r="W32" s="3" t="s">
        <v>640</v>
      </c>
      <c r="X32" s="3" t="s">
        <v>1328</v>
      </c>
      <c r="Y32" s="3" t="s">
        <v>1328</v>
      </c>
      <c r="Z32" s="3" t="s">
        <v>1803</v>
      </c>
      <c r="AA32" t="s">
        <v>1525</v>
      </c>
      <c r="AB32" s="3" t="s">
        <v>1768</v>
      </c>
      <c r="AC32" s="3" t="s">
        <v>640</v>
      </c>
      <c r="AD32" s="3" t="s">
        <v>640</v>
      </c>
    </row>
    <row r="33" spans="1:30" x14ac:dyDescent="0.35">
      <c r="A33" s="3" t="s">
        <v>608</v>
      </c>
      <c r="B33" s="3" t="s">
        <v>608</v>
      </c>
      <c r="C33" s="3" t="s">
        <v>608</v>
      </c>
      <c r="D33" s="3" t="s">
        <v>608</v>
      </c>
      <c r="E33" s="3" t="s">
        <v>608</v>
      </c>
      <c r="F33" s="3" t="s">
        <v>640</v>
      </c>
      <c r="G33" s="3" t="s">
        <v>1055</v>
      </c>
      <c r="H33">
        <v>-1200000</v>
      </c>
      <c r="I33" s="3" t="s">
        <v>513</v>
      </c>
      <c r="J33" s="3" t="s">
        <v>640</v>
      </c>
      <c r="L33" s="3" t="s">
        <v>640</v>
      </c>
      <c r="M33" s="3" t="s">
        <v>640</v>
      </c>
      <c r="N33" s="3" t="s">
        <v>66</v>
      </c>
      <c r="O33">
        <v>107.24</v>
      </c>
      <c r="P33">
        <v>107.24</v>
      </c>
      <c r="Q33">
        <v>-34</v>
      </c>
      <c r="R33">
        <v>0</v>
      </c>
      <c r="S33">
        <v>0</v>
      </c>
      <c r="T33" s="3" t="s">
        <v>448</v>
      </c>
      <c r="U33">
        <v>107.36</v>
      </c>
      <c r="V33" s="3" t="s">
        <v>449</v>
      </c>
      <c r="W33" s="3" t="s">
        <v>640</v>
      </c>
      <c r="X33" s="3" t="s">
        <v>1328</v>
      </c>
      <c r="Y33" s="3" t="s">
        <v>1328</v>
      </c>
      <c r="Z33" s="3" t="s">
        <v>1328</v>
      </c>
      <c r="AA33" t="s">
        <v>1553</v>
      </c>
      <c r="AB33" s="3" t="s">
        <v>1765</v>
      </c>
      <c r="AC33" s="3" t="s">
        <v>640</v>
      </c>
      <c r="AD33" s="3" t="s">
        <v>640</v>
      </c>
    </row>
    <row r="34" spans="1:30" x14ac:dyDescent="0.35">
      <c r="A34" s="3" t="s">
        <v>608</v>
      </c>
      <c r="B34" s="3" t="s">
        <v>608</v>
      </c>
      <c r="C34" s="3" t="s">
        <v>608</v>
      </c>
      <c r="D34" s="3" t="s">
        <v>608</v>
      </c>
      <c r="E34" s="3" t="s">
        <v>608</v>
      </c>
      <c r="F34" s="3" t="s">
        <v>640</v>
      </c>
      <c r="G34" s="3" t="s">
        <v>1119</v>
      </c>
      <c r="H34">
        <v>3615000</v>
      </c>
      <c r="I34" s="3" t="s">
        <v>511</v>
      </c>
      <c r="J34" s="3" t="s">
        <v>640</v>
      </c>
      <c r="L34" s="3" t="s">
        <v>640</v>
      </c>
      <c r="M34" s="3" t="s">
        <v>640</v>
      </c>
      <c r="N34" s="3" t="s">
        <v>386</v>
      </c>
      <c r="O34">
        <v>78.58</v>
      </c>
      <c r="P34">
        <v>78.58</v>
      </c>
      <c r="Q34">
        <v>4022.22</v>
      </c>
      <c r="R34">
        <v>0</v>
      </c>
      <c r="S34">
        <v>0</v>
      </c>
      <c r="T34" s="3" t="s">
        <v>448</v>
      </c>
      <c r="U34">
        <v>78.569999999999993</v>
      </c>
      <c r="V34" s="3" t="s">
        <v>449</v>
      </c>
      <c r="W34" s="3" t="s">
        <v>640</v>
      </c>
      <c r="X34" s="3" t="s">
        <v>1328</v>
      </c>
      <c r="Y34" s="3" t="s">
        <v>1328</v>
      </c>
      <c r="Z34" s="3" t="s">
        <v>1804</v>
      </c>
      <c r="AA34" t="s">
        <v>1601</v>
      </c>
      <c r="AB34" s="3" t="s">
        <v>1768</v>
      </c>
      <c r="AC34" s="3" t="s">
        <v>640</v>
      </c>
      <c r="AD34" s="3" t="s">
        <v>640</v>
      </c>
    </row>
    <row r="35" spans="1:30" x14ac:dyDescent="0.35">
      <c r="A35" s="3" t="s">
        <v>608</v>
      </c>
      <c r="B35" s="3" t="s">
        <v>608</v>
      </c>
      <c r="C35" s="3" t="s">
        <v>608</v>
      </c>
      <c r="D35" s="3" t="s">
        <v>608</v>
      </c>
      <c r="E35" s="3" t="s">
        <v>608</v>
      </c>
      <c r="F35" s="3" t="s">
        <v>640</v>
      </c>
      <c r="G35" s="3" t="s">
        <v>1059</v>
      </c>
      <c r="H35">
        <v>2400000</v>
      </c>
      <c r="I35" s="3" t="s">
        <v>526</v>
      </c>
      <c r="J35" s="3" t="s">
        <v>640</v>
      </c>
      <c r="L35" s="3" t="s">
        <v>640</v>
      </c>
      <c r="M35" s="3" t="s">
        <v>640</v>
      </c>
      <c r="N35" s="3" t="s">
        <v>307</v>
      </c>
      <c r="O35">
        <v>84.17</v>
      </c>
      <c r="P35">
        <v>84.17</v>
      </c>
      <c r="Q35">
        <v>16.77</v>
      </c>
      <c r="R35">
        <v>0</v>
      </c>
      <c r="S35">
        <v>0</v>
      </c>
      <c r="T35" s="3" t="s">
        <v>448</v>
      </c>
      <c r="U35">
        <v>83.85</v>
      </c>
      <c r="V35" s="3" t="s">
        <v>449</v>
      </c>
      <c r="W35" s="3" t="s">
        <v>640</v>
      </c>
      <c r="X35" s="3" t="s">
        <v>1328</v>
      </c>
      <c r="Y35" s="3" t="s">
        <v>1328</v>
      </c>
      <c r="Z35" s="3" t="s">
        <v>1328</v>
      </c>
      <c r="AA35" t="s">
        <v>1558</v>
      </c>
      <c r="AB35" s="3" t="s">
        <v>1765</v>
      </c>
      <c r="AC35" s="3" t="s">
        <v>640</v>
      </c>
      <c r="AD35" s="3" t="s">
        <v>640</v>
      </c>
    </row>
    <row r="36" spans="1:30" x14ac:dyDescent="0.35">
      <c r="A36" s="3" t="s">
        <v>608</v>
      </c>
      <c r="B36" s="3" t="s">
        <v>608</v>
      </c>
      <c r="C36" s="3" t="s">
        <v>608</v>
      </c>
      <c r="D36" s="3" t="s">
        <v>608</v>
      </c>
      <c r="E36" s="3" t="s">
        <v>608</v>
      </c>
      <c r="F36" s="3" t="s">
        <v>640</v>
      </c>
      <c r="G36" s="3" t="s">
        <v>1130</v>
      </c>
      <c r="H36">
        <v>-2600000</v>
      </c>
      <c r="I36" s="3" t="s">
        <v>557</v>
      </c>
      <c r="J36" s="3" t="s">
        <v>640</v>
      </c>
      <c r="L36" s="3" t="s">
        <v>640</v>
      </c>
      <c r="M36" s="3" t="s">
        <v>640</v>
      </c>
      <c r="N36" s="3" t="s">
        <v>393</v>
      </c>
      <c r="O36">
        <v>101.54</v>
      </c>
      <c r="P36">
        <v>101.54</v>
      </c>
      <c r="Q36">
        <v>-69.67</v>
      </c>
      <c r="R36">
        <v>0</v>
      </c>
      <c r="S36">
        <v>0</v>
      </c>
      <c r="T36" s="3" t="s">
        <v>448</v>
      </c>
      <c r="U36">
        <v>101.54</v>
      </c>
      <c r="V36" s="3" t="s">
        <v>449</v>
      </c>
      <c r="W36" s="3" t="s">
        <v>640</v>
      </c>
      <c r="X36" s="3" t="s">
        <v>1328</v>
      </c>
      <c r="Y36" s="3" t="s">
        <v>1328</v>
      </c>
      <c r="Z36" s="3" t="s">
        <v>1328</v>
      </c>
      <c r="AA36" t="s">
        <v>1597</v>
      </c>
      <c r="AB36" s="3" t="s">
        <v>1765</v>
      </c>
      <c r="AC36" s="3" t="s">
        <v>640</v>
      </c>
      <c r="AD36" s="3" t="s">
        <v>640</v>
      </c>
    </row>
    <row r="37" spans="1:30" x14ac:dyDescent="0.35">
      <c r="A37" s="3" t="s">
        <v>608</v>
      </c>
      <c r="B37" s="3" t="s">
        <v>608</v>
      </c>
      <c r="C37" s="3" t="s">
        <v>608</v>
      </c>
      <c r="D37" s="3" t="s">
        <v>608</v>
      </c>
      <c r="E37" s="3" t="s">
        <v>608</v>
      </c>
      <c r="F37" s="3" t="s">
        <v>640</v>
      </c>
      <c r="G37" s="3" t="s">
        <v>1021</v>
      </c>
      <c r="H37">
        <v>5700000</v>
      </c>
      <c r="I37" s="3" t="s">
        <v>469</v>
      </c>
      <c r="J37" s="3" t="s">
        <v>640</v>
      </c>
      <c r="L37" s="3" t="s">
        <v>640</v>
      </c>
      <c r="M37" s="3" t="s">
        <v>640</v>
      </c>
      <c r="N37" s="3" t="s">
        <v>273</v>
      </c>
      <c r="O37">
        <v>76.2</v>
      </c>
      <c r="P37">
        <v>75.81</v>
      </c>
      <c r="Q37">
        <v>42.51</v>
      </c>
      <c r="R37">
        <v>0</v>
      </c>
      <c r="S37">
        <v>0</v>
      </c>
      <c r="T37" s="3" t="s">
        <v>448</v>
      </c>
      <c r="U37">
        <v>76.2</v>
      </c>
      <c r="V37" s="3" t="s">
        <v>449</v>
      </c>
      <c r="W37" s="3" t="s">
        <v>640</v>
      </c>
      <c r="X37" s="3" t="s">
        <v>1328</v>
      </c>
      <c r="Y37" s="3" t="s">
        <v>1328</v>
      </c>
      <c r="Z37" s="3" t="s">
        <v>1328</v>
      </c>
      <c r="AA37" t="s">
        <v>1522</v>
      </c>
      <c r="AB37" s="3" t="s">
        <v>1765</v>
      </c>
      <c r="AC37" s="3" t="s">
        <v>640</v>
      </c>
      <c r="AD37" s="3" t="s">
        <v>640</v>
      </c>
    </row>
    <row r="38" spans="1:30" x14ac:dyDescent="0.35">
      <c r="A38" s="3" t="s">
        <v>608</v>
      </c>
      <c r="B38" s="3" t="s">
        <v>608</v>
      </c>
      <c r="C38" s="3" t="s">
        <v>608</v>
      </c>
      <c r="D38" s="3" t="s">
        <v>608</v>
      </c>
      <c r="E38" s="3" t="s">
        <v>608</v>
      </c>
      <c r="F38" s="3" t="s">
        <v>640</v>
      </c>
      <c r="G38" s="3" t="s">
        <v>1050</v>
      </c>
      <c r="H38">
        <v>1800000</v>
      </c>
      <c r="I38" s="3" t="s">
        <v>480</v>
      </c>
      <c r="J38" s="3" t="s">
        <v>640</v>
      </c>
      <c r="L38" s="3" t="s">
        <v>640</v>
      </c>
      <c r="M38" s="3" t="s">
        <v>640</v>
      </c>
      <c r="N38" s="3" t="s">
        <v>84</v>
      </c>
      <c r="O38">
        <v>90.67</v>
      </c>
      <c r="P38">
        <v>90.67</v>
      </c>
      <c r="Q38">
        <v>11.33</v>
      </c>
      <c r="R38">
        <v>0</v>
      </c>
      <c r="S38">
        <v>0</v>
      </c>
      <c r="T38" s="3" t="s">
        <v>448</v>
      </c>
      <c r="U38">
        <v>90.67</v>
      </c>
      <c r="V38" s="3" t="s">
        <v>449</v>
      </c>
      <c r="W38" s="3" t="s">
        <v>640</v>
      </c>
      <c r="X38" s="3" t="s">
        <v>1328</v>
      </c>
      <c r="Y38" s="3" t="s">
        <v>1328</v>
      </c>
      <c r="Z38" s="3" t="s">
        <v>1328</v>
      </c>
      <c r="AA38" t="s">
        <v>1548</v>
      </c>
      <c r="AB38" s="3" t="s">
        <v>1765</v>
      </c>
      <c r="AC38" s="3" t="s">
        <v>640</v>
      </c>
      <c r="AD38" s="3" t="s">
        <v>640</v>
      </c>
    </row>
    <row r="39" spans="1:30" x14ac:dyDescent="0.35">
      <c r="A39" s="3" t="s">
        <v>608</v>
      </c>
      <c r="B39" s="3" t="s">
        <v>608</v>
      </c>
      <c r="C39" s="3" t="s">
        <v>608</v>
      </c>
      <c r="D39" s="3" t="s">
        <v>608</v>
      </c>
      <c r="E39" s="3" t="s">
        <v>608</v>
      </c>
      <c r="F39" s="3" t="s">
        <v>640</v>
      </c>
      <c r="G39" s="3" t="s">
        <v>1038</v>
      </c>
      <c r="H39">
        <v>-2916000</v>
      </c>
      <c r="I39" s="3" t="s">
        <v>848</v>
      </c>
      <c r="J39" s="3" t="s">
        <v>640</v>
      </c>
      <c r="L39" s="3" t="s">
        <v>640</v>
      </c>
      <c r="M39" s="3" t="s">
        <v>640</v>
      </c>
      <c r="N39" s="3" t="s">
        <v>601</v>
      </c>
      <c r="O39">
        <v>102.29</v>
      </c>
      <c r="P39">
        <v>102.29</v>
      </c>
      <c r="Q39">
        <v>-79.12</v>
      </c>
      <c r="R39">
        <v>0</v>
      </c>
      <c r="S39">
        <v>0</v>
      </c>
      <c r="T39" s="3" t="s">
        <v>448</v>
      </c>
      <c r="U39">
        <v>102.82</v>
      </c>
      <c r="V39" s="3" t="s">
        <v>449</v>
      </c>
      <c r="W39" s="3" t="s">
        <v>640</v>
      </c>
      <c r="X39" s="3" t="s">
        <v>1328</v>
      </c>
      <c r="Y39" s="3" t="s">
        <v>1328</v>
      </c>
      <c r="Z39" s="3" t="s">
        <v>1328</v>
      </c>
      <c r="AA39" t="s">
        <v>1536</v>
      </c>
      <c r="AB39" s="3" t="s">
        <v>1765</v>
      </c>
      <c r="AC39" s="3" t="s">
        <v>640</v>
      </c>
      <c r="AD39" s="3" t="s">
        <v>640</v>
      </c>
    </row>
    <row r="40" spans="1:30" x14ac:dyDescent="0.35">
      <c r="A40" s="3" t="s">
        <v>608</v>
      </c>
      <c r="B40" s="3" t="s">
        <v>608</v>
      </c>
      <c r="C40" s="3" t="s">
        <v>608</v>
      </c>
      <c r="D40" s="3" t="s">
        <v>608</v>
      </c>
      <c r="E40" s="3" t="s">
        <v>608</v>
      </c>
      <c r="F40" s="3" t="s">
        <v>640</v>
      </c>
      <c r="G40" s="3" t="s">
        <v>1098</v>
      </c>
      <c r="H40">
        <v>-2381000</v>
      </c>
      <c r="I40" s="3" t="s">
        <v>556</v>
      </c>
      <c r="J40" s="3" t="s">
        <v>640</v>
      </c>
      <c r="L40" s="3" t="s">
        <v>640</v>
      </c>
      <c r="M40" s="3" t="s">
        <v>640</v>
      </c>
      <c r="N40" s="3" t="s">
        <v>353</v>
      </c>
      <c r="O40">
        <v>102.75</v>
      </c>
      <c r="P40">
        <v>102.75</v>
      </c>
      <c r="Q40">
        <v>-65.459999999999994</v>
      </c>
      <c r="R40">
        <v>0</v>
      </c>
      <c r="S40">
        <v>0</v>
      </c>
      <c r="T40" s="3" t="s">
        <v>448</v>
      </c>
      <c r="U40">
        <v>104.19</v>
      </c>
      <c r="V40" s="3" t="s">
        <v>449</v>
      </c>
      <c r="W40" s="3" t="s">
        <v>640</v>
      </c>
      <c r="X40" s="3" t="s">
        <v>1328</v>
      </c>
      <c r="Y40" s="3" t="s">
        <v>1328</v>
      </c>
      <c r="Z40" s="3" t="s">
        <v>1328</v>
      </c>
      <c r="AA40" t="s">
        <v>1589</v>
      </c>
      <c r="AB40" s="3" t="s">
        <v>1765</v>
      </c>
      <c r="AC40" s="3" t="s">
        <v>640</v>
      </c>
      <c r="AD40" s="3" t="s">
        <v>640</v>
      </c>
    </row>
    <row r="41" spans="1:30" x14ac:dyDescent="0.35">
      <c r="A41" s="3" t="s">
        <v>608</v>
      </c>
      <c r="B41" s="3" t="s">
        <v>608</v>
      </c>
      <c r="C41" s="3" t="s">
        <v>608</v>
      </c>
      <c r="D41" s="3" t="s">
        <v>608</v>
      </c>
      <c r="E41" s="3" t="s">
        <v>608</v>
      </c>
      <c r="F41" s="3" t="s">
        <v>640</v>
      </c>
      <c r="G41" s="3" t="s">
        <v>1057</v>
      </c>
      <c r="H41">
        <v>5394000</v>
      </c>
      <c r="I41" s="3" t="s">
        <v>911</v>
      </c>
      <c r="J41" s="3" t="s">
        <v>640</v>
      </c>
      <c r="L41" s="3" t="s">
        <v>640</v>
      </c>
      <c r="M41" s="3" t="s">
        <v>640</v>
      </c>
      <c r="N41" s="3" t="s">
        <v>319</v>
      </c>
      <c r="O41">
        <v>78.989999999999995</v>
      </c>
      <c r="P41">
        <v>78.989999999999995</v>
      </c>
      <c r="Q41">
        <v>-11377.63</v>
      </c>
      <c r="R41">
        <v>0</v>
      </c>
      <c r="S41">
        <v>0</v>
      </c>
      <c r="T41" s="3" t="s">
        <v>448</v>
      </c>
      <c r="U41">
        <v>78.900000000000006</v>
      </c>
      <c r="V41" s="3" t="s">
        <v>449</v>
      </c>
      <c r="W41" s="3" t="s">
        <v>640</v>
      </c>
      <c r="X41" s="3" t="s">
        <v>1328</v>
      </c>
      <c r="Y41" s="3" t="s">
        <v>1328</v>
      </c>
      <c r="Z41" s="3" t="s">
        <v>1805</v>
      </c>
      <c r="AA41" t="s">
        <v>1555</v>
      </c>
      <c r="AB41" s="3" t="s">
        <v>1766</v>
      </c>
      <c r="AC41" s="3" t="s">
        <v>640</v>
      </c>
      <c r="AD41" s="3" t="s">
        <v>640</v>
      </c>
    </row>
    <row r="42" spans="1:30" x14ac:dyDescent="0.35">
      <c r="A42" s="3" t="s">
        <v>608</v>
      </c>
      <c r="B42" s="3" t="s">
        <v>608</v>
      </c>
      <c r="C42" s="3" t="s">
        <v>608</v>
      </c>
      <c r="D42" s="3" t="s">
        <v>608</v>
      </c>
      <c r="E42" s="3" t="s">
        <v>608</v>
      </c>
      <c r="F42" s="3" t="s">
        <v>640</v>
      </c>
      <c r="G42" s="3" t="s">
        <v>1045</v>
      </c>
      <c r="H42">
        <v>-700000</v>
      </c>
      <c r="I42" s="3" t="s">
        <v>585</v>
      </c>
      <c r="J42" s="3" t="s">
        <v>640</v>
      </c>
      <c r="L42" s="3" t="s">
        <v>640</v>
      </c>
      <c r="M42" s="3" t="s">
        <v>640</v>
      </c>
      <c r="N42" s="3" t="s">
        <v>301</v>
      </c>
      <c r="O42">
        <v>116.19</v>
      </c>
      <c r="P42">
        <v>116.3</v>
      </c>
      <c r="Q42">
        <v>-61.35</v>
      </c>
      <c r="R42">
        <v>0</v>
      </c>
      <c r="S42">
        <v>0</v>
      </c>
      <c r="T42" s="3" t="s">
        <v>448</v>
      </c>
      <c r="U42">
        <v>120.81</v>
      </c>
      <c r="V42" s="3" t="s">
        <v>449</v>
      </c>
      <c r="W42" s="3" t="s">
        <v>640</v>
      </c>
      <c r="X42" s="3" t="s">
        <v>1328</v>
      </c>
      <c r="Y42" s="3" t="s">
        <v>1328</v>
      </c>
      <c r="Z42" s="3" t="s">
        <v>1328</v>
      </c>
      <c r="AA42" t="s">
        <v>1542</v>
      </c>
      <c r="AB42" s="3" t="s">
        <v>1765</v>
      </c>
      <c r="AC42" s="3" t="s">
        <v>640</v>
      </c>
      <c r="AD42" s="3" t="s">
        <v>640</v>
      </c>
    </row>
    <row r="43" spans="1:30" x14ac:dyDescent="0.35">
      <c r="A43" s="3" t="s">
        <v>608</v>
      </c>
      <c r="B43" s="3" t="s">
        <v>608</v>
      </c>
      <c r="C43" s="3" t="s">
        <v>608</v>
      </c>
      <c r="D43" s="3" t="s">
        <v>608</v>
      </c>
      <c r="E43" s="3" t="s">
        <v>608</v>
      </c>
      <c r="F43" s="3" t="s">
        <v>640</v>
      </c>
      <c r="G43" s="3" t="s">
        <v>1130</v>
      </c>
      <c r="H43">
        <v>1000000</v>
      </c>
      <c r="I43" s="3" t="s">
        <v>531</v>
      </c>
      <c r="J43" s="3" t="s">
        <v>640</v>
      </c>
      <c r="L43" s="3" t="s">
        <v>640</v>
      </c>
      <c r="M43" s="3" t="s">
        <v>640</v>
      </c>
      <c r="N43" s="3" t="s">
        <v>400</v>
      </c>
      <c r="O43">
        <v>86.06</v>
      </c>
      <c r="P43">
        <v>86.06</v>
      </c>
      <c r="Q43">
        <v>34.56</v>
      </c>
      <c r="R43">
        <v>0</v>
      </c>
      <c r="S43">
        <v>0</v>
      </c>
      <c r="T43" s="3" t="s">
        <v>448</v>
      </c>
      <c r="U43">
        <v>84.57</v>
      </c>
      <c r="V43" s="3" t="s">
        <v>449</v>
      </c>
      <c r="W43" s="3" t="s">
        <v>640</v>
      </c>
      <c r="X43" s="3" t="s">
        <v>1328</v>
      </c>
      <c r="Y43" s="3" t="s">
        <v>1328</v>
      </c>
      <c r="Z43" s="3" t="s">
        <v>1328</v>
      </c>
      <c r="AA43" t="s">
        <v>1612</v>
      </c>
      <c r="AB43" s="3" t="s">
        <v>1765</v>
      </c>
      <c r="AC43" s="3" t="s">
        <v>640</v>
      </c>
      <c r="AD43" s="3" t="s">
        <v>640</v>
      </c>
    </row>
    <row r="44" spans="1:30" x14ac:dyDescent="0.35">
      <c r="A44" s="3" t="s">
        <v>608</v>
      </c>
      <c r="B44" s="3" t="s">
        <v>608</v>
      </c>
      <c r="C44" s="3" t="s">
        <v>608</v>
      </c>
      <c r="D44" s="3" t="s">
        <v>608</v>
      </c>
      <c r="E44" s="3" t="s">
        <v>608</v>
      </c>
      <c r="F44" s="3" t="s">
        <v>640</v>
      </c>
      <c r="G44" s="3" t="s">
        <v>1131</v>
      </c>
      <c r="H44">
        <v>-1800000</v>
      </c>
      <c r="I44" s="3" t="s">
        <v>902</v>
      </c>
      <c r="J44" s="3" t="s">
        <v>640</v>
      </c>
      <c r="L44" s="3" t="s">
        <v>640</v>
      </c>
      <c r="M44" s="3" t="s">
        <v>640</v>
      </c>
      <c r="N44" s="3" t="s">
        <v>402</v>
      </c>
      <c r="O44">
        <v>103.64</v>
      </c>
      <c r="P44">
        <v>103.64</v>
      </c>
      <c r="Q44">
        <v>-50.47</v>
      </c>
      <c r="R44">
        <v>0</v>
      </c>
      <c r="S44">
        <v>0</v>
      </c>
      <c r="T44" s="3" t="s">
        <v>448</v>
      </c>
      <c r="U44">
        <v>106.26</v>
      </c>
      <c r="V44" s="3" t="s">
        <v>449</v>
      </c>
      <c r="W44" s="3" t="s">
        <v>640</v>
      </c>
      <c r="X44" s="3" t="s">
        <v>1328</v>
      </c>
      <c r="Y44" s="3" t="s">
        <v>1328</v>
      </c>
      <c r="Z44" s="3" t="s">
        <v>1328</v>
      </c>
      <c r="AA44" t="s">
        <v>1613</v>
      </c>
      <c r="AB44" s="3" t="s">
        <v>1765</v>
      </c>
      <c r="AC44" s="3" t="s">
        <v>640</v>
      </c>
      <c r="AD44" s="3" t="s">
        <v>640</v>
      </c>
    </row>
    <row r="45" spans="1:30" x14ac:dyDescent="0.35">
      <c r="A45" s="3" t="s">
        <v>608</v>
      </c>
      <c r="B45" s="3" t="s">
        <v>608</v>
      </c>
      <c r="C45" s="3" t="s">
        <v>608</v>
      </c>
      <c r="D45" s="3" t="s">
        <v>608</v>
      </c>
      <c r="E45" s="3" t="s">
        <v>608</v>
      </c>
      <c r="F45" s="3" t="s">
        <v>640</v>
      </c>
      <c r="G45" s="3" t="s">
        <v>1151</v>
      </c>
      <c r="H45">
        <v>-8689000</v>
      </c>
      <c r="I45" s="3" t="s">
        <v>548</v>
      </c>
      <c r="J45" s="3" t="s">
        <v>640</v>
      </c>
      <c r="L45" s="3" t="s">
        <v>640</v>
      </c>
      <c r="M45" s="3" t="s">
        <v>640</v>
      </c>
      <c r="N45" s="3" t="s">
        <v>437</v>
      </c>
      <c r="O45">
        <v>112.72</v>
      </c>
      <c r="P45">
        <v>111.2</v>
      </c>
      <c r="Q45">
        <v>-13951.58</v>
      </c>
      <c r="R45">
        <v>0</v>
      </c>
      <c r="S45">
        <v>0</v>
      </c>
      <c r="T45" s="3" t="s">
        <v>448</v>
      </c>
      <c r="U45">
        <v>112.04</v>
      </c>
      <c r="V45" s="3" t="s">
        <v>449</v>
      </c>
      <c r="W45" s="3" t="s">
        <v>640</v>
      </c>
      <c r="X45" s="3" t="s">
        <v>1745</v>
      </c>
      <c r="Y45" s="3" t="s">
        <v>1328</v>
      </c>
      <c r="Z45" s="3" t="s">
        <v>1806</v>
      </c>
      <c r="AA45" t="s">
        <v>1634</v>
      </c>
      <c r="AB45" s="3" t="s">
        <v>1768</v>
      </c>
      <c r="AC45" s="3" t="s">
        <v>640</v>
      </c>
      <c r="AD45" s="3" t="s">
        <v>640</v>
      </c>
    </row>
    <row r="46" spans="1:30" x14ac:dyDescent="0.35">
      <c r="A46" s="3" t="s">
        <v>608</v>
      </c>
      <c r="B46" s="3" t="s">
        <v>608</v>
      </c>
      <c r="C46" s="3" t="s">
        <v>608</v>
      </c>
      <c r="D46" s="3" t="s">
        <v>608</v>
      </c>
      <c r="E46" s="3" t="s">
        <v>608</v>
      </c>
      <c r="F46" s="3" t="s">
        <v>640</v>
      </c>
      <c r="G46" s="3" t="s">
        <v>1053</v>
      </c>
      <c r="H46">
        <v>850000</v>
      </c>
      <c r="I46" s="3" t="s">
        <v>559</v>
      </c>
      <c r="J46" s="3" t="s">
        <v>640</v>
      </c>
      <c r="L46" s="3" t="s">
        <v>640</v>
      </c>
      <c r="M46" s="3" t="s">
        <v>640</v>
      </c>
      <c r="N46" s="3" t="s">
        <v>311</v>
      </c>
      <c r="O46">
        <v>80.59</v>
      </c>
      <c r="P46">
        <v>80.59</v>
      </c>
      <c r="Q46">
        <v>970.7</v>
      </c>
      <c r="R46">
        <v>0</v>
      </c>
      <c r="S46">
        <v>0</v>
      </c>
      <c r="T46" s="3" t="s">
        <v>448</v>
      </c>
      <c r="U46">
        <v>80.64</v>
      </c>
      <c r="V46" s="3" t="s">
        <v>449</v>
      </c>
      <c r="W46" s="3" t="s">
        <v>640</v>
      </c>
      <c r="X46" s="3" t="s">
        <v>1328</v>
      </c>
      <c r="Y46" s="3" t="s">
        <v>1328</v>
      </c>
      <c r="Z46" s="3" t="s">
        <v>1807</v>
      </c>
      <c r="AA46" t="s">
        <v>1551</v>
      </c>
      <c r="AB46" s="3" t="s">
        <v>1768</v>
      </c>
      <c r="AC46" s="3" t="s">
        <v>640</v>
      </c>
      <c r="AD46" s="3" t="s">
        <v>640</v>
      </c>
    </row>
    <row r="47" spans="1:30" x14ac:dyDescent="0.35">
      <c r="A47" s="3" t="s">
        <v>608</v>
      </c>
      <c r="B47" s="3" t="s">
        <v>608</v>
      </c>
      <c r="C47" s="3" t="s">
        <v>608</v>
      </c>
      <c r="D47" s="3" t="s">
        <v>608</v>
      </c>
      <c r="E47" s="3" t="s">
        <v>608</v>
      </c>
      <c r="F47" s="3" t="s">
        <v>640</v>
      </c>
      <c r="G47" s="3" t="s">
        <v>1047</v>
      </c>
      <c r="H47">
        <v>3100000</v>
      </c>
      <c r="I47" s="3" t="s">
        <v>951</v>
      </c>
      <c r="J47" s="3" t="s">
        <v>640</v>
      </c>
      <c r="L47" s="3" t="s">
        <v>640</v>
      </c>
      <c r="M47" s="3" t="s">
        <v>640</v>
      </c>
      <c r="N47" s="3" t="s">
        <v>948</v>
      </c>
      <c r="O47">
        <v>79.5</v>
      </c>
      <c r="P47">
        <v>80.459999999999994</v>
      </c>
      <c r="Q47">
        <v>3515.85</v>
      </c>
      <c r="R47">
        <v>0</v>
      </c>
      <c r="S47">
        <v>0</v>
      </c>
      <c r="T47" s="3" t="s">
        <v>448</v>
      </c>
      <c r="U47">
        <v>79.84</v>
      </c>
      <c r="V47" s="3" t="s">
        <v>449</v>
      </c>
      <c r="W47" s="3" t="s">
        <v>640</v>
      </c>
      <c r="X47" s="3" t="s">
        <v>1328</v>
      </c>
      <c r="Y47" s="3" t="s">
        <v>1328</v>
      </c>
      <c r="Z47" s="3" t="s">
        <v>1808</v>
      </c>
      <c r="AA47" t="s">
        <v>1535</v>
      </c>
      <c r="AB47" s="3" t="s">
        <v>1768</v>
      </c>
      <c r="AC47" s="3" t="s">
        <v>640</v>
      </c>
      <c r="AD47" s="3" t="s">
        <v>640</v>
      </c>
    </row>
    <row r="48" spans="1:30" x14ac:dyDescent="0.35">
      <c r="A48" s="3" t="s">
        <v>608</v>
      </c>
      <c r="B48" s="3" t="s">
        <v>608</v>
      </c>
      <c r="C48" s="3" t="s">
        <v>608</v>
      </c>
      <c r="D48" s="3" t="s">
        <v>608</v>
      </c>
      <c r="E48" s="3" t="s">
        <v>608</v>
      </c>
      <c r="F48" s="3" t="s">
        <v>640</v>
      </c>
      <c r="G48" s="3" t="s">
        <v>1137</v>
      </c>
      <c r="H48">
        <v>-748000</v>
      </c>
      <c r="I48" s="3" t="s">
        <v>952</v>
      </c>
      <c r="J48" s="3" t="s">
        <v>640</v>
      </c>
      <c r="L48" s="3" t="s">
        <v>640</v>
      </c>
      <c r="M48" s="3" t="s">
        <v>640</v>
      </c>
      <c r="N48" s="3" t="s">
        <v>844</v>
      </c>
      <c r="O48">
        <v>104.15</v>
      </c>
      <c r="P48">
        <v>104.15</v>
      </c>
      <c r="Q48">
        <v>-20.56</v>
      </c>
      <c r="R48">
        <v>0</v>
      </c>
      <c r="S48">
        <v>0</v>
      </c>
      <c r="T48" s="3" t="s">
        <v>448</v>
      </c>
      <c r="U48">
        <v>104.15</v>
      </c>
      <c r="V48" s="3" t="s">
        <v>449</v>
      </c>
      <c r="W48" s="3" t="s">
        <v>640</v>
      </c>
      <c r="X48" s="3" t="s">
        <v>1328</v>
      </c>
      <c r="Y48" s="3" t="s">
        <v>1328</v>
      </c>
      <c r="Z48" s="3" t="s">
        <v>1328</v>
      </c>
      <c r="AA48" t="s">
        <v>1621</v>
      </c>
      <c r="AB48" s="3" t="s">
        <v>1765</v>
      </c>
      <c r="AC48" s="3" t="s">
        <v>640</v>
      </c>
      <c r="AD48" s="3" t="s">
        <v>640</v>
      </c>
    </row>
    <row r="49" spans="1:30" x14ac:dyDescent="0.35">
      <c r="A49" s="3" t="s">
        <v>608</v>
      </c>
      <c r="B49" s="3" t="s">
        <v>608</v>
      </c>
      <c r="C49" s="3" t="s">
        <v>608</v>
      </c>
      <c r="D49" s="3" t="s">
        <v>608</v>
      </c>
      <c r="E49" s="3" t="s">
        <v>608</v>
      </c>
      <c r="F49" s="3" t="s">
        <v>640</v>
      </c>
      <c r="G49" s="3" t="s">
        <v>1151</v>
      </c>
      <c r="H49">
        <v>-1000000</v>
      </c>
      <c r="I49" s="3" t="s">
        <v>477</v>
      </c>
      <c r="J49" s="3" t="s">
        <v>640</v>
      </c>
      <c r="L49" s="3" t="s">
        <v>640</v>
      </c>
      <c r="M49" s="3" t="s">
        <v>640</v>
      </c>
      <c r="N49" s="3" t="s">
        <v>435</v>
      </c>
      <c r="O49">
        <v>109.99</v>
      </c>
      <c r="P49">
        <v>109.99</v>
      </c>
      <c r="Q49">
        <v>2897.92</v>
      </c>
      <c r="R49">
        <v>0</v>
      </c>
      <c r="S49">
        <v>0</v>
      </c>
      <c r="T49" s="3" t="s">
        <v>448</v>
      </c>
      <c r="U49">
        <v>109.35</v>
      </c>
      <c r="V49" s="3" t="s">
        <v>449</v>
      </c>
      <c r="W49" s="3" t="s">
        <v>640</v>
      </c>
      <c r="X49" s="3" t="s">
        <v>1328</v>
      </c>
      <c r="Y49" s="3" t="s">
        <v>1328</v>
      </c>
      <c r="Z49" s="3" t="s">
        <v>1809</v>
      </c>
      <c r="AA49" t="s">
        <v>1519</v>
      </c>
      <c r="AB49" s="3" t="s">
        <v>1766</v>
      </c>
      <c r="AC49" s="3" t="s">
        <v>640</v>
      </c>
      <c r="AD49" s="3" t="s">
        <v>640</v>
      </c>
    </row>
    <row r="50" spans="1:30" x14ac:dyDescent="0.35">
      <c r="A50" s="3" t="s">
        <v>608</v>
      </c>
      <c r="B50" s="3" t="s">
        <v>608</v>
      </c>
      <c r="C50" s="3" t="s">
        <v>608</v>
      </c>
      <c r="D50" s="3" t="s">
        <v>608</v>
      </c>
      <c r="E50" s="3" t="s">
        <v>608</v>
      </c>
      <c r="F50" s="3" t="s">
        <v>640</v>
      </c>
      <c r="G50" s="3" t="s">
        <v>1058</v>
      </c>
      <c r="H50">
        <v>-1100000</v>
      </c>
      <c r="I50" s="3" t="s">
        <v>447</v>
      </c>
      <c r="J50" s="3" t="s">
        <v>640</v>
      </c>
      <c r="L50" s="3" t="s">
        <v>640</v>
      </c>
      <c r="M50" s="3" t="s">
        <v>640</v>
      </c>
      <c r="N50" s="3" t="s">
        <v>929</v>
      </c>
      <c r="O50">
        <v>114.11</v>
      </c>
      <c r="P50">
        <v>114.11</v>
      </c>
      <c r="Q50">
        <v>-32.909999999999997</v>
      </c>
      <c r="R50">
        <v>0</v>
      </c>
      <c r="S50">
        <v>0</v>
      </c>
      <c r="T50" s="3" t="s">
        <v>448</v>
      </c>
      <c r="U50">
        <v>113.39</v>
      </c>
      <c r="V50" s="3" t="s">
        <v>449</v>
      </c>
      <c r="W50" s="3" t="s">
        <v>640</v>
      </c>
      <c r="X50" s="3" t="s">
        <v>1328</v>
      </c>
      <c r="Y50" s="3" t="s">
        <v>1328</v>
      </c>
      <c r="Z50" s="3" t="s">
        <v>1328</v>
      </c>
      <c r="AA50" t="s">
        <v>1557</v>
      </c>
      <c r="AB50" s="3" t="s">
        <v>1765</v>
      </c>
      <c r="AC50" s="3" t="s">
        <v>640</v>
      </c>
      <c r="AD50" s="3" t="s">
        <v>640</v>
      </c>
    </row>
    <row r="51" spans="1:30" x14ac:dyDescent="0.35">
      <c r="A51" s="3" t="s">
        <v>608</v>
      </c>
      <c r="B51" s="3" t="s">
        <v>608</v>
      </c>
      <c r="C51" s="3" t="s">
        <v>608</v>
      </c>
      <c r="D51" s="3" t="s">
        <v>608</v>
      </c>
      <c r="E51" s="3" t="s">
        <v>608</v>
      </c>
      <c r="F51" s="3" t="s">
        <v>640</v>
      </c>
      <c r="G51" s="3" t="s">
        <v>1149</v>
      </c>
      <c r="H51">
        <v>-8000000</v>
      </c>
      <c r="I51" s="3" t="s">
        <v>461</v>
      </c>
      <c r="J51" s="3" t="s">
        <v>640</v>
      </c>
      <c r="L51" s="3" t="s">
        <v>640</v>
      </c>
      <c r="M51" s="3" t="s">
        <v>640</v>
      </c>
      <c r="N51" s="3" t="s">
        <v>429</v>
      </c>
      <c r="O51">
        <v>121.64</v>
      </c>
      <c r="P51">
        <v>121.64</v>
      </c>
      <c r="Q51">
        <v>-14032.15</v>
      </c>
      <c r="R51">
        <v>0</v>
      </c>
      <c r="S51">
        <v>0</v>
      </c>
      <c r="T51" s="3" t="s">
        <v>448</v>
      </c>
      <c r="U51">
        <v>122.47</v>
      </c>
      <c r="V51" s="3" t="s">
        <v>449</v>
      </c>
      <c r="W51" s="3" t="s">
        <v>640</v>
      </c>
      <c r="X51" s="3" t="s">
        <v>1328</v>
      </c>
      <c r="Y51" s="3" t="s">
        <v>1328</v>
      </c>
      <c r="Z51" s="3" t="s">
        <v>1810</v>
      </c>
      <c r="AA51" t="s">
        <v>1632</v>
      </c>
      <c r="AB51" s="3" t="s">
        <v>1768</v>
      </c>
      <c r="AC51" s="3" t="s">
        <v>640</v>
      </c>
      <c r="AD51" s="3" t="s">
        <v>640</v>
      </c>
    </row>
    <row r="52" spans="1:30" x14ac:dyDescent="0.35">
      <c r="A52" s="3" t="s">
        <v>608</v>
      </c>
      <c r="B52" s="3" t="s">
        <v>608</v>
      </c>
      <c r="C52" s="3" t="s">
        <v>608</v>
      </c>
      <c r="D52" s="3" t="s">
        <v>608</v>
      </c>
      <c r="E52" s="3" t="s">
        <v>608</v>
      </c>
      <c r="F52" s="3" t="s">
        <v>640</v>
      </c>
      <c r="G52" s="3" t="s">
        <v>1040</v>
      </c>
      <c r="H52">
        <v>-1300000</v>
      </c>
      <c r="I52" s="3" t="s">
        <v>462</v>
      </c>
      <c r="J52" s="3" t="s">
        <v>640</v>
      </c>
      <c r="L52" s="3" t="s">
        <v>640</v>
      </c>
      <c r="M52" s="3" t="s">
        <v>640</v>
      </c>
      <c r="N52" s="3" t="s">
        <v>286</v>
      </c>
      <c r="O52">
        <v>103.5</v>
      </c>
      <c r="P52">
        <v>103.5</v>
      </c>
      <c r="Q52">
        <v>-35.54</v>
      </c>
      <c r="R52">
        <v>0</v>
      </c>
      <c r="S52">
        <v>0</v>
      </c>
      <c r="T52" s="3" t="s">
        <v>448</v>
      </c>
      <c r="U52">
        <v>103.6</v>
      </c>
      <c r="V52" s="3" t="s">
        <v>449</v>
      </c>
      <c r="W52" s="3" t="s">
        <v>640</v>
      </c>
      <c r="X52" s="3" t="s">
        <v>1328</v>
      </c>
      <c r="Y52" s="3" t="s">
        <v>1328</v>
      </c>
      <c r="Z52" s="3" t="s">
        <v>1328</v>
      </c>
      <c r="AA52" t="s">
        <v>1538</v>
      </c>
      <c r="AB52" s="3" t="s">
        <v>1765</v>
      </c>
      <c r="AC52" s="3" t="s">
        <v>640</v>
      </c>
      <c r="AD52" s="3" t="s">
        <v>640</v>
      </c>
    </row>
    <row r="53" spans="1:30" x14ac:dyDescent="0.35">
      <c r="A53" s="3" t="s">
        <v>608</v>
      </c>
      <c r="B53" s="3" t="s">
        <v>608</v>
      </c>
      <c r="C53" s="3" t="s">
        <v>608</v>
      </c>
      <c r="D53" s="3" t="s">
        <v>608</v>
      </c>
      <c r="E53" s="3" t="s">
        <v>608</v>
      </c>
      <c r="F53" s="3" t="s">
        <v>640</v>
      </c>
      <c r="G53" s="3" t="s">
        <v>1037</v>
      </c>
      <c r="H53">
        <v>16558000</v>
      </c>
      <c r="I53" s="3" t="s">
        <v>470</v>
      </c>
      <c r="J53" s="3" t="s">
        <v>640</v>
      </c>
      <c r="L53" s="3" t="s">
        <v>640</v>
      </c>
      <c r="M53" s="3" t="s">
        <v>640</v>
      </c>
      <c r="N53" s="3" t="s">
        <v>284</v>
      </c>
      <c r="O53">
        <v>76.48</v>
      </c>
      <c r="P53">
        <v>76.48</v>
      </c>
      <c r="Q53">
        <v>88.04</v>
      </c>
      <c r="R53">
        <v>0</v>
      </c>
      <c r="S53">
        <v>0</v>
      </c>
      <c r="T53" s="3" t="s">
        <v>448</v>
      </c>
      <c r="U53">
        <v>76.56</v>
      </c>
      <c r="V53" s="3" t="s">
        <v>449</v>
      </c>
      <c r="W53" s="3" t="s">
        <v>640</v>
      </c>
      <c r="X53" s="3" t="s">
        <v>1328</v>
      </c>
      <c r="Y53" s="3" t="s">
        <v>1328</v>
      </c>
      <c r="Z53" s="3" t="s">
        <v>1328</v>
      </c>
      <c r="AA53" t="s">
        <v>1534</v>
      </c>
      <c r="AB53" s="3" t="s">
        <v>1765</v>
      </c>
      <c r="AC53" s="3" t="s">
        <v>640</v>
      </c>
      <c r="AD53" s="3" t="s">
        <v>640</v>
      </c>
    </row>
    <row r="54" spans="1:30" x14ac:dyDescent="0.35">
      <c r="A54" s="3" t="s">
        <v>608</v>
      </c>
      <c r="B54" s="3" t="s">
        <v>608</v>
      </c>
      <c r="C54" s="3" t="s">
        <v>608</v>
      </c>
      <c r="D54" s="3" t="s">
        <v>608</v>
      </c>
      <c r="E54" s="3" t="s">
        <v>608</v>
      </c>
      <c r="F54" s="3" t="s">
        <v>640</v>
      </c>
      <c r="G54" s="3" t="s">
        <v>1404</v>
      </c>
      <c r="H54">
        <v>-9960000</v>
      </c>
      <c r="I54" s="3" t="s">
        <v>490</v>
      </c>
      <c r="J54" s="3" t="s">
        <v>640</v>
      </c>
      <c r="L54" s="3" t="s">
        <v>640</v>
      </c>
      <c r="M54" s="3" t="s">
        <v>640</v>
      </c>
      <c r="N54" s="3" t="s">
        <v>280</v>
      </c>
      <c r="O54">
        <v>110.19</v>
      </c>
      <c r="P54">
        <v>110.19</v>
      </c>
      <c r="Q54">
        <v>29105.7</v>
      </c>
      <c r="R54">
        <v>0</v>
      </c>
      <c r="S54">
        <v>0</v>
      </c>
      <c r="T54" s="3" t="s">
        <v>448</v>
      </c>
      <c r="U54">
        <v>110.19</v>
      </c>
      <c r="V54" s="3" t="s">
        <v>449</v>
      </c>
      <c r="W54" s="3" t="s">
        <v>640</v>
      </c>
      <c r="X54" s="3" t="s">
        <v>1328</v>
      </c>
      <c r="Y54" s="3" t="s">
        <v>1328</v>
      </c>
      <c r="Z54" s="3" t="s">
        <v>1811</v>
      </c>
      <c r="AA54" t="s">
        <v>1533</v>
      </c>
      <c r="AB54" s="3" t="s">
        <v>1766</v>
      </c>
      <c r="AC54" s="3" t="s">
        <v>640</v>
      </c>
      <c r="AD54" s="3" t="s">
        <v>640</v>
      </c>
    </row>
    <row r="55" spans="1:30" x14ac:dyDescent="0.35">
      <c r="A55" s="3" t="s">
        <v>608</v>
      </c>
      <c r="B55" s="3" t="s">
        <v>608</v>
      </c>
      <c r="C55" s="3" t="s">
        <v>608</v>
      </c>
      <c r="D55" s="3" t="s">
        <v>608</v>
      </c>
      <c r="E55" s="3" t="s">
        <v>608</v>
      </c>
      <c r="F55" s="3" t="s">
        <v>640</v>
      </c>
      <c r="G55" s="3" t="s">
        <v>1102</v>
      </c>
      <c r="H55">
        <v>-800000</v>
      </c>
      <c r="I55" s="3" t="s">
        <v>1246</v>
      </c>
      <c r="J55" s="3" t="s">
        <v>640</v>
      </c>
      <c r="L55" s="3" t="s">
        <v>640</v>
      </c>
      <c r="M55" s="3" t="s">
        <v>640</v>
      </c>
      <c r="N55" s="3" t="s">
        <v>991</v>
      </c>
      <c r="O55">
        <v>126.78</v>
      </c>
      <c r="P55">
        <v>126.78</v>
      </c>
      <c r="Q55">
        <v>-28.17</v>
      </c>
      <c r="R55">
        <v>0</v>
      </c>
      <c r="S55">
        <v>0</v>
      </c>
      <c r="T55" s="3" t="s">
        <v>448</v>
      </c>
      <c r="U55">
        <v>126.78</v>
      </c>
      <c r="V55" s="3" t="s">
        <v>449</v>
      </c>
      <c r="W55" s="3" t="s">
        <v>640</v>
      </c>
      <c r="X55" s="3" t="s">
        <v>1328</v>
      </c>
      <c r="Y55" s="3" t="s">
        <v>1328</v>
      </c>
      <c r="Z55" s="3" t="s">
        <v>1328</v>
      </c>
      <c r="AA55" t="s">
        <v>1590</v>
      </c>
      <c r="AB55" s="3" t="s">
        <v>1765</v>
      </c>
      <c r="AC55" s="3" t="s">
        <v>640</v>
      </c>
      <c r="AD55" s="3" t="s">
        <v>640</v>
      </c>
    </row>
    <row r="56" spans="1:30" x14ac:dyDescent="0.35">
      <c r="A56" s="3" t="s">
        <v>608</v>
      </c>
      <c r="B56" s="3" t="s">
        <v>608</v>
      </c>
      <c r="C56" s="3" t="s">
        <v>608</v>
      </c>
      <c r="D56" s="3" t="s">
        <v>608</v>
      </c>
      <c r="E56" s="3" t="s">
        <v>608</v>
      </c>
      <c r="F56" s="3" t="s">
        <v>640</v>
      </c>
      <c r="G56" s="3" t="s">
        <v>1043</v>
      </c>
      <c r="H56">
        <v>4484000</v>
      </c>
      <c r="I56" s="3" t="s">
        <v>457</v>
      </c>
      <c r="J56" s="3" t="s">
        <v>640</v>
      </c>
      <c r="L56" s="3" t="s">
        <v>640</v>
      </c>
      <c r="M56" s="3" t="s">
        <v>640</v>
      </c>
      <c r="N56" s="3" t="s">
        <v>51</v>
      </c>
      <c r="O56">
        <v>90.47</v>
      </c>
      <c r="P56">
        <v>90.47</v>
      </c>
      <c r="Q56">
        <v>28.17</v>
      </c>
      <c r="R56">
        <v>0</v>
      </c>
      <c r="S56">
        <v>0</v>
      </c>
      <c r="T56" s="3" t="s">
        <v>448</v>
      </c>
      <c r="U56">
        <v>90.47</v>
      </c>
      <c r="V56" s="3" t="s">
        <v>449</v>
      </c>
      <c r="W56" s="3" t="s">
        <v>640</v>
      </c>
      <c r="X56" s="3" t="s">
        <v>1328</v>
      </c>
      <c r="Y56" s="3" t="s">
        <v>1328</v>
      </c>
      <c r="Z56" s="3" t="s">
        <v>1328</v>
      </c>
      <c r="AA56" t="s">
        <v>1541</v>
      </c>
      <c r="AB56" s="3" t="s">
        <v>1765</v>
      </c>
      <c r="AC56" s="3" t="s">
        <v>640</v>
      </c>
      <c r="AD56" s="3" t="s">
        <v>640</v>
      </c>
    </row>
    <row r="57" spans="1:30" x14ac:dyDescent="0.35">
      <c r="A57" s="3" t="s">
        <v>608</v>
      </c>
      <c r="B57" s="3" t="s">
        <v>608</v>
      </c>
      <c r="C57" s="3" t="s">
        <v>608</v>
      </c>
      <c r="D57" s="3" t="s">
        <v>608</v>
      </c>
      <c r="E57" s="3" t="s">
        <v>608</v>
      </c>
      <c r="F57" s="3" t="s">
        <v>640</v>
      </c>
      <c r="G57" s="3" t="s">
        <v>1466</v>
      </c>
      <c r="H57">
        <v>-4000000</v>
      </c>
      <c r="I57" s="3" t="s">
        <v>1469</v>
      </c>
      <c r="J57" s="3" t="s">
        <v>640</v>
      </c>
      <c r="L57" s="3" t="s">
        <v>640</v>
      </c>
      <c r="M57" s="3" t="s">
        <v>640</v>
      </c>
      <c r="N57" s="3" t="s">
        <v>1465</v>
      </c>
      <c r="O57">
        <v>105.84</v>
      </c>
      <c r="P57">
        <v>105.84</v>
      </c>
      <c r="Q57">
        <v>-111.72</v>
      </c>
      <c r="R57">
        <v>0</v>
      </c>
      <c r="S57">
        <v>0</v>
      </c>
      <c r="T57" s="3" t="s">
        <v>448</v>
      </c>
      <c r="U57">
        <v>105.84</v>
      </c>
      <c r="V57" s="3" t="s">
        <v>449</v>
      </c>
      <c r="W57" s="3" t="s">
        <v>640</v>
      </c>
      <c r="X57" s="3" t="s">
        <v>1328</v>
      </c>
      <c r="Y57" s="3" t="s">
        <v>1328</v>
      </c>
      <c r="Z57" s="3" t="s">
        <v>1328</v>
      </c>
      <c r="AA57" t="s">
        <v>1627</v>
      </c>
      <c r="AB57" s="3" t="s">
        <v>1765</v>
      </c>
      <c r="AC57" s="3" t="s">
        <v>640</v>
      </c>
      <c r="AD57" s="3" t="s">
        <v>640</v>
      </c>
    </row>
    <row r="58" spans="1:30" x14ac:dyDescent="0.35">
      <c r="A58" s="3" t="s">
        <v>608</v>
      </c>
      <c r="B58" s="3" t="s">
        <v>608</v>
      </c>
      <c r="C58" s="3" t="s">
        <v>608</v>
      </c>
      <c r="D58" s="3" t="s">
        <v>608</v>
      </c>
      <c r="E58" s="3" t="s">
        <v>608</v>
      </c>
      <c r="F58" s="3" t="s">
        <v>640</v>
      </c>
      <c r="G58" s="3" t="s">
        <v>1020</v>
      </c>
      <c r="H58">
        <v>-200000</v>
      </c>
      <c r="I58" s="3" t="s">
        <v>458</v>
      </c>
      <c r="J58" s="3" t="s">
        <v>640</v>
      </c>
      <c r="L58" s="3" t="s">
        <v>640</v>
      </c>
      <c r="M58" s="3" t="s">
        <v>640</v>
      </c>
      <c r="N58" s="3" t="s">
        <v>567</v>
      </c>
      <c r="O58">
        <v>87.35</v>
      </c>
      <c r="P58">
        <v>87.35</v>
      </c>
      <c r="Q58">
        <v>463.24</v>
      </c>
      <c r="R58">
        <v>0</v>
      </c>
      <c r="S58">
        <v>0</v>
      </c>
      <c r="T58" s="3" t="s">
        <v>448</v>
      </c>
      <c r="U58">
        <v>87.35</v>
      </c>
      <c r="V58" s="3" t="s">
        <v>449</v>
      </c>
      <c r="W58" s="3" t="s">
        <v>640</v>
      </c>
      <c r="X58" s="3" t="s">
        <v>1328</v>
      </c>
      <c r="Y58" s="3" t="s">
        <v>1328</v>
      </c>
      <c r="Z58" s="3" t="s">
        <v>1812</v>
      </c>
      <c r="AA58" t="s">
        <v>1520</v>
      </c>
      <c r="AB58" s="3" t="s">
        <v>1766</v>
      </c>
      <c r="AC58" s="3" t="s">
        <v>640</v>
      </c>
      <c r="AD58" s="3" t="s">
        <v>640</v>
      </c>
    </row>
    <row r="59" spans="1:30" x14ac:dyDescent="0.35">
      <c r="A59" s="3" t="s">
        <v>608</v>
      </c>
      <c r="B59" s="3" t="s">
        <v>608</v>
      </c>
      <c r="C59" s="3" t="s">
        <v>608</v>
      </c>
      <c r="D59" s="3" t="s">
        <v>608</v>
      </c>
      <c r="E59" s="3" t="s">
        <v>608</v>
      </c>
      <c r="F59" s="3" t="s">
        <v>640</v>
      </c>
      <c r="G59" s="3" t="s">
        <v>1427</v>
      </c>
      <c r="H59">
        <v>-3000000</v>
      </c>
      <c r="I59" s="3" t="s">
        <v>1641</v>
      </c>
      <c r="J59" s="3" t="s">
        <v>640</v>
      </c>
      <c r="L59" s="3" t="s">
        <v>640</v>
      </c>
      <c r="M59" s="3" t="s">
        <v>640</v>
      </c>
      <c r="N59" s="3" t="s">
        <v>1426</v>
      </c>
      <c r="O59">
        <v>109.36</v>
      </c>
      <c r="P59">
        <v>109.36</v>
      </c>
      <c r="Q59">
        <v>-86.58</v>
      </c>
      <c r="R59">
        <v>0</v>
      </c>
      <c r="S59">
        <v>0</v>
      </c>
      <c r="T59" s="3" t="s">
        <v>448</v>
      </c>
      <c r="U59">
        <v>109.36</v>
      </c>
      <c r="V59" s="3" t="s">
        <v>449</v>
      </c>
      <c r="W59" s="3" t="s">
        <v>640</v>
      </c>
      <c r="X59" s="3" t="s">
        <v>1328</v>
      </c>
      <c r="Y59" s="3" t="s">
        <v>1328</v>
      </c>
      <c r="Z59" s="3" t="s">
        <v>1328</v>
      </c>
      <c r="AA59" t="s">
        <v>1546</v>
      </c>
      <c r="AB59" s="3" t="s">
        <v>1765</v>
      </c>
      <c r="AC59" s="3" t="s">
        <v>640</v>
      </c>
      <c r="AD59" s="3" t="s">
        <v>640</v>
      </c>
    </row>
    <row r="60" spans="1:30" x14ac:dyDescent="0.35">
      <c r="A60" s="3" t="s">
        <v>608</v>
      </c>
      <c r="B60" s="3" t="s">
        <v>608</v>
      </c>
      <c r="C60" s="3" t="s">
        <v>608</v>
      </c>
      <c r="D60" s="3" t="s">
        <v>608</v>
      </c>
      <c r="E60" s="3" t="s">
        <v>608</v>
      </c>
      <c r="F60" s="3" t="s">
        <v>640</v>
      </c>
      <c r="G60" s="3" t="s">
        <v>1146</v>
      </c>
      <c r="H60">
        <v>-1300000</v>
      </c>
      <c r="I60" s="3" t="s">
        <v>459</v>
      </c>
      <c r="J60" s="3" t="s">
        <v>640</v>
      </c>
      <c r="L60" s="3" t="s">
        <v>640</v>
      </c>
      <c r="M60" s="3" t="s">
        <v>640</v>
      </c>
      <c r="N60" s="3" t="s">
        <v>217</v>
      </c>
      <c r="O60">
        <v>107.76</v>
      </c>
      <c r="P60">
        <v>107.76</v>
      </c>
      <c r="Q60">
        <v>-36.97</v>
      </c>
      <c r="R60">
        <v>0</v>
      </c>
      <c r="S60">
        <v>0</v>
      </c>
      <c r="T60" s="3" t="s">
        <v>448</v>
      </c>
      <c r="U60">
        <v>107.76</v>
      </c>
      <c r="V60" s="3" t="s">
        <v>449</v>
      </c>
      <c r="W60" s="3" t="s">
        <v>640</v>
      </c>
      <c r="X60" s="3" t="s">
        <v>1328</v>
      </c>
      <c r="Y60" s="3" t="s">
        <v>1328</v>
      </c>
      <c r="Z60" s="3" t="s">
        <v>1328</v>
      </c>
      <c r="AA60" t="s">
        <v>1538</v>
      </c>
      <c r="AB60" s="3" t="s">
        <v>1765</v>
      </c>
      <c r="AC60" s="3" t="s">
        <v>640</v>
      </c>
      <c r="AD60" s="3" t="s">
        <v>640</v>
      </c>
    </row>
    <row r="61" spans="1:30" x14ac:dyDescent="0.35">
      <c r="A61" s="3" t="s">
        <v>608</v>
      </c>
      <c r="B61" s="3" t="s">
        <v>608</v>
      </c>
      <c r="C61" s="3" t="s">
        <v>608</v>
      </c>
      <c r="D61" s="3" t="s">
        <v>608</v>
      </c>
      <c r="E61" s="3" t="s">
        <v>608</v>
      </c>
      <c r="F61" s="3" t="s">
        <v>640</v>
      </c>
      <c r="G61" s="3" t="s">
        <v>1068</v>
      </c>
      <c r="H61">
        <v>-1400000</v>
      </c>
      <c r="I61" s="3" t="s">
        <v>517</v>
      </c>
      <c r="J61" s="3" t="s">
        <v>640</v>
      </c>
      <c r="L61" s="3" t="s">
        <v>640</v>
      </c>
      <c r="M61" s="3" t="s">
        <v>640</v>
      </c>
      <c r="N61" s="3" t="s">
        <v>98</v>
      </c>
      <c r="O61">
        <v>110.98</v>
      </c>
      <c r="P61">
        <v>110.98</v>
      </c>
      <c r="Q61">
        <v>-41</v>
      </c>
      <c r="R61">
        <v>0</v>
      </c>
      <c r="S61">
        <v>0</v>
      </c>
      <c r="T61" s="3" t="s">
        <v>448</v>
      </c>
      <c r="U61">
        <v>110.98</v>
      </c>
      <c r="V61" s="3" t="s">
        <v>449</v>
      </c>
      <c r="W61" s="3" t="s">
        <v>640</v>
      </c>
      <c r="X61" s="3" t="s">
        <v>1328</v>
      </c>
      <c r="Y61" s="3" t="s">
        <v>1328</v>
      </c>
      <c r="Z61" s="3" t="s">
        <v>1328</v>
      </c>
      <c r="AA61" t="s">
        <v>1565</v>
      </c>
      <c r="AB61" s="3" t="s">
        <v>1765</v>
      </c>
      <c r="AC61" s="3" t="s">
        <v>640</v>
      </c>
      <c r="AD61" s="3" t="s">
        <v>640</v>
      </c>
    </row>
    <row r="62" spans="1:30" x14ac:dyDescent="0.35">
      <c r="A62" s="3" t="s">
        <v>608</v>
      </c>
      <c r="B62" s="3" t="s">
        <v>608</v>
      </c>
      <c r="C62" s="3" t="s">
        <v>608</v>
      </c>
      <c r="D62" s="3" t="s">
        <v>608</v>
      </c>
      <c r="E62" s="3" t="s">
        <v>608</v>
      </c>
      <c r="F62" s="3" t="s">
        <v>640</v>
      </c>
      <c r="G62" s="3" t="s">
        <v>1142</v>
      </c>
      <c r="H62">
        <v>-500000</v>
      </c>
      <c r="I62" s="3" t="s">
        <v>466</v>
      </c>
      <c r="J62" s="3" t="s">
        <v>640</v>
      </c>
      <c r="L62" s="3" t="s">
        <v>640</v>
      </c>
      <c r="M62" s="3" t="s">
        <v>640</v>
      </c>
      <c r="N62" s="3" t="s">
        <v>212</v>
      </c>
      <c r="O62">
        <v>112.55</v>
      </c>
      <c r="P62">
        <v>112.46</v>
      </c>
      <c r="Q62">
        <v>-103.8</v>
      </c>
      <c r="R62">
        <v>0</v>
      </c>
      <c r="S62">
        <v>0</v>
      </c>
      <c r="T62" s="3" t="s">
        <v>448</v>
      </c>
      <c r="U62">
        <v>113.31</v>
      </c>
      <c r="V62" s="3" t="s">
        <v>449</v>
      </c>
      <c r="W62" s="3" t="s">
        <v>640</v>
      </c>
      <c r="X62" s="3" t="s">
        <v>1328</v>
      </c>
      <c r="Y62" s="3" t="s">
        <v>1328</v>
      </c>
      <c r="Z62" s="3" t="s">
        <v>1328</v>
      </c>
      <c r="AA62" t="s">
        <v>1542</v>
      </c>
      <c r="AB62" s="3" t="s">
        <v>1765</v>
      </c>
      <c r="AC62" s="3" t="s">
        <v>640</v>
      </c>
      <c r="AD62" s="3" t="s">
        <v>640</v>
      </c>
    </row>
    <row r="63" spans="1:30" x14ac:dyDescent="0.35">
      <c r="A63" s="3" t="s">
        <v>608</v>
      </c>
      <c r="B63" s="3" t="s">
        <v>608</v>
      </c>
      <c r="C63" s="3" t="s">
        <v>608</v>
      </c>
      <c r="D63" s="3" t="s">
        <v>608</v>
      </c>
      <c r="E63" s="3" t="s">
        <v>608</v>
      </c>
      <c r="F63" s="3" t="s">
        <v>640</v>
      </c>
      <c r="G63" s="3" t="s">
        <v>1367</v>
      </c>
      <c r="H63">
        <v>-700000</v>
      </c>
      <c r="I63" s="3" t="s">
        <v>1392</v>
      </c>
      <c r="J63" s="3" t="s">
        <v>640</v>
      </c>
      <c r="L63" s="3" t="s">
        <v>640</v>
      </c>
      <c r="M63" s="3" t="s">
        <v>640</v>
      </c>
      <c r="N63" s="3" t="s">
        <v>1366</v>
      </c>
      <c r="O63">
        <v>94.01</v>
      </c>
      <c r="P63">
        <v>94.01</v>
      </c>
      <c r="Q63">
        <v>-17.39</v>
      </c>
      <c r="R63">
        <v>0</v>
      </c>
      <c r="S63">
        <v>0</v>
      </c>
      <c r="T63" s="3" t="s">
        <v>448</v>
      </c>
      <c r="U63">
        <v>94.17</v>
      </c>
      <c r="V63" s="3" t="s">
        <v>449</v>
      </c>
      <c r="W63" s="3" t="s">
        <v>640</v>
      </c>
      <c r="X63" s="3" t="s">
        <v>1328</v>
      </c>
      <c r="Y63" s="3" t="s">
        <v>1328</v>
      </c>
      <c r="Z63" s="3" t="s">
        <v>1328</v>
      </c>
      <c r="AA63" t="s">
        <v>1513</v>
      </c>
      <c r="AB63" s="3" t="s">
        <v>1765</v>
      </c>
      <c r="AC63" s="3" t="s">
        <v>640</v>
      </c>
      <c r="AD63" s="3" t="s">
        <v>640</v>
      </c>
    </row>
    <row r="64" spans="1:30" x14ac:dyDescent="0.35">
      <c r="A64" s="3" t="s">
        <v>608</v>
      </c>
      <c r="B64" s="3" t="s">
        <v>608</v>
      </c>
      <c r="C64" s="3" t="s">
        <v>608</v>
      </c>
      <c r="D64" s="3" t="s">
        <v>608</v>
      </c>
      <c r="E64" s="3" t="s">
        <v>608</v>
      </c>
      <c r="F64" s="3" t="s">
        <v>640</v>
      </c>
      <c r="G64" s="3" t="s">
        <v>1095</v>
      </c>
      <c r="H64">
        <v>-3000000</v>
      </c>
      <c r="I64" s="3" t="s">
        <v>546</v>
      </c>
      <c r="J64" s="3" t="s">
        <v>640</v>
      </c>
      <c r="L64" s="3" t="s">
        <v>640</v>
      </c>
      <c r="M64" s="3" t="s">
        <v>640</v>
      </c>
      <c r="N64" s="3" t="s">
        <v>136</v>
      </c>
      <c r="O64">
        <v>104.17</v>
      </c>
      <c r="P64">
        <v>104.17</v>
      </c>
      <c r="Q64">
        <v>-82.47</v>
      </c>
      <c r="R64">
        <v>0</v>
      </c>
      <c r="S64">
        <v>0</v>
      </c>
      <c r="T64" s="3" t="s">
        <v>448</v>
      </c>
      <c r="U64">
        <v>104.17</v>
      </c>
      <c r="V64" s="3" t="s">
        <v>449</v>
      </c>
      <c r="W64" s="3" t="s">
        <v>640</v>
      </c>
      <c r="X64" s="3" t="s">
        <v>1328</v>
      </c>
      <c r="Y64" s="3" t="s">
        <v>1328</v>
      </c>
      <c r="Z64" s="3" t="s">
        <v>1328</v>
      </c>
      <c r="AA64" t="s">
        <v>1546</v>
      </c>
      <c r="AB64" s="3" t="s">
        <v>1765</v>
      </c>
      <c r="AC64" s="3" t="s">
        <v>640</v>
      </c>
      <c r="AD64" s="3" t="s">
        <v>640</v>
      </c>
    </row>
    <row r="65" spans="1:30" x14ac:dyDescent="0.35">
      <c r="A65" s="3" t="s">
        <v>608</v>
      </c>
      <c r="B65" s="3" t="s">
        <v>608</v>
      </c>
      <c r="C65" s="3" t="s">
        <v>608</v>
      </c>
      <c r="D65" s="3" t="s">
        <v>608</v>
      </c>
      <c r="E65" s="3" t="s">
        <v>608</v>
      </c>
      <c r="F65" s="3" t="s">
        <v>640</v>
      </c>
      <c r="G65" s="3" t="s">
        <v>1141</v>
      </c>
      <c r="H65">
        <v>-2300000</v>
      </c>
      <c r="I65" s="3" t="s">
        <v>467</v>
      </c>
      <c r="J65" s="3" t="s">
        <v>640</v>
      </c>
      <c r="L65" s="3" t="s">
        <v>640</v>
      </c>
      <c r="M65" s="3" t="s">
        <v>640</v>
      </c>
      <c r="N65" s="3" t="s">
        <v>207</v>
      </c>
      <c r="O65">
        <v>109.43</v>
      </c>
      <c r="P65">
        <v>109.43</v>
      </c>
      <c r="Q65">
        <v>-66.260000000000005</v>
      </c>
      <c r="R65">
        <v>0</v>
      </c>
      <c r="S65">
        <v>0</v>
      </c>
      <c r="T65" s="3" t="s">
        <v>448</v>
      </c>
      <c r="U65">
        <v>109.17</v>
      </c>
      <c r="V65" s="3" t="s">
        <v>449</v>
      </c>
      <c r="W65" s="3" t="s">
        <v>640</v>
      </c>
      <c r="X65" s="3" t="s">
        <v>1328</v>
      </c>
      <c r="Y65" s="3" t="s">
        <v>1328</v>
      </c>
      <c r="Z65" s="3" t="s">
        <v>1328</v>
      </c>
      <c r="AA65" t="s">
        <v>1549</v>
      </c>
      <c r="AB65" s="3" t="s">
        <v>1765</v>
      </c>
      <c r="AC65" s="3" t="s">
        <v>640</v>
      </c>
      <c r="AD65" s="3" t="s">
        <v>640</v>
      </c>
    </row>
    <row r="66" spans="1:30" x14ac:dyDescent="0.35">
      <c r="A66" s="3" t="s">
        <v>608</v>
      </c>
      <c r="B66" s="3" t="s">
        <v>608</v>
      </c>
      <c r="C66" s="3" t="s">
        <v>608</v>
      </c>
      <c r="D66" s="3" t="s">
        <v>608</v>
      </c>
      <c r="E66" s="3" t="s">
        <v>608</v>
      </c>
      <c r="F66" s="3" t="s">
        <v>640</v>
      </c>
      <c r="G66" s="3" t="s">
        <v>1133</v>
      </c>
      <c r="H66">
        <v>-1565000</v>
      </c>
      <c r="I66" s="3" t="s">
        <v>521</v>
      </c>
      <c r="J66" s="3" t="s">
        <v>640</v>
      </c>
      <c r="L66" s="3" t="s">
        <v>640</v>
      </c>
      <c r="M66" s="3" t="s">
        <v>640</v>
      </c>
      <c r="N66" s="3" t="s">
        <v>408</v>
      </c>
      <c r="O66">
        <v>101.01</v>
      </c>
      <c r="P66">
        <v>101.01</v>
      </c>
      <c r="Q66">
        <v>-42.15</v>
      </c>
      <c r="R66">
        <v>0</v>
      </c>
      <c r="S66">
        <v>0</v>
      </c>
      <c r="T66" s="3" t="s">
        <v>448</v>
      </c>
      <c r="U66">
        <v>101.06</v>
      </c>
      <c r="V66" s="3" t="s">
        <v>449</v>
      </c>
      <c r="W66" s="3" t="s">
        <v>640</v>
      </c>
      <c r="X66" s="3" t="s">
        <v>1328</v>
      </c>
      <c r="Y66" s="3" t="s">
        <v>1328</v>
      </c>
      <c r="Z66" s="3" t="s">
        <v>1328</v>
      </c>
      <c r="AA66" t="s">
        <v>1615</v>
      </c>
      <c r="AB66" s="3" t="s">
        <v>1765</v>
      </c>
      <c r="AC66" s="3" t="s">
        <v>640</v>
      </c>
      <c r="AD66" s="3" t="s">
        <v>640</v>
      </c>
    </row>
    <row r="67" spans="1:30" x14ac:dyDescent="0.35">
      <c r="A67" s="3" t="s">
        <v>608</v>
      </c>
      <c r="B67" s="3" t="s">
        <v>608</v>
      </c>
      <c r="C67" s="3" t="s">
        <v>608</v>
      </c>
      <c r="D67" s="3" t="s">
        <v>608</v>
      </c>
      <c r="E67" s="3" t="s">
        <v>608</v>
      </c>
      <c r="F67" s="3" t="s">
        <v>640</v>
      </c>
      <c r="G67" s="3" t="s">
        <v>1111</v>
      </c>
      <c r="H67">
        <v>5000000</v>
      </c>
      <c r="I67" s="3" t="s">
        <v>547</v>
      </c>
      <c r="J67" s="3" t="s">
        <v>640</v>
      </c>
      <c r="L67" s="3" t="s">
        <v>640</v>
      </c>
      <c r="M67" s="3" t="s">
        <v>640</v>
      </c>
      <c r="N67" s="3" t="s">
        <v>155</v>
      </c>
      <c r="O67">
        <v>96.05</v>
      </c>
      <c r="P67">
        <v>96.05</v>
      </c>
      <c r="Q67">
        <v>33.35</v>
      </c>
      <c r="R67">
        <v>0</v>
      </c>
      <c r="S67">
        <v>0</v>
      </c>
      <c r="T67" s="3" t="s">
        <v>448</v>
      </c>
      <c r="U67">
        <v>96.05</v>
      </c>
      <c r="V67" s="3" t="s">
        <v>449</v>
      </c>
      <c r="W67" s="3" t="s">
        <v>640</v>
      </c>
      <c r="X67" s="3" t="s">
        <v>1328</v>
      </c>
      <c r="Y67" s="3" t="s">
        <v>1328</v>
      </c>
      <c r="Z67" s="3" t="s">
        <v>1328</v>
      </c>
      <c r="AA67" t="s">
        <v>1560</v>
      </c>
      <c r="AB67" s="3" t="s">
        <v>1765</v>
      </c>
      <c r="AC67" s="3" t="s">
        <v>640</v>
      </c>
      <c r="AD67" s="3" t="s">
        <v>640</v>
      </c>
    </row>
    <row r="68" spans="1:30" x14ac:dyDescent="0.35">
      <c r="A68" s="3" t="s">
        <v>608</v>
      </c>
      <c r="B68" s="3" t="s">
        <v>608</v>
      </c>
      <c r="C68" s="3" t="s">
        <v>608</v>
      </c>
      <c r="D68" s="3" t="s">
        <v>608</v>
      </c>
      <c r="E68" s="3" t="s">
        <v>608</v>
      </c>
      <c r="F68" s="3" t="s">
        <v>640</v>
      </c>
      <c r="G68" s="3" t="s">
        <v>1052</v>
      </c>
      <c r="H68">
        <v>1004000</v>
      </c>
      <c r="I68" s="3" t="s">
        <v>1415</v>
      </c>
      <c r="J68" s="3" t="s">
        <v>640</v>
      </c>
      <c r="L68" s="3" t="s">
        <v>640</v>
      </c>
      <c r="M68" s="3" t="s">
        <v>640</v>
      </c>
      <c r="N68" s="3" t="s">
        <v>313</v>
      </c>
      <c r="O68">
        <v>77.56</v>
      </c>
      <c r="P68">
        <v>77.56</v>
      </c>
      <c r="Q68">
        <v>5.41</v>
      </c>
      <c r="R68">
        <v>0</v>
      </c>
      <c r="S68">
        <v>0</v>
      </c>
      <c r="T68" s="3" t="s">
        <v>448</v>
      </c>
      <c r="U68">
        <v>77.56</v>
      </c>
      <c r="V68" s="3" t="s">
        <v>449</v>
      </c>
      <c r="W68" s="3" t="s">
        <v>640</v>
      </c>
      <c r="X68" s="3" t="s">
        <v>1328</v>
      </c>
      <c r="Y68" s="3" t="s">
        <v>1328</v>
      </c>
      <c r="Z68" s="3" t="s">
        <v>1328</v>
      </c>
      <c r="AA68" t="s">
        <v>1550</v>
      </c>
      <c r="AB68" s="3" t="s">
        <v>1765</v>
      </c>
      <c r="AC68" s="3" t="s">
        <v>640</v>
      </c>
      <c r="AD68" s="3" t="s">
        <v>640</v>
      </c>
    </row>
    <row r="69" spans="1:30" x14ac:dyDescent="0.35">
      <c r="A69" s="3" t="s">
        <v>608</v>
      </c>
      <c r="B69" s="3" t="s">
        <v>608</v>
      </c>
      <c r="C69" s="3" t="s">
        <v>608</v>
      </c>
      <c r="D69" s="3" t="s">
        <v>608</v>
      </c>
      <c r="E69" s="3" t="s">
        <v>608</v>
      </c>
      <c r="F69" s="3" t="s">
        <v>640</v>
      </c>
      <c r="G69" s="3" t="s">
        <v>1024</v>
      </c>
      <c r="H69">
        <v>250000</v>
      </c>
      <c r="I69" s="3" t="s">
        <v>912</v>
      </c>
      <c r="J69" s="3" t="s">
        <v>640</v>
      </c>
      <c r="L69" s="3" t="s">
        <v>640</v>
      </c>
      <c r="M69" s="3" t="s">
        <v>640</v>
      </c>
      <c r="N69" s="3" t="s">
        <v>572</v>
      </c>
      <c r="O69">
        <v>80.099999999999994</v>
      </c>
      <c r="P69">
        <v>80.099999999999994</v>
      </c>
      <c r="Q69">
        <v>283.49</v>
      </c>
      <c r="R69">
        <v>0</v>
      </c>
      <c r="S69">
        <v>0</v>
      </c>
      <c r="T69" s="3" t="s">
        <v>448</v>
      </c>
      <c r="U69">
        <v>80.099999999999994</v>
      </c>
      <c r="V69" s="3" t="s">
        <v>449</v>
      </c>
      <c r="W69" s="3" t="s">
        <v>640</v>
      </c>
      <c r="X69" s="3" t="s">
        <v>1328</v>
      </c>
      <c r="Y69" s="3" t="s">
        <v>1328</v>
      </c>
      <c r="Z69" s="3" t="s">
        <v>1813</v>
      </c>
      <c r="AA69" t="s">
        <v>1525</v>
      </c>
      <c r="AB69" s="3" t="s">
        <v>1768</v>
      </c>
      <c r="AC69" s="3" t="s">
        <v>640</v>
      </c>
      <c r="AD69" s="3" t="s">
        <v>640</v>
      </c>
    </row>
    <row r="70" spans="1:30" x14ac:dyDescent="0.35">
      <c r="A70" s="3" t="s">
        <v>608</v>
      </c>
      <c r="B70" s="3" t="s">
        <v>608</v>
      </c>
      <c r="C70" s="3" t="s">
        <v>608</v>
      </c>
      <c r="D70" s="3" t="s">
        <v>608</v>
      </c>
      <c r="E70" s="3" t="s">
        <v>608</v>
      </c>
      <c r="F70" s="3" t="s">
        <v>640</v>
      </c>
      <c r="G70" s="3" t="s">
        <v>1115</v>
      </c>
      <c r="H70">
        <v>-3000000</v>
      </c>
      <c r="I70" s="3" t="s">
        <v>592</v>
      </c>
      <c r="J70" s="3" t="s">
        <v>640</v>
      </c>
      <c r="L70" s="3" t="s">
        <v>640</v>
      </c>
      <c r="M70" s="3" t="s">
        <v>640</v>
      </c>
      <c r="N70" s="3" t="s">
        <v>143</v>
      </c>
      <c r="O70">
        <v>119.15</v>
      </c>
      <c r="P70">
        <v>119.15</v>
      </c>
      <c r="Q70">
        <v>-94.24</v>
      </c>
      <c r="R70">
        <v>0</v>
      </c>
      <c r="S70">
        <v>0</v>
      </c>
      <c r="T70" s="3" t="s">
        <v>448</v>
      </c>
      <c r="U70">
        <v>119.03</v>
      </c>
      <c r="V70" s="3" t="s">
        <v>449</v>
      </c>
      <c r="W70" s="3" t="s">
        <v>640</v>
      </c>
      <c r="X70" s="3" t="s">
        <v>1328</v>
      </c>
      <c r="Y70" s="3" t="s">
        <v>1328</v>
      </c>
      <c r="Z70" s="3" t="s">
        <v>1328</v>
      </c>
      <c r="AA70" t="s">
        <v>1546</v>
      </c>
      <c r="AB70" s="3" t="s">
        <v>1765</v>
      </c>
      <c r="AC70" s="3" t="s">
        <v>640</v>
      </c>
      <c r="AD70" s="3" t="s">
        <v>640</v>
      </c>
    </row>
    <row r="71" spans="1:30" x14ac:dyDescent="0.35">
      <c r="A71" s="3" t="s">
        <v>608</v>
      </c>
      <c r="B71" s="3" t="s">
        <v>608</v>
      </c>
      <c r="C71" s="3" t="s">
        <v>608</v>
      </c>
      <c r="D71" s="3" t="s">
        <v>608</v>
      </c>
      <c r="E71" s="3" t="s">
        <v>608</v>
      </c>
      <c r="F71" s="3" t="s">
        <v>640</v>
      </c>
      <c r="G71" s="3" t="s">
        <v>1019</v>
      </c>
      <c r="H71">
        <v>-1500000</v>
      </c>
      <c r="I71" s="3" t="s">
        <v>471</v>
      </c>
      <c r="J71" s="3" t="s">
        <v>640</v>
      </c>
      <c r="L71" s="3" t="s">
        <v>640</v>
      </c>
      <c r="M71" s="3" t="s">
        <v>640</v>
      </c>
      <c r="N71" s="3" t="s">
        <v>32</v>
      </c>
      <c r="O71">
        <v>116.75</v>
      </c>
      <c r="P71">
        <v>116.75</v>
      </c>
      <c r="Q71">
        <v>-47.19</v>
      </c>
      <c r="R71">
        <v>0</v>
      </c>
      <c r="S71">
        <v>0</v>
      </c>
      <c r="T71" s="3" t="s">
        <v>448</v>
      </c>
      <c r="U71">
        <v>119.22</v>
      </c>
      <c r="V71" s="3" t="s">
        <v>449</v>
      </c>
      <c r="W71" s="3" t="s">
        <v>640</v>
      </c>
      <c r="X71" s="3" t="s">
        <v>1328</v>
      </c>
      <c r="Y71" s="3" t="s">
        <v>1328</v>
      </c>
      <c r="Z71" s="3" t="s">
        <v>1328</v>
      </c>
      <c r="AA71" t="s">
        <v>1516</v>
      </c>
      <c r="AB71" s="3" t="s">
        <v>1765</v>
      </c>
      <c r="AC71" s="3" t="s">
        <v>640</v>
      </c>
      <c r="AD71" s="3" t="s">
        <v>640</v>
      </c>
    </row>
    <row r="72" spans="1:30" x14ac:dyDescent="0.35">
      <c r="A72" s="3" t="s">
        <v>608</v>
      </c>
      <c r="B72" s="3" t="s">
        <v>608</v>
      </c>
      <c r="C72" s="3" t="s">
        <v>608</v>
      </c>
      <c r="D72" s="3" t="s">
        <v>608</v>
      </c>
      <c r="E72" s="3" t="s">
        <v>608</v>
      </c>
      <c r="F72" s="3" t="s">
        <v>640</v>
      </c>
      <c r="G72" s="3" t="s">
        <v>1101</v>
      </c>
      <c r="H72">
        <v>1000000</v>
      </c>
      <c r="I72" s="3" t="s">
        <v>602</v>
      </c>
      <c r="J72" s="3" t="s">
        <v>640</v>
      </c>
      <c r="L72" s="3" t="s">
        <v>640</v>
      </c>
      <c r="M72" s="3" t="s">
        <v>640</v>
      </c>
      <c r="N72" s="3" t="s">
        <v>360</v>
      </c>
      <c r="O72">
        <v>78.8</v>
      </c>
      <c r="P72">
        <v>78.8</v>
      </c>
      <c r="Q72">
        <v>5.47</v>
      </c>
      <c r="R72">
        <v>0</v>
      </c>
      <c r="S72">
        <v>0</v>
      </c>
      <c r="T72" s="3" t="s">
        <v>448</v>
      </c>
      <c r="U72">
        <v>78.8</v>
      </c>
      <c r="V72" s="3" t="s">
        <v>449</v>
      </c>
      <c r="W72" s="3" t="s">
        <v>640</v>
      </c>
      <c r="X72" s="3" t="s">
        <v>1328</v>
      </c>
      <c r="Y72" s="3" t="s">
        <v>1328</v>
      </c>
      <c r="Z72" s="3" t="s">
        <v>1328</v>
      </c>
      <c r="AA72" t="s">
        <v>1517</v>
      </c>
      <c r="AB72" s="3" t="s">
        <v>1765</v>
      </c>
      <c r="AC72" s="3" t="s">
        <v>640</v>
      </c>
      <c r="AD72" s="3" t="s">
        <v>640</v>
      </c>
    </row>
    <row r="73" spans="1:30" x14ac:dyDescent="0.35">
      <c r="A73" s="3" t="s">
        <v>608</v>
      </c>
      <c r="B73" s="3" t="s">
        <v>608</v>
      </c>
      <c r="C73" s="3" t="s">
        <v>608</v>
      </c>
      <c r="D73" s="3" t="s">
        <v>608</v>
      </c>
      <c r="E73" s="3" t="s">
        <v>608</v>
      </c>
      <c r="F73" s="3" t="s">
        <v>640</v>
      </c>
      <c r="G73" s="3" t="s">
        <v>1122</v>
      </c>
      <c r="H73">
        <v>-174000</v>
      </c>
      <c r="I73" s="3" t="s">
        <v>472</v>
      </c>
      <c r="J73" s="3" t="s">
        <v>640</v>
      </c>
      <c r="L73" s="3" t="s">
        <v>640</v>
      </c>
      <c r="M73" s="3" t="s">
        <v>640</v>
      </c>
      <c r="N73" s="3" t="s">
        <v>175</v>
      </c>
      <c r="O73">
        <v>106.63</v>
      </c>
      <c r="P73">
        <v>106.63</v>
      </c>
      <c r="Q73">
        <v>-5.41</v>
      </c>
      <c r="R73">
        <v>0</v>
      </c>
      <c r="S73">
        <v>0</v>
      </c>
      <c r="T73" s="3" t="s">
        <v>448</v>
      </c>
      <c r="U73">
        <v>106.51</v>
      </c>
      <c r="V73" s="3" t="s">
        <v>449</v>
      </c>
      <c r="W73" s="3" t="s">
        <v>640</v>
      </c>
      <c r="X73" s="3" t="s">
        <v>1328</v>
      </c>
      <c r="Y73" s="3" t="s">
        <v>1328</v>
      </c>
      <c r="Z73" s="3" t="s">
        <v>1328</v>
      </c>
      <c r="AA73" t="s">
        <v>1605</v>
      </c>
      <c r="AB73" s="3" t="s">
        <v>1765</v>
      </c>
      <c r="AC73" s="3" t="s">
        <v>640</v>
      </c>
      <c r="AD73" s="3" t="s">
        <v>640</v>
      </c>
    </row>
    <row r="74" spans="1:30" x14ac:dyDescent="0.35">
      <c r="A74" s="3" t="s">
        <v>608</v>
      </c>
      <c r="B74" s="3" t="s">
        <v>608</v>
      </c>
      <c r="C74" s="3" t="s">
        <v>608</v>
      </c>
      <c r="D74" s="3" t="s">
        <v>608</v>
      </c>
      <c r="E74" s="3" t="s">
        <v>608</v>
      </c>
      <c r="F74" s="3" t="s">
        <v>640</v>
      </c>
      <c r="G74" s="3" t="s">
        <v>1343</v>
      </c>
      <c r="H74">
        <v>3181000</v>
      </c>
      <c r="I74" s="3" t="s">
        <v>1439</v>
      </c>
      <c r="J74" s="3" t="s">
        <v>640</v>
      </c>
      <c r="L74" s="3" t="s">
        <v>640</v>
      </c>
      <c r="M74" s="3" t="s">
        <v>640</v>
      </c>
      <c r="N74" s="3" t="s">
        <v>1340</v>
      </c>
      <c r="O74">
        <v>84.96</v>
      </c>
      <c r="P74">
        <v>84.96</v>
      </c>
      <c r="Q74">
        <v>-7221.1</v>
      </c>
      <c r="R74">
        <v>0</v>
      </c>
      <c r="S74">
        <v>0</v>
      </c>
      <c r="T74" s="3" t="s">
        <v>448</v>
      </c>
      <c r="U74">
        <v>84.96</v>
      </c>
      <c r="V74" s="3" t="s">
        <v>449</v>
      </c>
      <c r="W74" s="3" t="s">
        <v>640</v>
      </c>
      <c r="X74" s="3" t="s">
        <v>1328</v>
      </c>
      <c r="Y74" s="3" t="s">
        <v>1328</v>
      </c>
      <c r="Z74" s="3" t="s">
        <v>1814</v>
      </c>
      <c r="AA74" t="s">
        <v>1591</v>
      </c>
      <c r="AB74" s="3" t="s">
        <v>1766</v>
      </c>
      <c r="AC74" s="3" t="s">
        <v>640</v>
      </c>
      <c r="AD74" s="3" t="s">
        <v>640</v>
      </c>
    </row>
    <row r="75" spans="1:30" x14ac:dyDescent="0.35">
      <c r="A75" s="3" t="s">
        <v>608</v>
      </c>
      <c r="B75" s="3" t="s">
        <v>608</v>
      </c>
      <c r="C75" s="3" t="s">
        <v>608</v>
      </c>
      <c r="D75" s="3" t="s">
        <v>608</v>
      </c>
      <c r="E75" s="3" t="s">
        <v>608</v>
      </c>
      <c r="F75" s="3" t="s">
        <v>640</v>
      </c>
      <c r="G75" s="3" t="s">
        <v>1132</v>
      </c>
      <c r="H75">
        <v>-1840000</v>
      </c>
      <c r="I75" s="3" t="s">
        <v>1001</v>
      </c>
      <c r="J75" s="3" t="s">
        <v>640</v>
      </c>
      <c r="L75" s="3" t="s">
        <v>640</v>
      </c>
      <c r="M75" s="3" t="s">
        <v>640</v>
      </c>
      <c r="N75" s="3" t="s">
        <v>932</v>
      </c>
      <c r="O75">
        <v>108.97</v>
      </c>
      <c r="P75">
        <v>108.97</v>
      </c>
      <c r="Q75">
        <v>-52.99</v>
      </c>
      <c r="R75">
        <v>0</v>
      </c>
      <c r="S75">
        <v>0</v>
      </c>
      <c r="T75" s="3" t="s">
        <v>448</v>
      </c>
      <c r="U75">
        <v>109.13</v>
      </c>
      <c r="V75" s="3" t="s">
        <v>449</v>
      </c>
      <c r="W75" s="3" t="s">
        <v>640</v>
      </c>
      <c r="X75" s="3" t="s">
        <v>1328</v>
      </c>
      <c r="Y75" s="3" t="s">
        <v>1328</v>
      </c>
      <c r="Z75" s="3" t="s">
        <v>1328</v>
      </c>
      <c r="AA75" t="s">
        <v>1614</v>
      </c>
      <c r="AB75" s="3" t="s">
        <v>1765</v>
      </c>
      <c r="AC75" s="3" t="s">
        <v>640</v>
      </c>
      <c r="AD75" s="3" t="s">
        <v>640</v>
      </c>
    </row>
    <row r="76" spans="1:30" x14ac:dyDescent="0.35">
      <c r="A76" s="3" t="s">
        <v>608</v>
      </c>
      <c r="B76" s="3" t="s">
        <v>608</v>
      </c>
      <c r="C76" s="3" t="s">
        <v>608</v>
      </c>
      <c r="D76" s="3" t="s">
        <v>608</v>
      </c>
      <c r="E76" s="3" t="s">
        <v>608</v>
      </c>
      <c r="F76" s="3" t="s">
        <v>640</v>
      </c>
      <c r="G76" s="3" t="s">
        <v>1047</v>
      </c>
      <c r="H76">
        <v>-2275000</v>
      </c>
      <c r="I76" s="3" t="s">
        <v>1256</v>
      </c>
      <c r="J76" s="3" t="s">
        <v>640</v>
      </c>
      <c r="L76" s="3" t="s">
        <v>640</v>
      </c>
      <c r="M76" s="3" t="s">
        <v>640</v>
      </c>
      <c r="N76" s="3" t="s">
        <v>1243</v>
      </c>
      <c r="O76">
        <v>110.88</v>
      </c>
      <c r="P76">
        <v>110.88</v>
      </c>
      <c r="Q76">
        <v>-3581.74</v>
      </c>
      <c r="R76">
        <v>0</v>
      </c>
      <c r="S76">
        <v>0</v>
      </c>
      <c r="T76" s="3" t="s">
        <v>448</v>
      </c>
      <c r="U76">
        <v>109.79</v>
      </c>
      <c r="V76" s="3" t="s">
        <v>449</v>
      </c>
      <c r="W76" s="3" t="s">
        <v>640</v>
      </c>
      <c r="X76" s="3" t="s">
        <v>1743</v>
      </c>
      <c r="Y76" s="3" t="s">
        <v>1328</v>
      </c>
      <c r="Z76" s="3" t="s">
        <v>1815</v>
      </c>
      <c r="AA76" t="s">
        <v>1545</v>
      </c>
      <c r="AB76" s="3" t="s">
        <v>1768</v>
      </c>
      <c r="AC76" s="3" t="s">
        <v>640</v>
      </c>
      <c r="AD76" s="3" t="s">
        <v>640</v>
      </c>
    </row>
    <row r="77" spans="1:30" x14ac:dyDescent="0.35">
      <c r="A77" s="3" t="s">
        <v>608</v>
      </c>
      <c r="B77" s="3" t="s">
        <v>608</v>
      </c>
      <c r="C77" s="3" t="s">
        <v>608</v>
      </c>
      <c r="D77" s="3" t="s">
        <v>608</v>
      </c>
      <c r="E77" s="3" t="s">
        <v>608</v>
      </c>
      <c r="F77" s="3" t="s">
        <v>640</v>
      </c>
      <c r="G77" s="3" t="s">
        <v>1026</v>
      </c>
      <c r="H77">
        <v>-127000</v>
      </c>
      <c r="I77" s="3" t="s">
        <v>1334</v>
      </c>
      <c r="J77" s="3" t="s">
        <v>640</v>
      </c>
      <c r="L77" s="3" t="s">
        <v>640</v>
      </c>
      <c r="M77" s="3" t="s">
        <v>640</v>
      </c>
      <c r="N77" s="3" t="s">
        <v>596</v>
      </c>
      <c r="O77">
        <v>108.65</v>
      </c>
      <c r="P77">
        <v>108.65</v>
      </c>
      <c r="Q77">
        <v>-3.67</v>
      </c>
      <c r="R77">
        <v>0</v>
      </c>
      <c r="S77">
        <v>0</v>
      </c>
      <c r="T77" s="3" t="s">
        <v>448</v>
      </c>
      <c r="U77">
        <v>109.43</v>
      </c>
      <c r="V77" s="3" t="s">
        <v>449</v>
      </c>
      <c r="W77" s="3" t="s">
        <v>640</v>
      </c>
      <c r="X77" s="3" t="s">
        <v>1328</v>
      </c>
      <c r="Y77" s="3" t="s">
        <v>1328</v>
      </c>
      <c r="Z77" s="3" t="s">
        <v>1328</v>
      </c>
      <c r="AA77" t="s">
        <v>1528</v>
      </c>
      <c r="AB77" s="3" t="s">
        <v>1765</v>
      </c>
      <c r="AC77" s="3" t="s">
        <v>640</v>
      </c>
      <c r="AD77" s="3" t="s">
        <v>640</v>
      </c>
    </row>
    <row r="78" spans="1:30" x14ac:dyDescent="0.35">
      <c r="A78" s="3" t="s">
        <v>608</v>
      </c>
      <c r="B78" s="3" t="s">
        <v>608</v>
      </c>
      <c r="C78" s="3" t="s">
        <v>608</v>
      </c>
      <c r="D78" s="3" t="s">
        <v>608</v>
      </c>
      <c r="E78" s="3" t="s">
        <v>608</v>
      </c>
      <c r="F78" s="3" t="s">
        <v>640</v>
      </c>
      <c r="G78" s="3" t="s">
        <v>1065</v>
      </c>
      <c r="H78">
        <v>-1380000</v>
      </c>
      <c r="I78" s="3" t="s">
        <v>544</v>
      </c>
      <c r="J78" s="3" t="s">
        <v>640</v>
      </c>
      <c r="L78" s="3" t="s">
        <v>640</v>
      </c>
      <c r="M78" s="3" t="s">
        <v>640</v>
      </c>
      <c r="N78" s="3" t="s">
        <v>88</v>
      </c>
      <c r="O78">
        <v>109.22</v>
      </c>
      <c r="P78">
        <v>109.22</v>
      </c>
      <c r="Q78">
        <v>-41.37</v>
      </c>
      <c r="R78">
        <v>0</v>
      </c>
      <c r="S78">
        <v>0</v>
      </c>
      <c r="T78" s="3" t="s">
        <v>448</v>
      </c>
      <c r="U78">
        <v>108.85</v>
      </c>
      <c r="V78" s="3" t="s">
        <v>449</v>
      </c>
      <c r="W78" s="3" t="s">
        <v>640</v>
      </c>
      <c r="X78" s="3" t="s">
        <v>1328</v>
      </c>
      <c r="Y78" s="3" t="s">
        <v>1328</v>
      </c>
      <c r="Z78" s="3" t="s">
        <v>1328</v>
      </c>
      <c r="AA78" t="s">
        <v>1562</v>
      </c>
      <c r="AB78" s="3" t="s">
        <v>1765</v>
      </c>
      <c r="AC78" s="3" t="s">
        <v>640</v>
      </c>
      <c r="AD78" s="3" t="s">
        <v>640</v>
      </c>
    </row>
    <row r="79" spans="1:30" x14ac:dyDescent="0.35">
      <c r="A79" s="3" t="s">
        <v>608</v>
      </c>
      <c r="B79" s="3" t="s">
        <v>608</v>
      </c>
      <c r="C79" s="3" t="s">
        <v>608</v>
      </c>
      <c r="D79" s="3" t="s">
        <v>608</v>
      </c>
      <c r="E79" s="3" t="s">
        <v>608</v>
      </c>
      <c r="F79" s="3" t="s">
        <v>640</v>
      </c>
      <c r="G79" s="3" t="s">
        <v>1026</v>
      </c>
      <c r="H79">
        <v>-5000000</v>
      </c>
      <c r="I79" s="3" t="s">
        <v>1403</v>
      </c>
      <c r="J79" s="3" t="s">
        <v>640</v>
      </c>
      <c r="L79" s="3" t="s">
        <v>640</v>
      </c>
      <c r="M79" s="3" t="s">
        <v>640</v>
      </c>
      <c r="N79" s="3" t="s">
        <v>1400</v>
      </c>
      <c r="O79">
        <v>112.15</v>
      </c>
      <c r="P79">
        <v>112.15</v>
      </c>
      <c r="Q79">
        <v>-8025.88</v>
      </c>
      <c r="R79">
        <v>0</v>
      </c>
      <c r="S79">
        <v>0</v>
      </c>
      <c r="T79" s="3" t="s">
        <v>448</v>
      </c>
      <c r="U79">
        <v>112.15</v>
      </c>
      <c r="V79" s="3" t="s">
        <v>449</v>
      </c>
      <c r="W79" s="3" t="s">
        <v>640</v>
      </c>
      <c r="X79" s="3" t="s">
        <v>1328</v>
      </c>
      <c r="Y79" s="3" t="s">
        <v>1328</v>
      </c>
      <c r="Z79" s="3" t="s">
        <v>1816</v>
      </c>
      <c r="AA79" t="s">
        <v>1527</v>
      </c>
      <c r="AB79" s="3" t="s">
        <v>1768</v>
      </c>
      <c r="AC79" s="3" t="s">
        <v>640</v>
      </c>
      <c r="AD79" s="3" t="s">
        <v>640</v>
      </c>
    </row>
    <row r="80" spans="1:30" x14ac:dyDescent="0.35">
      <c r="A80" s="3" t="s">
        <v>608</v>
      </c>
      <c r="B80" s="3" t="s">
        <v>608</v>
      </c>
      <c r="C80" s="3" t="s">
        <v>608</v>
      </c>
      <c r="D80" s="3" t="s">
        <v>608</v>
      </c>
      <c r="E80" s="3" t="s">
        <v>608</v>
      </c>
      <c r="F80" s="3" t="s">
        <v>21</v>
      </c>
      <c r="G80" s="3" t="s">
        <v>1129</v>
      </c>
      <c r="H80">
        <v>50500</v>
      </c>
      <c r="I80" s="3" t="s">
        <v>22</v>
      </c>
      <c r="J80" s="3" t="s">
        <v>640</v>
      </c>
      <c r="L80" s="3" t="s">
        <v>640</v>
      </c>
      <c r="M80" s="3" t="s">
        <v>21</v>
      </c>
      <c r="N80" s="3" t="s">
        <v>21</v>
      </c>
      <c r="O80">
        <v>102</v>
      </c>
      <c r="P80">
        <v>101.97</v>
      </c>
      <c r="Q80">
        <v>-1515</v>
      </c>
      <c r="R80">
        <v>0</v>
      </c>
      <c r="S80">
        <v>0</v>
      </c>
      <c r="T80" s="3" t="s">
        <v>20</v>
      </c>
      <c r="U80">
        <v>99.04</v>
      </c>
      <c r="V80" s="3" t="s">
        <v>9</v>
      </c>
      <c r="W80" s="3" t="s">
        <v>653</v>
      </c>
      <c r="X80" s="3" t="s">
        <v>1328</v>
      </c>
      <c r="Y80" s="3" t="s">
        <v>1328</v>
      </c>
      <c r="Z80" s="3" t="s">
        <v>1817</v>
      </c>
      <c r="AA80" t="s">
        <v>1609</v>
      </c>
      <c r="AB80" s="3" t="s">
        <v>1765</v>
      </c>
      <c r="AC80" s="3" t="s">
        <v>640</v>
      </c>
      <c r="AD80" s="3" t="s">
        <v>640</v>
      </c>
    </row>
    <row r="81" spans="1:30" x14ac:dyDescent="0.35">
      <c r="A81" s="3" t="s">
        <v>608</v>
      </c>
      <c r="B81" s="3" t="s">
        <v>608</v>
      </c>
      <c r="C81" s="3" t="s">
        <v>608</v>
      </c>
      <c r="D81" s="3" t="s">
        <v>608</v>
      </c>
      <c r="E81" s="3" t="s">
        <v>608</v>
      </c>
      <c r="F81" s="3" t="s">
        <v>640</v>
      </c>
      <c r="G81" s="3" t="s">
        <v>1048</v>
      </c>
      <c r="H81">
        <v>-3000000</v>
      </c>
      <c r="I81" s="3" t="s">
        <v>903</v>
      </c>
      <c r="J81" s="3" t="s">
        <v>640</v>
      </c>
      <c r="L81" s="3" t="s">
        <v>640</v>
      </c>
      <c r="M81" s="3" t="s">
        <v>640</v>
      </c>
      <c r="N81" s="3" t="s">
        <v>665</v>
      </c>
      <c r="O81">
        <v>108.27</v>
      </c>
      <c r="P81">
        <v>108.27</v>
      </c>
      <c r="Q81">
        <v>-85.72</v>
      </c>
      <c r="R81">
        <v>0</v>
      </c>
      <c r="S81">
        <v>0</v>
      </c>
      <c r="T81" s="3" t="s">
        <v>448</v>
      </c>
      <c r="U81">
        <v>108.27</v>
      </c>
      <c r="V81" s="3" t="s">
        <v>449</v>
      </c>
      <c r="W81" s="3" t="s">
        <v>640</v>
      </c>
      <c r="X81" s="3" t="s">
        <v>1328</v>
      </c>
      <c r="Y81" s="3" t="s">
        <v>1328</v>
      </c>
      <c r="Z81" s="3" t="s">
        <v>1328</v>
      </c>
      <c r="AA81" t="s">
        <v>1546</v>
      </c>
      <c r="AB81" s="3" t="s">
        <v>1765</v>
      </c>
      <c r="AC81" s="3" t="s">
        <v>640</v>
      </c>
      <c r="AD81" s="3" t="s">
        <v>640</v>
      </c>
    </row>
    <row r="82" spans="1:30" x14ac:dyDescent="0.35">
      <c r="A82" s="3" t="s">
        <v>608</v>
      </c>
      <c r="B82" s="3" t="s">
        <v>608</v>
      </c>
      <c r="C82" s="3" t="s">
        <v>608</v>
      </c>
      <c r="D82" s="3" t="s">
        <v>608</v>
      </c>
      <c r="E82" s="3" t="s">
        <v>608</v>
      </c>
      <c r="F82" s="3" t="s">
        <v>640</v>
      </c>
      <c r="G82" s="3" t="s">
        <v>1020</v>
      </c>
      <c r="H82">
        <v>200000</v>
      </c>
      <c r="I82" s="3" t="s">
        <v>497</v>
      </c>
      <c r="J82" s="3" t="s">
        <v>640</v>
      </c>
      <c r="L82" s="3" t="s">
        <v>640</v>
      </c>
      <c r="M82" s="3" t="s">
        <v>640</v>
      </c>
      <c r="N82" s="3" t="s">
        <v>570</v>
      </c>
      <c r="O82">
        <v>78.150000000000006</v>
      </c>
      <c r="P82">
        <v>78.150000000000006</v>
      </c>
      <c r="Q82">
        <v>-418.2</v>
      </c>
      <c r="R82">
        <v>0</v>
      </c>
      <c r="S82">
        <v>0</v>
      </c>
      <c r="T82" s="3" t="s">
        <v>448</v>
      </c>
      <c r="U82">
        <v>78.150000000000006</v>
      </c>
      <c r="V82" s="3" t="s">
        <v>449</v>
      </c>
      <c r="W82" s="3" t="s">
        <v>640</v>
      </c>
      <c r="X82" s="3" t="s">
        <v>1328</v>
      </c>
      <c r="Y82" s="3" t="s">
        <v>1328</v>
      </c>
      <c r="Z82" s="3" t="s">
        <v>1818</v>
      </c>
      <c r="AA82" t="s">
        <v>1521</v>
      </c>
      <c r="AB82" s="3" t="s">
        <v>1766</v>
      </c>
      <c r="AC82" s="3" t="s">
        <v>640</v>
      </c>
      <c r="AD82" s="3" t="s">
        <v>640</v>
      </c>
    </row>
    <row r="83" spans="1:30" x14ac:dyDescent="0.35">
      <c r="A83" s="3" t="s">
        <v>608</v>
      </c>
      <c r="B83" s="3" t="s">
        <v>608</v>
      </c>
      <c r="C83" s="3" t="s">
        <v>608</v>
      </c>
      <c r="D83" s="3" t="s">
        <v>608</v>
      </c>
      <c r="E83" s="3" t="s">
        <v>608</v>
      </c>
      <c r="F83" s="3" t="s">
        <v>640</v>
      </c>
      <c r="G83" s="3" t="s">
        <v>1046</v>
      </c>
      <c r="H83">
        <v>-4500000</v>
      </c>
      <c r="I83" s="3" t="s">
        <v>850</v>
      </c>
      <c r="J83" s="3" t="s">
        <v>640</v>
      </c>
      <c r="L83" s="3" t="s">
        <v>640</v>
      </c>
      <c r="M83" s="3" t="s">
        <v>640</v>
      </c>
      <c r="N83" s="3" t="s">
        <v>299</v>
      </c>
      <c r="O83">
        <v>115.24</v>
      </c>
      <c r="P83">
        <v>115.24</v>
      </c>
      <c r="Q83">
        <v>13709.9</v>
      </c>
      <c r="R83">
        <v>0</v>
      </c>
      <c r="S83">
        <v>0</v>
      </c>
      <c r="T83" s="3" t="s">
        <v>448</v>
      </c>
      <c r="U83">
        <v>114.89</v>
      </c>
      <c r="V83" s="3" t="s">
        <v>449</v>
      </c>
      <c r="W83" s="3" t="s">
        <v>640</v>
      </c>
      <c r="X83" s="3" t="s">
        <v>1328</v>
      </c>
      <c r="Y83" s="3" t="s">
        <v>1328</v>
      </c>
      <c r="Z83" s="3" t="s">
        <v>1819</v>
      </c>
      <c r="AA83" t="s">
        <v>1543</v>
      </c>
      <c r="AB83" s="3" t="s">
        <v>1766</v>
      </c>
      <c r="AC83" s="3" t="s">
        <v>640</v>
      </c>
      <c r="AD83" s="3" t="s">
        <v>640</v>
      </c>
    </row>
    <row r="84" spans="1:30" x14ac:dyDescent="0.35">
      <c r="A84" s="3" t="s">
        <v>608</v>
      </c>
      <c r="B84" s="3" t="s">
        <v>608</v>
      </c>
      <c r="C84" s="3" t="s">
        <v>608</v>
      </c>
      <c r="D84" s="3" t="s">
        <v>608</v>
      </c>
      <c r="E84" s="3" t="s">
        <v>608</v>
      </c>
      <c r="F84" s="3" t="s">
        <v>640</v>
      </c>
      <c r="G84" s="3" t="s">
        <v>1440</v>
      </c>
      <c r="H84">
        <v>2000000</v>
      </c>
      <c r="I84" s="3" t="s">
        <v>590</v>
      </c>
      <c r="J84" s="3" t="s">
        <v>640</v>
      </c>
      <c r="L84" s="3" t="s">
        <v>640</v>
      </c>
      <c r="M84" s="3" t="s">
        <v>640</v>
      </c>
      <c r="N84" s="3" t="s">
        <v>369</v>
      </c>
      <c r="O84">
        <v>80.75</v>
      </c>
      <c r="P84">
        <v>80.75</v>
      </c>
      <c r="Q84">
        <v>13.46</v>
      </c>
      <c r="R84">
        <v>0</v>
      </c>
      <c r="S84">
        <v>0</v>
      </c>
      <c r="T84" s="3" t="s">
        <v>448</v>
      </c>
      <c r="U84">
        <v>80.75</v>
      </c>
      <c r="V84" s="3" t="s">
        <v>449</v>
      </c>
      <c r="W84" s="3" t="s">
        <v>640</v>
      </c>
      <c r="X84" s="3" t="s">
        <v>1328</v>
      </c>
      <c r="Y84" s="3" t="s">
        <v>1328</v>
      </c>
      <c r="Z84" s="3" t="s">
        <v>1328</v>
      </c>
      <c r="AA84" t="s">
        <v>1535</v>
      </c>
      <c r="AB84" s="3" t="s">
        <v>1765</v>
      </c>
      <c r="AC84" s="3" t="s">
        <v>640</v>
      </c>
      <c r="AD84" s="3" t="s">
        <v>640</v>
      </c>
    </row>
    <row r="85" spans="1:30" x14ac:dyDescent="0.35">
      <c r="A85" s="3" t="s">
        <v>608</v>
      </c>
      <c r="B85" s="3" t="s">
        <v>608</v>
      </c>
      <c r="C85" s="3" t="s">
        <v>608</v>
      </c>
      <c r="D85" s="3" t="s">
        <v>608</v>
      </c>
      <c r="E85" s="3" t="s">
        <v>608</v>
      </c>
      <c r="F85" s="3" t="s">
        <v>640</v>
      </c>
      <c r="G85" s="3" t="s">
        <v>1026</v>
      </c>
      <c r="H85">
        <v>4000000</v>
      </c>
      <c r="I85" s="3" t="s">
        <v>1763</v>
      </c>
      <c r="J85" s="3" t="s">
        <v>640</v>
      </c>
      <c r="L85" s="3" t="s">
        <v>640</v>
      </c>
      <c r="M85" s="3" t="s">
        <v>640</v>
      </c>
      <c r="N85" s="3" t="s">
        <v>1638</v>
      </c>
      <c r="O85">
        <v>107.22</v>
      </c>
      <c r="P85">
        <v>80.47</v>
      </c>
      <c r="Q85">
        <v>4584.3</v>
      </c>
      <c r="R85">
        <v>0</v>
      </c>
      <c r="S85">
        <v>0</v>
      </c>
      <c r="T85" s="3" t="s">
        <v>448</v>
      </c>
      <c r="U85">
        <v>80.47</v>
      </c>
      <c r="V85" s="3" t="s">
        <v>449</v>
      </c>
      <c r="W85" s="3" t="s">
        <v>640</v>
      </c>
      <c r="X85" s="3" t="s">
        <v>1328</v>
      </c>
      <c r="Y85" s="3" t="s">
        <v>1328</v>
      </c>
      <c r="Z85" s="3" t="s">
        <v>1820</v>
      </c>
      <c r="AA85" t="s">
        <v>1616</v>
      </c>
      <c r="AB85" s="3" t="s">
        <v>1768</v>
      </c>
      <c r="AC85" s="3" t="s">
        <v>640</v>
      </c>
      <c r="AD85" s="3" t="s">
        <v>640</v>
      </c>
    </row>
    <row r="86" spans="1:30" x14ac:dyDescent="0.35">
      <c r="A86" s="3" t="s">
        <v>608</v>
      </c>
      <c r="B86" s="3" t="s">
        <v>608</v>
      </c>
      <c r="C86" s="3" t="s">
        <v>608</v>
      </c>
      <c r="D86" s="3" t="s">
        <v>608</v>
      </c>
      <c r="E86" s="3" t="s">
        <v>608</v>
      </c>
      <c r="F86" s="3" t="s">
        <v>640</v>
      </c>
      <c r="G86" s="3" t="s">
        <v>1100</v>
      </c>
      <c r="H86">
        <v>-1000000</v>
      </c>
      <c r="I86" s="3" t="s">
        <v>473</v>
      </c>
      <c r="J86" s="3" t="s">
        <v>640</v>
      </c>
      <c r="L86" s="3" t="s">
        <v>640</v>
      </c>
      <c r="M86" s="3" t="s">
        <v>640</v>
      </c>
      <c r="N86" s="3" t="s">
        <v>138</v>
      </c>
      <c r="O86">
        <v>113.86</v>
      </c>
      <c r="P86">
        <v>113.86</v>
      </c>
      <c r="Q86">
        <v>-30.05</v>
      </c>
      <c r="R86">
        <v>0</v>
      </c>
      <c r="S86">
        <v>0</v>
      </c>
      <c r="T86" s="3" t="s">
        <v>448</v>
      </c>
      <c r="U86">
        <v>113.86</v>
      </c>
      <c r="V86" s="3" t="s">
        <v>449</v>
      </c>
      <c r="W86" s="3" t="s">
        <v>640</v>
      </c>
      <c r="X86" s="3" t="s">
        <v>1328</v>
      </c>
      <c r="Y86" s="3" t="s">
        <v>1328</v>
      </c>
      <c r="Z86" s="3" t="s">
        <v>1328</v>
      </c>
      <c r="AA86" t="s">
        <v>1519</v>
      </c>
      <c r="AB86" s="3" t="s">
        <v>1765</v>
      </c>
      <c r="AC86" s="3" t="s">
        <v>640</v>
      </c>
      <c r="AD86" s="3" t="s">
        <v>640</v>
      </c>
    </row>
    <row r="87" spans="1:30" x14ac:dyDescent="0.35">
      <c r="A87" s="3" t="s">
        <v>608</v>
      </c>
      <c r="B87" s="3" t="s">
        <v>608</v>
      </c>
      <c r="C87" s="3" t="s">
        <v>608</v>
      </c>
      <c r="D87" s="3" t="s">
        <v>608</v>
      </c>
      <c r="E87" s="3" t="s">
        <v>608</v>
      </c>
      <c r="F87" s="3" t="s">
        <v>640</v>
      </c>
      <c r="G87" s="3" t="s">
        <v>1096</v>
      </c>
      <c r="H87">
        <v>2300000</v>
      </c>
      <c r="I87" s="3" t="s">
        <v>474</v>
      </c>
      <c r="J87" s="3" t="s">
        <v>640</v>
      </c>
      <c r="L87" s="3" t="s">
        <v>640</v>
      </c>
      <c r="M87" s="3" t="s">
        <v>640</v>
      </c>
      <c r="N87" s="3" t="s">
        <v>133</v>
      </c>
      <c r="O87">
        <v>90.32</v>
      </c>
      <c r="P87">
        <v>90.32</v>
      </c>
      <c r="Q87">
        <v>14.43</v>
      </c>
      <c r="R87">
        <v>0</v>
      </c>
      <c r="S87">
        <v>0</v>
      </c>
      <c r="T87" s="3" t="s">
        <v>448</v>
      </c>
      <c r="U87">
        <v>90.32</v>
      </c>
      <c r="V87" s="3" t="s">
        <v>449</v>
      </c>
      <c r="W87" s="3" t="s">
        <v>640</v>
      </c>
      <c r="X87" s="3" t="s">
        <v>1328</v>
      </c>
      <c r="Y87" s="3" t="s">
        <v>1328</v>
      </c>
      <c r="Z87" s="3" t="s">
        <v>1328</v>
      </c>
      <c r="AA87" t="s">
        <v>1588</v>
      </c>
      <c r="AB87" s="3" t="s">
        <v>1765</v>
      </c>
      <c r="AC87" s="3" t="s">
        <v>640</v>
      </c>
      <c r="AD87" s="3" t="s">
        <v>640</v>
      </c>
    </row>
    <row r="88" spans="1:30" x14ac:dyDescent="0.35">
      <c r="A88" s="3" t="s">
        <v>608</v>
      </c>
      <c r="B88" s="3" t="s">
        <v>608</v>
      </c>
      <c r="C88" s="3" t="s">
        <v>608</v>
      </c>
      <c r="D88" s="3" t="s">
        <v>608</v>
      </c>
      <c r="E88" s="3" t="s">
        <v>608</v>
      </c>
      <c r="F88" s="3" t="s">
        <v>640</v>
      </c>
      <c r="G88" s="3" t="s">
        <v>1097</v>
      </c>
      <c r="H88">
        <v>1000000</v>
      </c>
      <c r="I88" s="3" t="s">
        <v>515</v>
      </c>
      <c r="J88" s="3" t="s">
        <v>640</v>
      </c>
      <c r="L88" s="3" t="s">
        <v>640</v>
      </c>
      <c r="M88" s="3" t="s">
        <v>640</v>
      </c>
      <c r="N88" s="3" t="s">
        <v>356</v>
      </c>
      <c r="O88">
        <v>87.68</v>
      </c>
      <c r="P88">
        <v>87.68</v>
      </c>
      <c r="Q88">
        <v>-2339.89</v>
      </c>
      <c r="R88">
        <v>0</v>
      </c>
      <c r="S88">
        <v>0</v>
      </c>
      <c r="T88" s="3" t="s">
        <v>448</v>
      </c>
      <c r="U88">
        <v>87.68</v>
      </c>
      <c r="V88" s="3" t="s">
        <v>449</v>
      </c>
      <c r="W88" s="3" t="s">
        <v>640</v>
      </c>
      <c r="X88" s="3" t="s">
        <v>1328</v>
      </c>
      <c r="Y88" s="3" t="s">
        <v>1328</v>
      </c>
      <c r="Z88" s="3" t="s">
        <v>1821</v>
      </c>
      <c r="AA88" t="s">
        <v>1517</v>
      </c>
      <c r="AB88" s="3" t="s">
        <v>1766</v>
      </c>
      <c r="AC88" s="3" t="s">
        <v>640</v>
      </c>
      <c r="AD88" s="3" t="s">
        <v>640</v>
      </c>
    </row>
    <row r="89" spans="1:30" x14ac:dyDescent="0.35">
      <c r="A89" s="3" t="s">
        <v>608</v>
      </c>
      <c r="B89" s="3" t="s">
        <v>608</v>
      </c>
      <c r="C89" s="3" t="s">
        <v>608</v>
      </c>
      <c r="D89" s="3" t="s">
        <v>608</v>
      </c>
      <c r="E89" s="3" t="s">
        <v>608</v>
      </c>
      <c r="F89" s="3" t="s">
        <v>640</v>
      </c>
      <c r="G89" s="3" t="s">
        <v>1107</v>
      </c>
      <c r="H89">
        <v>-434000</v>
      </c>
      <c r="I89" s="3" t="s">
        <v>535</v>
      </c>
      <c r="J89" s="3" t="s">
        <v>640</v>
      </c>
      <c r="L89" s="3" t="s">
        <v>640</v>
      </c>
      <c r="M89" s="3" t="s">
        <v>640</v>
      </c>
      <c r="N89" s="3" t="s">
        <v>372</v>
      </c>
      <c r="O89">
        <v>108.91</v>
      </c>
      <c r="P89">
        <v>108.91</v>
      </c>
      <c r="Q89">
        <v>-12.52</v>
      </c>
      <c r="R89">
        <v>0</v>
      </c>
      <c r="S89">
        <v>0</v>
      </c>
      <c r="T89" s="3" t="s">
        <v>448</v>
      </c>
      <c r="U89">
        <v>109.35</v>
      </c>
      <c r="V89" s="3" t="s">
        <v>449</v>
      </c>
      <c r="W89" s="3" t="s">
        <v>640</v>
      </c>
      <c r="X89" s="3" t="s">
        <v>1328</v>
      </c>
      <c r="Y89" s="3" t="s">
        <v>1328</v>
      </c>
      <c r="Z89" s="3" t="s">
        <v>1328</v>
      </c>
      <c r="AA89" t="s">
        <v>1594</v>
      </c>
      <c r="AB89" s="3" t="s">
        <v>1765</v>
      </c>
      <c r="AC89" s="3" t="s">
        <v>640</v>
      </c>
      <c r="AD89" s="3" t="s">
        <v>640</v>
      </c>
    </row>
    <row r="90" spans="1:30" x14ac:dyDescent="0.35">
      <c r="A90" s="3" t="s">
        <v>608</v>
      </c>
      <c r="B90" s="3" t="s">
        <v>608</v>
      </c>
      <c r="C90" s="3" t="s">
        <v>608</v>
      </c>
      <c r="D90" s="3" t="s">
        <v>608</v>
      </c>
      <c r="E90" s="3" t="s">
        <v>608</v>
      </c>
      <c r="F90" s="3" t="s">
        <v>640</v>
      </c>
      <c r="G90" s="3" t="s">
        <v>1114</v>
      </c>
      <c r="H90">
        <v>-1535000</v>
      </c>
      <c r="I90" s="3" t="s">
        <v>519</v>
      </c>
      <c r="J90" s="3" t="s">
        <v>640</v>
      </c>
      <c r="L90" s="3" t="s">
        <v>640</v>
      </c>
      <c r="M90" s="3" t="s">
        <v>640</v>
      </c>
      <c r="N90" s="3" t="s">
        <v>146</v>
      </c>
      <c r="O90">
        <v>111.63</v>
      </c>
      <c r="P90">
        <v>111.63</v>
      </c>
      <c r="Q90">
        <v>-45.22</v>
      </c>
      <c r="R90">
        <v>0</v>
      </c>
      <c r="S90">
        <v>0</v>
      </c>
      <c r="T90" s="3" t="s">
        <v>448</v>
      </c>
      <c r="U90">
        <v>111.63</v>
      </c>
      <c r="V90" s="3" t="s">
        <v>449</v>
      </c>
      <c r="W90" s="3" t="s">
        <v>640</v>
      </c>
      <c r="X90" s="3" t="s">
        <v>1328</v>
      </c>
      <c r="Y90" s="3" t="s">
        <v>1328</v>
      </c>
      <c r="Z90" s="3" t="s">
        <v>1328</v>
      </c>
      <c r="AA90" t="s">
        <v>1598</v>
      </c>
      <c r="AB90" s="3" t="s">
        <v>1765</v>
      </c>
      <c r="AC90" s="3" t="s">
        <v>640</v>
      </c>
      <c r="AD90" s="3" t="s">
        <v>640</v>
      </c>
    </row>
    <row r="91" spans="1:30" x14ac:dyDescent="0.35">
      <c r="A91" s="3" t="s">
        <v>608</v>
      </c>
      <c r="B91" s="3" t="s">
        <v>608</v>
      </c>
      <c r="C91" s="3" t="s">
        <v>608</v>
      </c>
      <c r="D91" s="3" t="s">
        <v>608</v>
      </c>
      <c r="E91" s="3" t="s">
        <v>608</v>
      </c>
      <c r="F91" s="3" t="s">
        <v>640</v>
      </c>
      <c r="G91" s="3" t="s">
        <v>1121</v>
      </c>
      <c r="H91">
        <v>-3500000</v>
      </c>
      <c r="I91" s="3" t="s">
        <v>1248</v>
      </c>
      <c r="J91" s="3" t="s">
        <v>640</v>
      </c>
      <c r="L91" s="3" t="s">
        <v>640</v>
      </c>
      <c r="M91" s="3" t="s">
        <v>640</v>
      </c>
      <c r="N91" s="3" t="s">
        <v>996</v>
      </c>
      <c r="O91">
        <v>106.44</v>
      </c>
      <c r="P91">
        <v>108.34</v>
      </c>
      <c r="Q91">
        <v>0</v>
      </c>
      <c r="R91">
        <v>0</v>
      </c>
      <c r="S91">
        <v>0</v>
      </c>
      <c r="T91" s="3" t="s">
        <v>448</v>
      </c>
      <c r="U91">
        <v>108.34</v>
      </c>
      <c r="V91" s="3" t="s">
        <v>449</v>
      </c>
      <c r="W91" s="3" t="s">
        <v>640</v>
      </c>
      <c r="X91" s="3" t="s">
        <v>1328</v>
      </c>
      <c r="Y91" s="3" t="s">
        <v>1328</v>
      </c>
      <c r="Z91" s="3" t="s">
        <v>1328</v>
      </c>
      <c r="AA91" t="s">
        <v>1616</v>
      </c>
      <c r="AB91" s="3" t="s">
        <v>1765</v>
      </c>
      <c r="AC91" s="3" t="s">
        <v>640</v>
      </c>
      <c r="AD91" s="3" t="s">
        <v>640</v>
      </c>
    </row>
    <row r="92" spans="1:30" x14ac:dyDescent="0.35">
      <c r="A92" s="3" t="s">
        <v>608</v>
      </c>
      <c r="B92" s="3" t="s">
        <v>608</v>
      </c>
      <c r="C92" s="3" t="s">
        <v>608</v>
      </c>
      <c r="D92" s="3" t="s">
        <v>608</v>
      </c>
      <c r="E92" s="3" t="s">
        <v>608</v>
      </c>
      <c r="F92" s="3" t="s">
        <v>640</v>
      </c>
      <c r="G92" s="3" t="s">
        <v>1051</v>
      </c>
      <c r="H92">
        <v>-2300000</v>
      </c>
      <c r="I92" s="3" t="s">
        <v>518</v>
      </c>
      <c r="J92" s="3" t="s">
        <v>640</v>
      </c>
      <c r="L92" s="3" t="s">
        <v>640</v>
      </c>
      <c r="M92" s="3" t="s">
        <v>640</v>
      </c>
      <c r="N92" s="3" t="s">
        <v>81</v>
      </c>
      <c r="O92">
        <v>113.47</v>
      </c>
      <c r="P92">
        <v>113.47</v>
      </c>
      <c r="Q92">
        <v>-68.87</v>
      </c>
      <c r="R92">
        <v>0</v>
      </c>
      <c r="S92">
        <v>0</v>
      </c>
      <c r="T92" s="3" t="s">
        <v>448</v>
      </c>
      <c r="U92">
        <v>113.47</v>
      </c>
      <c r="V92" s="3" t="s">
        <v>449</v>
      </c>
      <c r="W92" s="3" t="s">
        <v>640</v>
      </c>
      <c r="X92" s="3" t="s">
        <v>1328</v>
      </c>
      <c r="Y92" s="3" t="s">
        <v>1328</v>
      </c>
      <c r="Z92" s="3" t="s">
        <v>1328</v>
      </c>
      <c r="AA92" t="s">
        <v>1549</v>
      </c>
      <c r="AB92" s="3" t="s">
        <v>1765</v>
      </c>
      <c r="AC92" s="3" t="s">
        <v>640</v>
      </c>
      <c r="AD92" s="3" t="s">
        <v>640</v>
      </c>
    </row>
    <row r="93" spans="1:30" x14ac:dyDescent="0.35">
      <c r="A93" s="3" t="s">
        <v>608</v>
      </c>
      <c r="B93" s="3" t="s">
        <v>608</v>
      </c>
      <c r="C93" s="3" t="s">
        <v>608</v>
      </c>
      <c r="D93" s="3" t="s">
        <v>608</v>
      </c>
      <c r="E93" s="3" t="s">
        <v>608</v>
      </c>
      <c r="F93" s="3" t="s">
        <v>640</v>
      </c>
      <c r="G93" s="3" t="s">
        <v>1070</v>
      </c>
      <c r="H93">
        <v>-5381000</v>
      </c>
      <c r="I93" s="3" t="s">
        <v>451</v>
      </c>
      <c r="J93" s="3" t="s">
        <v>640</v>
      </c>
      <c r="L93" s="3" t="s">
        <v>640</v>
      </c>
      <c r="M93" s="3" t="s">
        <v>640</v>
      </c>
      <c r="N93" s="3" t="s">
        <v>106</v>
      </c>
      <c r="O93">
        <v>109.97</v>
      </c>
      <c r="P93">
        <v>109.97</v>
      </c>
      <c r="Q93">
        <v>-157.75</v>
      </c>
      <c r="R93">
        <v>0</v>
      </c>
      <c r="S93">
        <v>0</v>
      </c>
      <c r="T93" s="3" t="s">
        <v>448</v>
      </c>
      <c r="U93">
        <v>111.09</v>
      </c>
      <c r="V93" s="3" t="s">
        <v>449</v>
      </c>
      <c r="W93" s="3" t="s">
        <v>640</v>
      </c>
      <c r="X93" s="3" t="s">
        <v>1328</v>
      </c>
      <c r="Y93" s="3" t="s">
        <v>1328</v>
      </c>
      <c r="Z93" s="3" t="s">
        <v>1328</v>
      </c>
      <c r="AA93" t="s">
        <v>1567</v>
      </c>
      <c r="AB93" s="3" t="s">
        <v>1765</v>
      </c>
      <c r="AC93" s="3" t="s">
        <v>640</v>
      </c>
      <c r="AD93" s="3" t="s">
        <v>640</v>
      </c>
    </row>
    <row r="94" spans="1:30" x14ac:dyDescent="0.35">
      <c r="A94" s="3" t="s">
        <v>608</v>
      </c>
      <c r="B94" s="3" t="s">
        <v>608</v>
      </c>
      <c r="C94" s="3" t="s">
        <v>608</v>
      </c>
      <c r="D94" s="3" t="s">
        <v>608</v>
      </c>
      <c r="E94" s="3" t="s">
        <v>608</v>
      </c>
      <c r="F94" s="3" t="s">
        <v>640</v>
      </c>
      <c r="G94" s="3" t="s">
        <v>1134</v>
      </c>
      <c r="H94">
        <v>-317000</v>
      </c>
      <c r="I94" s="3" t="s">
        <v>593</v>
      </c>
      <c r="J94" s="3" t="s">
        <v>640</v>
      </c>
      <c r="L94" s="3" t="s">
        <v>640</v>
      </c>
      <c r="M94" s="3" t="s">
        <v>640</v>
      </c>
      <c r="N94" s="3" t="s">
        <v>197</v>
      </c>
      <c r="O94">
        <v>107.11</v>
      </c>
      <c r="P94">
        <v>107.11</v>
      </c>
      <c r="Q94">
        <v>-9.0299999999999994</v>
      </c>
      <c r="R94">
        <v>0</v>
      </c>
      <c r="S94">
        <v>0</v>
      </c>
      <c r="T94" s="3" t="s">
        <v>448</v>
      </c>
      <c r="U94">
        <v>107.94</v>
      </c>
      <c r="V94" s="3" t="s">
        <v>449</v>
      </c>
      <c r="W94" s="3" t="s">
        <v>640</v>
      </c>
      <c r="X94" s="3" t="s">
        <v>1328</v>
      </c>
      <c r="Y94" s="3" t="s">
        <v>1328</v>
      </c>
      <c r="Z94" s="3" t="s">
        <v>1328</v>
      </c>
      <c r="AA94" t="s">
        <v>1618</v>
      </c>
      <c r="AB94" s="3" t="s">
        <v>1765</v>
      </c>
      <c r="AC94" s="3" t="s">
        <v>640</v>
      </c>
      <c r="AD94" s="3" t="s">
        <v>640</v>
      </c>
    </row>
    <row r="95" spans="1:30" x14ac:dyDescent="0.35">
      <c r="A95" s="3" t="s">
        <v>608</v>
      </c>
      <c r="B95" s="3" t="s">
        <v>608</v>
      </c>
      <c r="C95" s="3" t="s">
        <v>608</v>
      </c>
      <c r="D95" s="3" t="s">
        <v>608</v>
      </c>
      <c r="E95" s="3" t="s">
        <v>608</v>
      </c>
      <c r="F95" s="3" t="s">
        <v>640</v>
      </c>
      <c r="G95" s="3" t="s">
        <v>1016</v>
      </c>
      <c r="H95">
        <v>-500000</v>
      </c>
      <c r="I95" s="3" t="s">
        <v>498</v>
      </c>
      <c r="J95" s="3" t="s">
        <v>640</v>
      </c>
      <c r="L95" s="3" t="s">
        <v>640</v>
      </c>
      <c r="M95" s="3" t="s">
        <v>640</v>
      </c>
      <c r="N95" s="3" t="s">
        <v>560</v>
      </c>
      <c r="O95">
        <v>100.14</v>
      </c>
      <c r="P95">
        <v>100.14</v>
      </c>
      <c r="Q95">
        <v>-13.21</v>
      </c>
      <c r="R95">
        <v>0</v>
      </c>
      <c r="S95">
        <v>0</v>
      </c>
      <c r="T95" s="3" t="s">
        <v>448</v>
      </c>
      <c r="U95">
        <v>100.14</v>
      </c>
      <c r="V95" s="3" t="s">
        <v>449</v>
      </c>
      <c r="W95" s="3" t="s">
        <v>640</v>
      </c>
      <c r="X95" s="3" t="s">
        <v>1328</v>
      </c>
      <c r="Y95" s="3" t="s">
        <v>1328</v>
      </c>
      <c r="Z95" s="3" t="s">
        <v>1328</v>
      </c>
      <c r="AA95" t="s">
        <v>1512</v>
      </c>
      <c r="AB95" s="3" t="s">
        <v>1765</v>
      </c>
      <c r="AC95" s="3" t="s">
        <v>640</v>
      </c>
      <c r="AD95" s="3" t="s">
        <v>640</v>
      </c>
    </row>
    <row r="96" spans="1:30" x14ac:dyDescent="0.35">
      <c r="A96" s="3" t="s">
        <v>608</v>
      </c>
      <c r="B96" s="3" t="s">
        <v>608</v>
      </c>
      <c r="C96" s="3" t="s">
        <v>608</v>
      </c>
      <c r="D96" s="3" t="s">
        <v>608</v>
      </c>
      <c r="E96" s="3" t="s">
        <v>608</v>
      </c>
      <c r="F96" s="3" t="s">
        <v>831</v>
      </c>
      <c r="G96" s="3" t="s">
        <v>1106</v>
      </c>
      <c r="H96">
        <v>2348</v>
      </c>
      <c r="I96" s="3" t="s">
        <v>640</v>
      </c>
      <c r="J96" s="3" t="s">
        <v>640</v>
      </c>
      <c r="L96" s="3" t="s">
        <v>640</v>
      </c>
      <c r="M96" s="3" t="s">
        <v>831</v>
      </c>
      <c r="N96" s="3" t="s">
        <v>831</v>
      </c>
      <c r="O96">
        <v>106.49</v>
      </c>
      <c r="P96">
        <v>106.49</v>
      </c>
      <c r="Q96">
        <v>0</v>
      </c>
      <c r="R96">
        <v>0</v>
      </c>
      <c r="S96">
        <v>0</v>
      </c>
      <c r="T96" s="3" t="s">
        <v>832</v>
      </c>
      <c r="U96">
        <v>106.49</v>
      </c>
      <c r="V96" s="3" t="s">
        <v>449</v>
      </c>
      <c r="W96" s="3" t="s">
        <v>640</v>
      </c>
      <c r="X96" s="3" t="s">
        <v>1328</v>
      </c>
      <c r="Y96" s="3" t="s">
        <v>1328</v>
      </c>
      <c r="Z96" s="3" t="s">
        <v>1328</v>
      </c>
      <c r="AA96" t="s">
        <v>1593</v>
      </c>
      <c r="AB96" s="3" t="s">
        <v>1765</v>
      </c>
      <c r="AC96" s="3" t="s">
        <v>640</v>
      </c>
      <c r="AD96" s="3" t="s">
        <v>640</v>
      </c>
    </row>
    <row r="97" spans="1:30" x14ac:dyDescent="0.35">
      <c r="A97" s="3" t="s">
        <v>608</v>
      </c>
      <c r="B97" s="3" t="s">
        <v>608</v>
      </c>
      <c r="C97" s="3" t="s">
        <v>608</v>
      </c>
      <c r="D97" s="3" t="s">
        <v>608</v>
      </c>
      <c r="E97" s="3" t="s">
        <v>608</v>
      </c>
      <c r="F97" s="3" t="s">
        <v>640</v>
      </c>
      <c r="G97" s="3" t="s">
        <v>1136</v>
      </c>
      <c r="H97">
        <v>-900000</v>
      </c>
      <c r="I97" s="3" t="s">
        <v>499</v>
      </c>
      <c r="J97" s="3" t="s">
        <v>640</v>
      </c>
      <c r="L97" s="3" t="s">
        <v>640</v>
      </c>
      <c r="M97" s="3" t="s">
        <v>640</v>
      </c>
      <c r="N97" s="3" t="s">
        <v>193</v>
      </c>
      <c r="O97">
        <v>117.27</v>
      </c>
      <c r="P97">
        <v>117.27</v>
      </c>
      <c r="Q97">
        <v>-27.85</v>
      </c>
      <c r="R97">
        <v>0</v>
      </c>
      <c r="S97">
        <v>0</v>
      </c>
      <c r="T97" s="3" t="s">
        <v>448</v>
      </c>
      <c r="U97">
        <v>117.27</v>
      </c>
      <c r="V97" s="3" t="s">
        <v>449</v>
      </c>
      <c r="W97" s="3" t="s">
        <v>640</v>
      </c>
      <c r="X97" s="3" t="s">
        <v>1328</v>
      </c>
      <c r="Y97" s="3" t="s">
        <v>1328</v>
      </c>
      <c r="Z97" s="3" t="s">
        <v>1328</v>
      </c>
      <c r="AA97" t="s">
        <v>1619</v>
      </c>
      <c r="AB97" s="3" t="s">
        <v>1765</v>
      </c>
      <c r="AC97" s="3" t="s">
        <v>640</v>
      </c>
      <c r="AD97" s="3" t="s">
        <v>640</v>
      </c>
    </row>
    <row r="98" spans="1:30" x14ac:dyDescent="0.35">
      <c r="A98" s="3" t="s">
        <v>608</v>
      </c>
      <c r="B98" s="3" t="s">
        <v>608</v>
      </c>
      <c r="C98" s="3" t="s">
        <v>608</v>
      </c>
      <c r="D98" s="3" t="s">
        <v>608</v>
      </c>
      <c r="E98" s="3" t="s">
        <v>608</v>
      </c>
      <c r="F98" s="3" t="s">
        <v>640</v>
      </c>
      <c r="G98" s="3" t="s">
        <v>1042</v>
      </c>
      <c r="H98">
        <v>1000000</v>
      </c>
      <c r="I98" s="3" t="s">
        <v>1413</v>
      </c>
      <c r="J98" s="3" t="s">
        <v>640</v>
      </c>
      <c r="L98" s="3" t="s">
        <v>640</v>
      </c>
      <c r="M98" s="3" t="s">
        <v>640</v>
      </c>
      <c r="N98" s="3" t="s">
        <v>583</v>
      </c>
      <c r="O98">
        <v>85.48</v>
      </c>
      <c r="P98">
        <v>85.48</v>
      </c>
      <c r="Q98">
        <v>5.94</v>
      </c>
      <c r="R98">
        <v>0</v>
      </c>
      <c r="S98">
        <v>0</v>
      </c>
      <c r="T98" s="3" t="s">
        <v>448</v>
      </c>
      <c r="U98">
        <v>85.48</v>
      </c>
      <c r="V98" s="3" t="s">
        <v>449</v>
      </c>
      <c r="W98" s="3" t="s">
        <v>640</v>
      </c>
      <c r="X98" s="3" t="s">
        <v>1328</v>
      </c>
      <c r="Y98" s="3" t="s">
        <v>1328</v>
      </c>
      <c r="Z98" s="3" t="s">
        <v>1328</v>
      </c>
      <c r="AA98" t="s">
        <v>1517</v>
      </c>
      <c r="AB98" s="3" t="s">
        <v>1765</v>
      </c>
      <c r="AC98" s="3" t="s">
        <v>640</v>
      </c>
      <c r="AD98" s="3" t="s">
        <v>640</v>
      </c>
    </row>
    <row r="99" spans="1:30" x14ac:dyDescent="0.35">
      <c r="A99" s="3" t="s">
        <v>608</v>
      </c>
      <c r="B99" s="3" t="s">
        <v>608</v>
      </c>
      <c r="C99" s="3" t="s">
        <v>608</v>
      </c>
      <c r="D99" s="3" t="s">
        <v>608</v>
      </c>
      <c r="E99" s="3" t="s">
        <v>608</v>
      </c>
      <c r="F99" s="3" t="s">
        <v>640</v>
      </c>
      <c r="G99" s="3" t="s">
        <v>1127</v>
      </c>
      <c r="H99">
        <v>-2000000</v>
      </c>
      <c r="I99" s="3" t="s">
        <v>500</v>
      </c>
      <c r="J99" s="3" t="s">
        <v>640</v>
      </c>
      <c r="L99" s="3" t="s">
        <v>640</v>
      </c>
      <c r="M99" s="3" t="s">
        <v>640</v>
      </c>
      <c r="N99" s="3" t="s">
        <v>166</v>
      </c>
      <c r="O99">
        <v>111.21</v>
      </c>
      <c r="P99">
        <v>111.21</v>
      </c>
      <c r="Q99">
        <v>-58.7</v>
      </c>
      <c r="R99">
        <v>0</v>
      </c>
      <c r="S99">
        <v>0</v>
      </c>
      <c r="T99" s="3" t="s">
        <v>448</v>
      </c>
      <c r="U99">
        <v>111.21</v>
      </c>
      <c r="V99" s="3" t="s">
        <v>449</v>
      </c>
      <c r="W99" s="3" t="s">
        <v>640</v>
      </c>
      <c r="X99" s="3" t="s">
        <v>1328</v>
      </c>
      <c r="Y99" s="3" t="s">
        <v>1328</v>
      </c>
      <c r="Z99" s="3" t="s">
        <v>1328</v>
      </c>
      <c r="AA99" t="s">
        <v>1542</v>
      </c>
      <c r="AB99" s="3" t="s">
        <v>1765</v>
      </c>
      <c r="AC99" s="3" t="s">
        <v>640</v>
      </c>
      <c r="AD99" s="3" t="s">
        <v>640</v>
      </c>
    </row>
    <row r="100" spans="1:30" x14ac:dyDescent="0.35">
      <c r="A100" s="3" t="s">
        <v>608</v>
      </c>
      <c r="B100" s="3" t="s">
        <v>608</v>
      </c>
      <c r="C100" s="3" t="s">
        <v>608</v>
      </c>
      <c r="D100" s="3" t="s">
        <v>608</v>
      </c>
      <c r="E100" s="3" t="s">
        <v>608</v>
      </c>
      <c r="F100" s="3" t="s">
        <v>640</v>
      </c>
      <c r="G100" s="3" t="s">
        <v>1078</v>
      </c>
      <c r="H100">
        <v>3700000</v>
      </c>
      <c r="I100" s="3" t="s">
        <v>541</v>
      </c>
      <c r="J100" s="3" t="s">
        <v>640</v>
      </c>
      <c r="L100" s="3" t="s">
        <v>640</v>
      </c>
      <c r="M100" s="3" t="s">
        <v>640</v>
      </c>
      <c r="N100" s="3" t="s">
        <v>116</v>
      </c>
      <c r="O100">
        <v>88.75</v>
      </c>
      <c r="P100">
        <v>88.75</v>
      </c>
      <c r="Q100">
        <v>22.8</v>
      </c>
      <c r="R100">
        <v>0</v>
      </c>
      <c r="S100">
        <v>0</v>
      </c>
      <c r="T100" s="3" t="s">
        <v>448</v>
      </c>
      <c r="U100">
        <v>88.75</v>
      </c>
      <c r="V100" s="3" t="s">
        <v>449</v>
      </c>
      <c r="W100" s="3" t="s">
        <v>640</v>
      </c>
      <c r="X100" s="3" t="s">
        <v>1328</v>
      </c>
      <c r="Y100" s="3" t="s">
        <v>1328</v>
      </c>
      <c r="Z100" s="3" t="s">
        <v>1328</v>
      </c>
      <c r="AA100" t="s">
        <v>1582</v>
      </c>
      <c r="AB100" s="3" t="s">
        <v>1765</v>
      </c>
      <c r="AC100" s="3" t="s">
        <v>640</v>
      </c>
      <c r="AD100" s="3" t="s">
        <v>640</v>
      </c>
    </row>
    <row r="101" spans="1:30" x14ac:dyDescent="0.35">
      <c r="A101" s="3" t="s">
        <v>608</v>
      </c>
      <c r="B101" s="3" t="s">
        <v>608</v>
      </c>
      <c r="C101" s="3" t="s">
        <v>608</v>
      </c>
      <c r="D101" s="3" t="s">
        <v>608</v>
      </c>
      <c r="E101" s="3" t="s">
        <v>608</v>
      </c>
      <c r="F101" s="3" t="s">
        <v>640</v>
      </c>
      <c r="G101" s="3" t="s">
        <v>1041</v>
      </c>
      <c r="H101">
        <v>-12600000</v>
      </c>
      <c r="I101" s="3" t="s">
        <v>503</v>
      </c>
      <c r="J101" s="3" t="s">
        <v>640</v>
      </c>
      <c r="L101" s="3" t="s">
        <v>640</v>
      </c>
      <c r="M101" s="3" t="s">
        <v>640</v>
      </c>
      <c r="N101" s="3" t="s">
        <v>289</v>
      </c>
      <c r="O101">
        <v>103.11</v>
      </c>
      <c r="P101">
        <v>103.11</v>
      </c>
      <c r="Q101">
        <v>-349.99</v>
      </c>
      <c r="R101">
        <v>0</v>
      </c>
      <c r="S101">
        <v>0</v>
      </c>
      <c r="T101" s="3" t="s">
        <v>448</v>
      </c>
      <c r="U101">
        <v>103.52</v>
      </c>
      <c r="V101" s="3" t="s">
        <v>449</v>
      </c>
      <c r="W101" s="3" t="s">
        <v>640</v>
      </c>
      <c r="X101" s="3" t="s">
        <v>1328</v>
      </c>
      <c r="Y101" s="3" t="s">
        <v>1328</v>
      </c>
      <c r="Z101" s="3" t="s">
        <v>1328</v>
      </c>
      <c r="AA101" t="s">
        <v>1539</v>
      </c>
      <c r="AB101" s="3" t="s">
        <v>1765</v>
      </c>
      <c r="AC101" s="3" t="s">
        <v>640</v>
      </c>
      <c r="AD101" s="3" t="s">
        <v>640</v>
      </c>
    </row>
    <row r="102" spans="1:30" x14ac:dyDescent="0.35">
      <c r="A102" s="3" t="s">
        <v>608</v>
      </c>
      <c r="B102" s="3" t="s">
        <v>608</v>
      </c>
      <c r="C102" s="3" t="s">
        <v>608</v>
      </c>
      <c r="D102" s="3" t="s">
        <v>608</v>
      </c>
      <c r="E102" s="3" t="s">
        <v>608</v>
      </c>
      <c r="F102" s="3" t="s">
        <v>640</v>
      </c>
      <c r="G102" s="3" t="s">
        <v>1077</v>
      </c>
      <c r="H102">
        <v>-8167000</v>
      </c>
      <c r="I102" s="3" t="s">
        <v>452</v>
      </c>
      <c r="J102" s="3" t="s">
        <v>640</v>
      </c>
      <c r="L102" s="3" t="s">
        <v>640</v>
      </c>
      <c r="M102" s="3" t="s">
        <v>640</v>
      </c>
      <c r="N102" s="3" t="s">
        <v>111</v>
      </c>
      <c r="O102">
        <v>107.2</v>
      </c>
      <c r="P102">
        <v>107.2</v>
      </c>
      <c r="Q102">
        <v>-228.05</v>
      </c>
      <c r="R102">
        <v>0</v>
      </c>
      <c r="S102">
        <v>0</v>
      </c>
      <c r="T102" s="3" t="s">
        <v>448</v>
      </c>
      <c r="U102">
        <v>105.82</v>
      </c>
      <c r="V102" s="3" t="s">
        <v>449</v>
      </c>
      <c r="W102" s="3" t="s">
        <v>640</v>
      </c>
      <c r="X102" s="3" t="s">
        <v>1328</v>
      </c>
      <c r="Y102" s="3" t="s">
        <v>1328</v>
      </c>
      <c r="Z102" s="3" t="s">
        <v>1328</v>
      </c>
      <c r="AA102" t="s">
        <v>1580</v>
      </c>
      <c r="AB102" s="3" t="s">
        <v>1765</v>
      </c>
      <c r="AC102" s="3" t="s">
        <v>640</v>
      </c>
      <c r="AD102" s="3" t="s">
        <v>640</v>
      </c>
    </row>
    <row r="103" spans="1:30" x14ac:dyDescent="0.35">
      <c r="A103" s="3" t="s">
        <v>608</v>
      </c>
      <c r="B103" s="3" t="s">
        <v>608</v>
      </c>
      <c r="C103" s="3" t="s">
        <v>608</v>
      </c>
      <c r="D103" s="3" t="s">
        <v>608</v>
      </c>
      <c r="E103" s="3" t="s">
        <v>608</v>
      </c>
      <c r="F103" s="3" t="s">
        <v>640</v>
      </c>
      <c r="G103" s="3" t="s">
        <v>1079</v>
      </c>
      <c r="H103">
        <v>2700000</v>
      </c>
      <c r="I103" s="3" t="s">
        <v>873</v>
      </c>
      <c r="J103" s="3" t="s">
        <v>640</v>
      </c>
      <c r="L103" s="3" t="s">
        <v>640</v>
      </c>
      <c r="M103" s="3" t="s">
        <v>640</v>
      </c>
      <c r="N103" s="3" t="s">
        <v>339</v>
      </c>
      <c r="O103">
        <v>80.28</v>
      </c>
      <c r="P103">
        <v>80.28</v>
      </c>
      <c r="Q103">
        <v>18.059999999999999</v>
      </c>
      <c r="R103">
        <v>0</v>
      </c>
      <c r="S103">
        <v>0</v>
      </c>
      <c r="T103" s="3" t="s">
        <v>448</v>
      </c>
      <c r="U103">
        <v>80.28</v>
      </c>
      <c r="V103" s="3" t="s">
        <v>449</v>
      </c>
      <c r="W103" s="3" t="s">
        <v>640</v>
      </c>
      <c r="X103" s="3" t="s">
        <v>1328</v>
      </c>
      <c r="Y103" s="3" t="s">
        <v>1328</v>
      </c>
      <c r="Z103" s="3" t="s">
        <v>1328</v>
      </c>
      <c r="AA103" t="s">
        <v>1581</v>
      </c>
      <c r="AB103" s="3" t="s">
        <v>1765</v>
      </c>
      <c r="AC103" s="3" t="s">
        <v>640</v>
      </c>
      <c r="AD103" s="3" t="s">
        <v>640</v>
      </c>
    </row>
    <row r="104" spans="1:30" x14ac:dyDescent="0.35">
      <c r="A104" s="3" t="s">
        <v>608</v>
      </c>
      <c r="B104" s="3" t="s">
        <v>608</v>
      </c>
      <c r="C104" s="3" t="s">
        <v>608</v>
      </c>
      <c r="D104" s="3" t="s">
        <v>608</v>
      </c>
      <c r="E104" s="3" t="s">
        <v>608</v>
      </c>
      <c r="F104" s="3" t="s">
        <v>640</v>
      </c>
      <c r="G104" s="3" t="s">
        <v>1117</v>
      </c>
      <c r="H104">
        <v>9019000</v>
      </c>
      <c r="I104" s="3" t="s">
        <v>453</v>
      </c>
      <c r="J104" s="3" t="s">
        <v>640</v>
      </c>
      <c r="L104" s="3" t="s">
        <v>640</v>
      </c>
      <c r="M104" s="3" t="s">
        <v>640</v>
      </c>
      <c r="N104" s="3" t="s">
        <v>170</v>
      </c>
      <c r="O104">
        <v>87.77</v>
      </c>
      <c r="P104">
        <v>87.77</v>
      </c>
      <c r="Q104">
        <v>56.32</v>
      </c>
      <c r="R104">
        <v>0</v>
      </c>
      <c r="S104">
        <v>0</v>
      </c>
      <c r="T104" s="3" t="s">
        <v>448</v>
      </c>
      <c r="U104">
        <v>89.93</v>
      </c>
      <c r="V104" s="3" t="s">
        <v>449</v>
      </c>
      <c r="W104" s="3" t="s">
        <v>640</v>
      </c>
      <c r="X104" s="3" t="s">
        <v>1328</v>
      </c>
      <c r="Y104" s="3" t="s">
        <v>1328</v>
      </c>
      <c r="Z104" s="3" t="s">
        <v>1328</v>
      </c>
      <c r="AA104" t="s">
        <v>1599</v>
      </c>
      <c r="AB104" s="3" t="s">
        <v>1765</v>
      </c>
      <c r="AC104" s="3" t="s">
        <v>640</v>
      </c>
      <c r="AD104" s="3" t="s">
        <v>640</v>
      </c>
    </row>
    <row r="105" spans="1:30" x14ac:dyDescent="0.35">
      <c r="A105" s="3" t="s">
        <v>608</v>
      </c>
      <c r="B105" s="3" t="s">
        <v>608</v>
      </c>
      <c r="C105" s="3" t="s">
        <v>608</v>
      </c>
      <c r="D105" s="3" t="s">
        <v>608</v>
      </c>
      <c r="E105" s="3" t="s">
        <v>608</v>
      </c>
      <c r="F105" s="3" t="s">
        <v>11</v>
      </c>
      <c r="G105" s="3" t="s">
        <v>1027</v>
      </c>
      <c r="H105">
        <v>-71</v>
      </c>
      <c r="I105" s="3" t="s">
        <v>12</v>
      </c>
      <c r="J105" s="3" t="s">
        <v>640</v>
      </c>
      <c r="K105">
        <v>6</v>
      </c>
      <c r="L105" s="3" t="s">
        <v>640</v>
      </c>
      <c r="M105" s="3" t="s">
        <v>11</v>
      </c>
      <c r="N105" s="3" t="s">
        <v>1028</v>
      </c>
      <c r="O105">
        <v>174.93</v>
      </c>
      <c r="P105">
        <v>175.2</v>
      </c>
      <c r="Q105">
        <v>-24250</v>
      </c>
      <c r="R105">
        <v>-10542.45</v>
      </c>
      <c r="S105">
        <v>0</v>
      </c>
      <c r="T105" s="3" t="s">
        <v>13</v>
      </c>
      <c r="U105">
        <v>175.09</v>
      </c>
      <c r="V105" s="3" t="s">
        <v>9</v>
      </c>
      <c r="W105" s="3" t="s">
        <v>15</v>
      </c>
      <c r="X105" s="3" t="s">
        <v>1773</v>
      </c>
      <c r="Y105" s="3" t="s">
        <v>1773</v>
      </c>
      <c r="Z105" s="3" t="s">
        <v>1822</v>
      </c>
      <c r="AA105" t="s">
        <v>1682</v>
      </c>
      <c r="AB105" s="3" t="s">
        <v>1765</v>
      </c>
      <c r="AC105" s="3" t="s">
        <v>640</v>
      </c>
      <c r="AD105" s="3" t="s">
        <v>640</v>
      </c>
    </row>
    <row r="106" spans="1:30" x14ac:dyDescent="0.35">
      <c r="A106" s="3" t="s">
        <v>608</v>
      </c>
      <c r="B106" s="3" t="s">
        <v>608</v>
      </c>
      <c r="C106" s="3" t="s">
        <v>608</v>
      </c>
      <c r="D106" s="3" t="s">
        <v>608</v>
      </c>
      <c r="E106" s="3" t="s">
        <v>608</v>
      </c>
      <c r="F106" s="3" t="s">
        <v>11</v>
      </c>
      <c r="G106" s="3" t="s">
        <v>1027</v>
      </c>
      <c r="H106">
        <v>-4</v>
      </c>
      <c r="I106" s="3" t="s">
        <v>12</v>
      </c>
      <c r="J106" s="3" t="s">
        <v>640</v>
      </c>
      <c r="K106">
        <v>6</v>
      </c>
      <c r="L106" s="3" t="s">
        <v>640</v>
      </c>
      <c r="M106" s="3" t="s">
        <v>11</v>
      </c>
      <c r="N106" s="3" t="s">
        <v>1028</v>
      </c>
      <c r="O106">
        <v>174.93</v>
      </c>
      <c r="P106">
        <v>175.2</v>
      </c>
      <c r="Q106">
        <v>-1080</v>
      </c>
      <c r="R106">
        <v>-593.94000000000005</v>
      </c>
      <c r="S106">
        <v>0</v>
      </c>
      <c r="T106" s="3" t="s">
        <v>13</v>
      </c>
      <c r="U106">
        <v>175.9</v>
      </c>
      <c r="V106" s="3" t="s">
        <v>230</v>
      </c>
      <c r="W106" s="3" t="s">
        <v>15</v>
      </c>
      <c r="X106" s="3" t="s">
        <v>1328</v>
      </c>
      <c r="Y106" s="3" t="s">
        <v>1328</v>
      </c>
      <c r="Z106" s="3" t="s">
        <v>1823</v>
      </c>
      <c r="AA106" t="s">
        <v>1529</v>
      </c>
      <c r="AB106" s="3" t="s">
        <v>1765</v>
      </c>
      <c r="AC106" s="3" t="s">
        <v>640</v>
      </c>
      <c r="AD106" s="3" t="s">
        <v>640</v>
      </c>
    </row>
    <row r="107" spans="1:30" x14ac:dyDescent="0.35">
      <c r="A107" s="3" t="s">
        <v>608</v>
      </c>
      <c r="B107" s="3" t="s">
        <v>608</v>
      </c>
      <c r="C107" s="3" t="s">
        <v>608</v>
      </c>
      <c r="D107" s="3" t="s">
        <v>608</v>
      </c>
      <c r="E107" s="3" t="s">
        <v>608</v>
      </c>
      <c r="F107" s="3" t="s">
        <v>16</v>
      </c>
      <c r="G107" s="3" t="s">
        <v>1029</v>
      </c>
      <c r="H107">
        <v>-80</v>
      </c>
      <c r="I107" s="3" t="s">
        <v>17</v>
      </c>
      <c r="J107" s="3" t="s">
        <v>640</v>
      </c>
      <c r="K107">
        <v>6</v>
      </c>
      <c r="L107" s="3" t="s">
        <v>640</v>
      </c>
      <c r="M107" s="3" t="s">
        <v>16</v>
      </c>
      <c r="N107" s="3" t="s">
        <v>1030</v>
      </c>
      <c r="O107">
        <v>135.30000000000001</v>
      </c>
      <c r="P107">
        <v>135.37</v>
      </c>
      <c r="Q107">
        <v>-4690</v>
      </c>
      <c r="R107">
        <v>-4954.67</v>
      </c>
      <c r="S107">
        <v>0</v>
      </c>
      <c r="T107" s="3" t="s">
        <v>13</v>
      </c>
      <c r="U107">
        <v>135.30000000000001</v>
      </c>
      <c r="V107" s="3" t="s">
        <v>9</v>
      </c>
      <c r="W107" s="3" t="s">
        <v>15</v>
      </c>
      <c r="X107" s="3" t="s">
        <v>1746</v>
      </c>
      <c r="Y107" s="3" t="s">
        <v>1746</v>
      </c>
      <c r="Z107" s="3" t="s">
        <v>1824</v>
      </c>
      <c r="AA107" t="s">
        <v>1683</v>
      </c>
      <c r="AB107" s="3" t="s">
        <v>1765</v>
      </c>
      <c r="AC107" s="3" t="s">
        <v>640</v>
      </c>
      <c r="AD107" s="3" t="s">
        <v>640</v>
      </c>
    </row>
    <row r="108" spans="1:30" x14ac:dyDescent="0.35">
      <c r="A108" s="3" t="s">
        <v>608</v>
      </c>
      <c r="B108" s="3" t="s">
        <v>608</v>
      </c>
      <c r="C108" s="3" t="s">
        <v>608</v>
      </c>
      <c r="D108" s="3" t="s">
        <v>608</v>
      </c>
      <c r="E108" s="3" t="s">
        <v>608</v>
      </c>
      <c r="F108" s="3" t="s">
        <v>16</v>
      </c>
      <c r="G108" s="3" t="s">
        <v>1029</v>
      </c>
      <c r="H108">
        <v>-2</v>
      </c>
      <c r="I108" s="3" t="s">
        <v>17</v>
      </c>
      <c r="J108" s="3" t="s">
        <v>640</v>
      </c>
      <c r="K108">
        <v>6</v>
      </c>
      <c r="L108" s="3" t="s">
        <v>640</v>
      </c>
      <c r="M108" s="3" t="s">
        <v>16</v>
      </c>
      <c r="N108" s="3" t="s">
        <v>1030</v>
      </c>
      <c r="O108">
        <v>135.30000000000001</v>
      </c>
      <c r="P108">
        <v>135.37</v>
      </c>
      <c r="Q108">
        <v>-140</v>
      </c>
      <c r="R108">
        <v>-123.87</v>
      </c>
      <c r="S108">
        <v>0</v>
      </c>
      <c r="T108" s="3" t="s">
        <v>13</v>
      </c>
      <c r="U108">
        <v>135.16999999999999</v>
      </c>
      <c r="V108" s="3" t="s">
        <v>230</v>
      </c>
      <c r="W108" s="3" t="s">
        <v>15</v>
      </c>
      <c r="X108" s="3" t="s">
        <v>1328</v>
      </c>
      <c r="Y108" s="3" t="s">
        <v>1328</v>
      </c>
      <c r="Z108" s="3" t="s">
        <v>1825</v>
      </c>
      <c r="AA108" t="s">
        <v>1530</v>
      </c>
      <c r="AB108" s="3" t="s">
        <v>1765</v>
      </c>
      <c r="AC108" s="3" t="s">
        <v>640</v>
      </c>
      <c r="AD108" s="3" t="s">
        <v>640</v>
      </c>
    </row>
    <row r="109" spans="1:30" x14ac:dyDescent="0.35">
      <c r="A109" s="3" t="s">
        <v>608</v>
      </c>
      <c r="B109" s="3" t="s">
        <v>608</v>
      </c>
      <c r="C109" s="3" t="s">
        <v>608</v>
      </c>
      <c r="D109" s="3" t="s">
        <v>608</v>
      </c>
      <c r="E109" s="3" t="s">
        <v>608</v>
      </c>
      <c r="F109" s="3" t="s">
        <v>640</v>
      </c>
      <c r="G109" s="3" t="s">
        <v>1049</v>
      </c>
      <c r="H109">
        <v>1500000</v>
      </c>
      <c r="I109" s="3" t="s">
        <v>550</v>
      </c>
      <c r="J109" s="3" t="s">
        <v>640</v>
      </c>
      <c r="L109" s="3" t="s">
        <v>640</v>
      </c>
      <c r="M109" s="3" t="s">
        <v>640</v>
      </c>
      <c r="N109" s="3" t="s">
        <v>58</v>
      </c>
      <c r="O109">
        <v>105.9</v>
      </c>
      <c r="P109">
        <v>105.9</v>
      </c>
      <c r="Q109">
        <v>11.03</v>
      </c>
      <c r="R109">
        <v>0</v>
      </c>
      <c r="S109">
        <v>0</v>
      </c>
      <c r="T109" s="3" t="s">
        <v>448</v>
      </c>
      <c r="U109">
        <v>105.9</v>
      </c>
      <c r="V109" s="3" t="s">
        <v>449</v>
      </c>
      <c r="W109" s="3" t="s">
        <v>640</v>
      </c>
      <c r="X109" s="3" t="s">
        <v>1328</v>
      </c>
      <c r="Y109" s="3" t="s">
        <v>1328</v>
      </c>
      <c r="Z109" s="3" t="s">
        <v>1328</v>
      </c>
      <c r="AA109" t="s">
        <v>1547</v>
      </c>
      <c r="AB109" s="3" t="s">
        <v>1765</v>
      </c>
      <c r="AC109" s="3" t="s">
        <v>640</v>
      </c>
      <c r="AD109" s="3" t="s">
        <v>640</v>
      </c>
    </row>
    <row r="110" spans="1:30" x14ac:dyDescent="0.35">
      <c r="A110" s="3" t="s">
        <v>608</v>
      </c>
      <c r="B110" s="3" t="s">
        <v>608</v>
      </c>
      <c r="C110" s="3" t="s">
        <v>608</v>
      </c>
      <c r="D110" s="3" t="s">
        <v>608</v>
      </c>
      <c r="E110" s="3" t="s">
        <v>608</v>
      </c>
      <c r="F110" s="3" t="s">
        <v>640</v>
      </c>
      <c r="G110" s="3" t="s">
        <v>1474</v>
      </c>
      <c r="H110">
        <v>-5000000</v>
      </c>
      <c r="I110" s="3" t="s">
        <v>1642</v>
      </c>
      <c r="J110" s="3" t="s">
        <v>640</v>
      </c>
      <c r="L110" s="3" t="s">
        <v>640</v>
      </c>
      <c r="M110" s="3" t="s">
        <v>640</v>
      </c>
      <c r="N110" s="3" t="s">
        <v>426</v>
      </c>
      <c r="O110">
        <v>104.72</v>
      </c>
      <c r="P110">
        <v>104.72</v>
      </c>
      <c r="Q110">
        <v>-138.18</v>
      </c>
      <c r="R110">
        <v>0</v>
      </c>
      <c r="S110">
        <v>0</v>
      </c>
      <c r="T110" s="3" t="s">
        <v>448</v>
      </c>
      <c r="U110">
        <v>104.72</v>
      </c>
      <c r="V110" s="3" t="s">
        <v>449</v>
      </c>
      <c r="W110" s="3" t="s">
        <v>640</v>
      </c>
      <c r="X110" s="3" t="s">
        <v>1328</v>
      </c>
      <c r="Y110" s="3" t="s">
        <v>1328</v>
      </c>
      <c r="Z110" s="3" t="s">
        <v>1328</v>
      </c>
      <c r="AA110" t="s">
        <v>1527</v>
      </c>
      <c r="AB110" s="3" t="s">
        <v>1765</v>
      </c>
      <c r="AC110" s="3" t="s">
        <v>640</v>
      </c>
      <c r="AD110" s="3" t="s">
        <v>640</v>
      </c>
    </row>
    <row r="111" spans="1:30" x14ac:dyDescent="0.35">
      <c r="A111" s="3" t="s">
        <v>608</v>
      </c>
      <c r="B111" s="3" t="s">
        <v>608</v>
      </c>
      <c r="C111" s="3" t="s">
        <v>608</v>
      </c>
      <c r="D111" s="3" t="s">
        <v>608</v>
      </c>
      <c r="E111" s="3" t="s">
        <v>608</v>
      </c>
      <c r="F111" s="3" t="s">
        <v>25</v>
      </c>
      <c r="G111" s="3" t="s">
        <v>1031</v>
      </c>
      <c r="H111">
        <v>-13</v>
      </c>
      <c r="I111" s="3" t="s">
        <v>26</v>
      </c>
      <c r="J111" s="3" t="s">
        <v>640</v>
      </c>
      <c r="K111">
        <v>4</v>
      </c>
      <c r="L111" s="3" t="s">
        <v>640</v>
      </c>
      <c r="M111" s="3" t="s">
        <v>25</v>
      </c>
      <c r="N111" s="3" t="s">
        <v>1032</v>
      </c>
      <c r="O111">
        <v>224.94</v>
      </c>
      <c r="P111">
        <v>226</v>
      </c>
      <c r="Q111">
        <v>-16060</v>
      </c>
      <c r="R111">
        <v>-6528.36</v>
      </c>
      <c r="S111">
        <v>0</v>
      </c>
      <c r="T111" s="3" t="s">
        <v>13</v>
      </c>
      <c r="U111">
        <v>223.97</v>
      </c>
      <c r="V111" s="3" t="s">
        <v>9</v>
      </c>
      <c r="W111" s="3" t="s">
        <v>15</v>
      </c>
      <c r="X111" s="3" t="s">
        <v>1774</v>
      </c>
      <c r="Y111" s="3" t="s">
        <v>1774</v>
      </c>
      <c r="Z111" s="3" t="s">
        <v>1826</v>
      </c>
      <c r="AA111" t="s">
        <v>1684</v>
      </c>
      <c r="AB111" s="3" t="s">
        <v>1765</v>
      </c>
      <c r="AC111" s="3" t="s">
        <v>640</v>
      </c>
      <c r="AD111" s="3" t="s">
        <v>640</v>
      </c>
    </row>
    <row r="112" spans="1:30" x14ac:dyDescent="0.35">
      <c r="A112" s="3" t="s">
        <v>608</v>
      </c>
      <c r="B112" s="3" t="s">
        <v>608</v>
      </c>
      <c r="C112" s="3" t="s">
        <v>608</v>
      </c>
      <c r="D112" s="3" t="s">
        <v>608</v>
      </c>
      <c r="E112" s="3" t="s">
        <v>608</v>
      </c>
      <c r="F112" s="3" t="s">
        <v>640</v>
      </c>
      <c r="G112" s="3" t="s">
        <v>1035</v>
      </c>
      <c r="H112">
        <v>-1600000</v>
      </c>
      <c r="I112" s="3" t="s">
        <v>476</v>
      </c>
      <c r="J112" s="3" t="s">
        <v>640</v>
      </c>
      <c r="L112" s="3" t="s">
        <v>640</v>
      </c>
      <c r="M112" s="3" t="s">
        <v>640</v>
      </c>
      <c r="N112" s="3" t="s">
        <v>48</v>
      </c>
      <c r="O112">
        <v>104.82</v>
      </c>
      <c r="P112">
        <v>104.82</v>
      </c>
      <c r="Q112">
        <v>-44.26</v>
      </c>
      <c r="R112">
        <v>0</v>
      </c>
      <c r="S112">
        <v>0</v>
      </c>
      <c r="T112" s="3" t="s">
        <v>448</v>
      </c>
      <c r="U112">
        <v>104.82</v>
      </c>
      <c r="V112" s="3" t="s">
        <v>449</v>
      </c>
      <c r="W112" s="3" t="s">
        <v>640</v>
      </c>
      <c r="X112" s="3" t="s">
        <v>1328</v>
      </c>
      <c r="Y112" s="3" t="s">
        <v>1328</v>
      </c>
      <c r="Z112" s="3" t="s">
        <v>1328</v>
      </c>
      <c r="AA112" t="s">
        <v>1532</v>
      </c>
      <c r="AB112" s="3" t="s">
        <v>1765</v>
      </c>
      <c r="AC112" s="3" t="s">
        <v>640</v>
      </c>
      <c r="AD112" s="3" t="s">
        <v>640</v>
      </c>
    </row>
    <row r="113" spans="1:30" x14ac:dyDescent="0.35">
      <c r="A113" s="3" t="s">
        <v>608</v>
      </c>
      <c r="B113" s="3" t="s">
        <v>608</v>
      </c>
      <c r="C113" s="3" t="s">
        <v>608</v>
      </c>
      <c r="D113" s="3" t="s">
        <v>608</v>
      </c>
      <c r="E113" s="3" t="s">
        <v>608</v>
      </c>
      <c r="F113" s="3" t="s">
        <v>478</v>
      </c>
      <c r="G113" s="3" t="s">
        <v>1073</v>
      </c>
      <c r="H113">
        <v>42</v>
      </c>
      <c r="I113" s="3" t="s">
        <v>479</v>
      </c>
      <c r="J113" s="3" t="s">
        <v>640</v>
      </c>
      <c r="L113" s="3" t="s">
        <v>640</v>
      </c>
      <c r="M113" s="3" t="s">
        <v>478</v>
      </c>
      <c r="N113" s="3" t="s">
        <v>478</v>
      </c>
      <c r="O113">
        <v>0.9</v>
      </c>
      <c r="P113">
        <v>0.9</v>
      </c>
      <c r="Q113">
        <v>-1368.99</v>
      </c>
      <c r="R113">
        <v>0</v>
      </c>
      <c r="S113">
        <v>0</v>
      </c>
      <c r="T113" s="3" t="s">
        <v>13</v>
      </c>
      <c r="U113">
        <v>0.91</v>
      </c>
      <c r="V113" s="3" t="s">
        <v>449</v>
      </c>
      <c r="W113" s="3" t="s">
        <v>15</v>
      </c>
      <c r="X113" s="3" t="s">
        <v>1328</v>
      </c>
      <c r="Y113" s="3" t="s">
        <v>1328</v>
      </c>
      <c r="Z113" s="3" t="s">
        <v>1827</v>
      </c>
      <c r="AA113" t="s">
        <v>1575</v>
      </c>
      <c r="AB113" s="3" t="s">
        <v>1766</v>
      </c>
      <c r="AC113" s="3" t="s">
        <v>640</v>
      </c>
      <c r="AD113" s="3" t="s">
        <v>640</v>
      </c>
    </row>
    <row r="114" spans="1:30" x14ac:dyDescent="0.35">
      <c r="A114" s="3" t="s">
        <v>608</v>
      </c>
      <c r="B114" s="3" t="s">
        <v>608</v>
      </c>
      <c r="C114" s="3" t="s">
        <v>608</v>
      </c>
      <c r="D114" s="3" t="s">
        <v>608</v>
      </c>
      <c r="E114" s="3" t="s">
        <v>608</v>
      </c>
      <c r="F114" s="3" t="s">
        <v>551</v>
      </c>
      <c r="G114" s="3" t="s">
        <v>1072</v>
      </c>
      <c r="H114">
        <v>76</v>
      </c>
      <c r="I114" s="3" t="s">
        <v>552</v>
      </c>
      <c r="J114" s="3" t="s">
        <v>640</v>
      </c>
      <c r="L114" s="3" t="s">
        <v>640</v>
      </c>
      <c r="M114" s="3" t="s">
        <v>551</v>
      </c>
      <c r="N114" s="3" t="s">
        <v>551</v>
      </c>
      <c r="O114">
        <v>1.18</v>
      </c>
      <c r="P114">
        <v>1.19</v>
      </c>
      <c r="Q114">
        <v>7591.62</v>
      </c>
      <c r="R114">
        <v>0</v>
      </c>
      <c r="S114">
        <v>0</v>
      </c>
      <c r="T114" s="3" t="s">
        <v>13</v>
      </c>
      <c r="U114">
        <v>1.18</v>
      </c>
      <c r="V114" s="3" t="s">
        <v>449</v>
      </c>
      <c r="W114" s="3" t="s">
        <v>15</v>
      </c>
      <c r="X114" s="3" t="s">
        <v>1328</v>
      </c>
      <c r="Y114" s="3" t="s">
        <v>1328</v>
      </c>
      <c r="Z114" s="3" t="s">
        <v>1828</v>
      </c>
      <c r="AA114" t="s">
        <v>1574</v>
      </c>
      <c r="AB114" s="3" t="s">
        <v>1768</v>
      </c>
      <c r="AC114" s="3" t="s">
        <v>640</v>
      </c>
      <c r="AD114" s="3" t="s">
        <v>640</v>
      </c>
    </row>
    <row r="115" spans="1:30" x14ac:dyDescent="0.35">
      <c r="A115" s="3" t="s">
        <v>608</v>
      </c>
      <c r="B115" s="3" t="s">
        <v>608</v>
      </c>
      <c r="C115" s="3" t="s">
        <v>608</v>
      </c>
      <c r="D115" s="3" t="s">
        <v>608</v>
      </c>
      <c r="E115" s="3" t="s">
        <v>608</v>
      </c>
      <c r="F115" s="3" t="s">
        <v>640</v>
      </c>
      <c r="G115" s="3" t="s">
        <v>1150</v>
      </c>
      <c r="H115">
        <v>3080000</v>
      </c>
      <c r="I115" s="3" t="s">
        <v>482</v>
      </c>
      <c r="J115" s="3" t="s">
        <v>640</v>
      </c>
      <c r="L115" s="3" t="s">
        <v>640</v>
      </c>
      <c r="M115" s="3" t="s">
        <v>640</v>
      </c>
      <c r="N115" s="3" t="s">
        <v>433</v>
      </c>
      <c r="O115">
        <v>75.209999999999994</v>
      </c>
      <c r="P115">
        <v>75.209999999999994</v>
      </c>
      <c r="Q115">
        <v>19.22</v>
      </c>
      <c r="R115">
        <v>0</v>
      </c>
      <c r="S115">
        <v>0</v>
      </c>
      <c r="T115" s="3" t="s">
        <v>448</v>
      </c>
      <c r="U115">
        <v>74.89</v>
      </c>
      <c r="V115" s="3" t="s">
        <v>449</v>
      </c>
      <c r="W115" s="3" t="s">
        <v>640</v>
      </c>
      <c r="X115" s="3" t="s">
        <v>1328</v>
      </c>
      <c r="Y115" s="3" t="s">
        <v>1328</v>
      </c>
      <c r="Z115" s="3" t="s">
        <v>1328</v>
      </c>
      <c r="AA115" t="s">
        <v>1633</v>
      </c>
      <c r="AB115" s="3" t="s">
        <v>1765</v>
      </c>
      <c r="AC115" s="3" t="s">
        <v>640</v>
      </c>
      <c r="AD115" s="3" t="s">
        <v>640</v>
      </c>
    </row>
    <row r="116" spans="1:30" x14ac:dyDescent="0.35">
      <c r="A116" s="3" t="s">
        <v>608</v>
      </c>
      <c r="B116" s="3" t="s">
        <v>608</v>
      </c>
      <c r="C116" s="3" t="s">
        <v>608</v>
      </c>
      <c r="D116" s="3" t="s">
        <v>608</v>
      </c>
      <c r="E116" s="3" t="s">
        <v>608</v>
      </c>
      <c r="F116" s="3" t="s">
        <v>834</v>
      </c>
      <c r="G116" s="3" t="s">
        <v>1105</v>
      </c>
      <c r="H116">
        <v>21028</v>
      </c>
      <c r="I116" s="3" t="s">
        <v>640</v>
      </c>
      <c r="J116" s="3" t="s">
        <v>640</v>
      </c>
      <c r="L116" s="3" t="s">
        <v>640</v>
      </c>
      <c r="M116" s="3" t="s">
        <v>834</v>
      </c>
      <c r="N116" s="3" t="s">
        <v>834</v>
      </c>
      <c r="O116">
        <v>119.41</v>
      </c>
      <c r="P116">
        <v>119.41</v>
      </c>
      <c r="Q116">
        <v>0</v>
      </c>
      <c r="R116">
        <v>0</v>
      </c>
      <c r="S116">
        <v>0</v>
      </c>
      <c r="T116" s="3" t="s">
        <v>832</v>
      </c>
      <c r="U116">
        <v>118.89</v>
      </c>
      <c r="V116" s="3" t="s">
        <v>449</v>
      </c>
      <c r="W116" s="3" t="s">
        <v>836</v>
      </c>
      <c r="X116" s="3" t="s">
        <v>1328</v>
      </c>
      <c r="Y116" s="3" t="s">
        <v>1328</v>
      </c>
      <c r="Z116" s="3" t="s">
        <v>1328</v>
      </c>
      <c r="AA116" t="s">
        <v>1592</v>
      </c>
      <c r="AB116" s="3" t="s">
        <v>1765</v>
      </c>
      <c r="AC116" s="3" t="s">
        <v>640</v>
      </c>
      <c r="AD116" s="3" t="s">
        <v>640</v>
      </c>
    </row>
    <row r="117" spans="1:30" x14ac:dyDescent="0.35">
      <c r="A117" s="3" t="s">
        <v>608</v>
      </c>
      <c r="B117" s="3" t="s">
        <v>608</v>
      </c>
      <c r="C117" s="3" t="s">
        <v>608</v>
      </c>
      <c r="D117" s="3" t="s">
        <v>608</v>
      </c>
      <c r="E117" s="3" t="s">
        <v>608</v>
      </c>
      <c r="F117" s="3" t="s">
        <v>640</v>
      </c>
      <c r="G117" s="3" t="s">
        <v>1445</v>
      </c>
      <c r="H117">
        <v>2300000</v>
      </c>
      <c r="I117" s="3" t="s">
        <v>1663</v>
      </c>
      <c r="J117" s="3" t="s">
        <v>640</v>
      </c>
      <c r="L117" s="3" t="s">
        <v>640</v>
      </c>
      <c r="M117" s="3" t="s">
        <v>640</v>
      </c>
      <c r="N117" s="3" t="s">
        <v>1444</v>
      </c>
      <c r="O117">
        <v>80.02</v>
      </c>
      <c r="P117">
        <v>80.02</v>
      </c>
      <c r="Q117">
        <v>-4914.47</v>
      </c>
      <c r="R117">
        <v>0</v>
      </c>
      <c r="S117">
        <v>0</v>
      </c>
      <c r="T117" s="3" t="s">
        <v>448</v>
      </c>
      <c r="U117">
        <v>80.02</v>
      </c>
      <c r="V117" s="3" t="s">
        <v>449</v>
      </c>
      <c r="W117" s="3" t="s">
        <v>640</v>
      </c>
      <c r="X117" s="3" t="s">
        <v>1328</v>
      </c>
      <c r="Y117" s="3" t="s">
        <v>1328</v>
      </c>
      <c r="Z117" s="3" t="s">
        <v>1829</v>
      </c>
      <c r="AA117" t="s">
        <v>1588</v>
      </c>
      <c r="AB117" s="3" t="s">
        <v>1766</v>
      </c>
      <c r="AC117" s="3" t="s">
        <v>640</v>
      </c>
      <c r="AD117" s="3" t="s">
        <v>640</v>
      </c>
    </row>
    <row r="118" spans="1:30" x14ac:dyDescent="0.35">
      <c r="A118" s="3" t="s">
        <v>608</v>
      </c>
      <c r="B118" s="3" t="s">
        <v>608</v>
      </c>
      <c r="C118" s="3" t="s">
        <v>608</v>
      </c>
      <c r="D118" s="3" t="s">
        <v>608</v>
      </c>
      <c r="E118" s="3" t="s">
        <v>608</v>
      </c>
      <c r="F118" s="3" t="s">
        <v>640</v>
      </c>
      <c r="G118" s="3" t="s">
        <v>1089</v>
      </c>
      <c r="H118">
        <v>1859000</v>
      </c>
      <c r="I118" s="3" t="s">
        <v>874</v>
      </c>
      <c r="J118" s="3" t="s">
        <v>640</v>
      </c>
      <c r="L118" s="3" t="s">
        <v>640</v>
      </c>
      <c r="M118" s="3" t="s">
        <v>640</v>
      </c>
      <c r="N118" s="3" t="s">
        <v>131</v>
      </c>
      <c r="O118">
        <v>88.41</v>
      </c>
      <c r="P118">
        <v>88.41</v>
      </c>
      <c r="Q118">
        <v>11.41</v>
      </c>
      <c r="R118">
        <v>0</v>
      </c>
      <c r="S118">
        <v>0</v>
      </c>
      <c r="T118" s="3" t="s">
        <v>448</v>
      </c>
      <c r="U118">
        <v>88.41</v>
      </c>
      <c r="V118" s="3" t="s">
        <v>449</v>
      </c>
      <c r="W118" s="3" t="s">
        <v>640</v>
      </c>
      <c r="X118" s="3" t="s">
        <v>1328</v>
      </c>
      <c r="Y118" s="3" t="s">
        <v>1328</v>
      </c>
      <c r="Z118" s="3" t="s">
        <v>1328</v>
      </c>
      <c r="AA118" t="s">
        <v>1587</v>
      </c>
      <c r="AB118" s="3" t="s">
        <v>1765</v>
      </c>
      <c r="AC118" s="3" t="s">
        <v>640</v>
      </c>
      <c r="AD118" s="3" t="s">
        <v>640</v>
      </c>
    </row>
    <row r="119" spans="1:30" x14ac:dyDescent="0.35">
      <c r="A119" s="3" t="s">
        <v>608</v>
      </c>
      <c r="B119" s="3" t="s">
        <v>608</v>
      </c>
      <c r="C119" s="3" t="s">
        <v>608</v>
      </c>
      <c r="D119" s="3" t="s">
        <v>608</v>
      </c>
      <c r="E119" s="3" t="s">
        <v>608</v>
      </c>
      <c r="F119" s="3" t="s">
        <v>1082</v>
      </c>
      <c r="G119" s="3" t="s">
        <v>1083</v>
      </c>
      <c r="H119">
        <v>20000000</v>
      </c>
      <c r="I119" s="3" t="s">
        <v>3</v>
      </c>
      <c r="J119" s="3" t="s">
        <v>652</v>
      </c>
      <c r="K119">
        <v>1</v>
      </c>
      <c r="L119" s="3" t="s">
        <v>640</v>
      </c>
      <c r="M119" s="3" t="s">
        <v>2</v>
      </c>
      <c r="N119" s="3" t="s">
        <v>640</v>
      </c>
      <c r="O119">
        <v>-2.58</v>
      </c>
      <c r="P119">
        <v>-2.56</v>
      </c>
      <c r="Q119">
        <v>2716.07</v>
      </c>
      <c r="R119">
        <v>136.84</v>
      </c>
      <c r="S119">
        <v>-10455.17</v>
      </c>
      <c r="T119" s="3" t="s">
        <v>5</v>
      </c>
      <c r="U119">
        <v>-2.4700000000000002</v>
      </c>
      <c r="V119" s="3" t="s">
        <v>9</v>
      </c>
      <c r="W119" s="3" t="s">
        <v>640</v>
      </c>
      <c r="X119" s="3" t="s">
        <v>1328</v>
      </c>
      <c r="Y119" s="3" t="s">
        <v>1328</v>
      </c>
      <c r="Z119" s="3" t="s">
        <v>1830</v>
      </c>
      <c r="AA119" t="s">
        <v>1584</v>
      </c>
      <c r="AB119" s="3" t="s">
        <v>1765</v>
      </c>
      <c r="AC119" s="3" t="s">
        <v>640</v>
      </c>
      <c r="AD119" s="3" t="s">
        <v>640</v>
      </c>
    </row>
    <row r="120" spans="1:30" x14ac:dyDescent="0.35">
      <c r="A120" s="3" t="s">
        <v>608</v>
      </c>
      <c r="B120" s="3" t="s">
        <v>608</v>
      </c>
      <c r="C120" s="3" t="s">
        <v>608</v>
      </c>
      <c r="D120" s="3" t="s">
        <v>608</v>
      </c>
      <c r="E120" s="3" t="s">
        <v>608</v>
      </c>
      <c r="F120" s="3" t="s">
        <v>1082</v>
      </c>
      <c r="G120" s="3" t="s">
        <v>1083</v>
      </c>
      <c r="H120">
        <v>5000000</v>
      </c>
      <c r="I120" s="3" t="s">
        <v>3</v>
      </c>
      <c r="J120" s="3" t="s">
        <v>652</v>
      </c>
      <c r="K120">
        <v>1</v>
      </c>
      <c r="L120" s="3" t="s">
        <v>640</v>
      </c>
      <c r="M120" s="3" t="s">
        <v>2</v>
      </c>
      <c r="N120" s="3" t="s">
        <v>640</v>
      </c>
      <c r="O120">
        <v>-2.58</v>
      </c>
      <c r="P120">
        <v>-2.56</v>
      </c>
      <c r="Q120">
        <v>679.02</v>
      </c>
      <c r="R120">
        <v>34.21</v>
      </c>
      <c r="S120">
        <v>-2613.79</v>
      </c>
      <c r="T120" s="3" t="s">
        <v>5</v>
      </c>
      <c r="U120">
        <v>-2.57</v>
      </c>
      <c r="V120" s="3" t="s">
        <v>256</v>
      </c>
      <c r="W120" s="3" t="s">
        <v>640</v>
      </c>
      <c r="X120" s="3" t="s">
        <v>1328</v>
      </c>
      <c r="Y120" s="3" t="s">
        <v>1328</v>
      </c>
      <c r="Z120" s="3" t="s">
        <v>1831</v>
      </c>
      <c r="AA120" t="s">
        <v>1560</v>
      </c>
      <c r="AB120" s="3" t="s">
        <v>1765</v>
      </c>
      <c r="AC120" s="3" t="s">
        <v>640</v>
      </c>
      <c r="AD120" s="3" t="s">
        <v>640</v>
      </c>
    </row>
    <row r="121" spans="1:30" x14ac:dyDescent="0.35">
      <c r="A121" s="3" t="s">
        <v>608</v>
      </c>
      <c r="B121" s="3" t="s">
        <v>608</v>
      </c>
      <c r="C121" s="3" t="s">
        <v>608</v>
      </c>
      <c r="D121" s="3" t="s">
        <v>608</v>
      </c>
      <c r="E121" s="3" t="s">
        <v>608</v>
      </c>
      <c r="F121" s="3" t="s">
        <v>1092</v>
      </c>
      <c r="G121" s="3" t="s">
        <v>1093</v>
      </c>
      <c r="H121">
        <v>1500000</v>
      </c>
      <c r="I121" s="3" t="s">
        <v>229</v>
      </c>
      <c r="J121" s="3" t="s">
        <v>652</v>
      </c>
      <c r="K121">
        <v>1</v>
      </c>
      <c r="L121" s="3" t="s">
        <v>640</v>
      </c>
      <c r="M121" s="3" t="s">
        <v>228</v>
      </c>
      <c r="N121" s="3" t="s">
        <v>640</v>
      </c>
      <c r="O121">
        <v>0.85</v>
      </c>
      <c r="P121">
        <v>0.92</v>
      </c>
      <c r="Q121">
        <v>990.04</v>
      </c>
      <c r="R121">
        <v>-3.67</v>
      </c>
      <c r="S121">
        <v>-750.71</v>
      </c>
      <c r="T121" s="3" t="s">
        <v>5</v>
      </c>
      <c r="U121">
        <v>2.56</v>
      </c>
      <c r="V121" s="3" t="s">
        <v>230</v>
      </c>
      <c r="W121" s="3" t="s">
        <v>640</v>
      </c>
      <c r="X121" s="3" t="s">
        <v>1328</v>
      </c>
      <c r="Y121" s="3" t="s">
        <v>1328</v>
      </c>
      <c r="Z121" s="3" t="s">
        <v>1832</v>
      </c>
      <c r="AA121" t="s">
        <v>1547</v>
      </c>
      <c r="AB121" s="3" t="s">
        <v>1765</v>
      </c>
      <c r="AC121" s="3" t="s">
        <v>640</v>
      </c>
      <c r="AD121" s="3" t="s">
        <v>640</v>
      </c>
    </row>
    <row r="122" spans="1:30" x14ac:dyDescent="0.35">
      <c r="A122" s="3" t="s">
        <v>608</v>
      </c>
      <c r="B122" s="3" t="s">
        <v>608</v>
      </c>
      <c r="C122" s="3" t="s">
        <v>608</v>
      </c>
      <c r="D122" s="3" t="s">
        <v>608</v>
      </c>
      <c r="E122" s="3" t="s">
        <v>608</v>
      </c>
      <c r="F122" s="3" t="s">
        <v>1090</v>
      </c>
      <c r="G122" s="3" t="s">
        <v>1091</v>
      </c>
      <c r="H122">
        <v>-3000000</v>
      </c>
      <c r="I122" s="3" t="s">
        <v>232</v>
      </c>
      <c r="J122" s="3" t="s">
        <v>652</v>
      </c>
      <c r="K122">
        <v>1</v>
      </c>
      <c r="L122" s="3" t="s">
        <v>640</v>
      </c>
      <c r="M122" s="3" t="s">
        <v>231</v>
      </c>
      <c r="N122" s="3" t="s">
        <v>1090</v>
      </c>
      <c r="O122">
        <v>-1.89</v>
      </c>
      <c r="P122">
        <v>-1.85</v>
      </c>
      <c r="Q122">
        <v>-1080.07</v>
      </c>
      <c r="R122">
        <v>-14.8</v>
      </c>
      <c r="S122">
        <v>1550.12</v>
      </c>
      <c r="T122" s="3" t="s">
        <v>5</v>
      </c>
      <c r="U122">
        <v>-1.53</v>
      </c>
      <c r="V122" s="3" t="s">
        <v>230</v>
      </c>
      <c r="W122" s="3" t="s">
        <v>640</v>
      </c>
      <c r="X122" s="3" t="s">
        <v>1328</v>
      </c>
      <c r="Y122" s="3" t="s">
        <v>1328</v>
      </c>
      <c r="Z122" s="3" t="s">
        <v>1833</v>
      </c>
      <c r="AA122" t="s">
        <v>1546</v>
      </c>
      <c r="AB122" s="3" t="s">
        <v>1765</v>
      </c>
      <c r="AC122" s="3" t="s">
        <v>640</v>
      </c>
      <c r="AD122" s="3" t="s">
        <v>640</v>
      </c>
    </row>
    <row r="123" spans="1:30" x14ac:dyDescent="0.35">
      <c r="A123" s="3" t="s">
        <v>608</v>
      </c>
      <c r="B123" s="3" t="s">
        <v>608</v>
      </c>
      <c r="C123" s="3" t="s">
        <v>608</v>
      </c>
      <c r="D123" s="3" t="s">
        <v>608</v>
      </c>
      <c r="E123" s="3" t="s">
        <v>608</v>
      </c>
      <c r="F123" s="3" t="s">
        <v>640</v>
      </c>
      <c r="G123" s="3" t="s">
        <v>1121</v>
      </c>
      <c r="H123">
        <v>-554000</v>
      </c>
      <c r="I123" s="3" t="s">
        <v>539</v>
      </c>
      <c r="J123" s="3" t="s">
        <v>640</v>
      </c>
      <c r="L123" s="3" t="s">
        <v>640</v>
      </c>
      <c r="M123" s="3" t="s">
        <v>640</v>
      </c>
      <c r="N123" s="3" t="s">
        <v>391</v>
      </c>
      <c r="O123">
        <v>104.09</v>
      </c>
      <c r="P123">
        <v>104.09</v>
      </c>
      <c r="Q123">
        <v>-15.24</v>
      </c>
      <c r="R123">
        <v>0</v>
      </c>
      <c r="S123">
        <v>0</v>
      </c>
      <c r="T123" s="3" t="s">
        <v>448</v>
      </c>
      <c r="U123">
        <v>104.21</v>
      </c>
      <c r="V123" s="3" t="s">
        <v>449</v>
      </c>
      <c r="W123" s="3" t="s">
        <v>640</v>
      </c>
      <c r="X123" s="3" t="s">
        <v>1328</v>
      </c>
      <c r="Y123" s="3" t="s">
        <v>1328</v>
      </c>
      <c r="Z123" s="3" t="s">
        <v>1328</v>
      </c>
      <c r="AA123" t="s">
        <v>1604</v>
      </c>
      <c r="AB123" s="3" t="s">
        <v>1765</v>
      </c>
      <c r="AC123" s="3" t="s">
        <v>640</v>
      </c>
      <c r="AD123" s="3" t="s">
        <v>640</v>
      </c>
    </row>
    <row r="124" spans="1:30" x14ac:dyDescent="0.35">
      <c r="A124" s="3" t="s">
        <v>608</v>
      </c>
      <c r="B124" s="3" t="s">
        <v>608</v>
      </c>
      <c r="C124" s="3" t="s">
        <v>608</v>
      </c>
      <c r="D124" s="3" t="s">
        <v>608</v>
      </c>
      <c r="E124" s="3" t="s">
        <v>608</v>
      </c>
      <c r="F124" s="3" t="s">
        <v>640</v>
      </c>
      <c r="G124" s="3" t="s">
        <v>1128</v>
      </c>
      <c r="H124">
        <v>-3300000</v>
      </c>
      <c r="I124" s="3" t="s">
        <v>504</v>
      </c>
      <c r="J124" s="3" t="s">
        <v>640</v>
      </c>
      <c r="L124" s="3" t="s">
        <v>640</v>
      </c>
      <c r="M124" s="3" t="s">
        <v>640</v>
      </c>
      <c r="N124" s="3" t="s">
        <v>384</v>
      </c>
      <c r="O124">
        <v>106.14</v>
      </c>
      <c r="P124">
        <v>106.14</v>
      </c>
      <c r="Q124">
        <v>-92.5</v>
      </c>
      <c r="R124">
        <v>0</v>
      </c>
      <c r="S124">
        <v>0</v>
      </c>
      <c r="T124" s="3" t="s">
        <v>448</v>
      </c>
      <c r="U124">
        <v>106.22</v>
      </c>
      <c r="V124" s="3" t="s">
        <v>449</v>
      </c>
      <c r="W124" s="3" t="s">
        <v>640</v>
      </c>
      <c r="X124" s="3" t="s">
        <v>1328</v>
      </c>
      <c r="Y124" s="3" t="s">
        <v>1328</v>
      </c>
      <c r="Z124" s="3" t="s">
        <v>1328</v>
      </c>
      <c r="AA124" t="s">
        <v>1608</v>
      </c>
      <c r="AB124" s="3" t="s">
        <v>1765</v>
      </c>
      <c r="AC124" s="3" t="s">
        <v>640</v>
      </c>
      <c r="AD124" s="3" t="s">
        <v>640</v>
      </c>
    </row>
    <row r="125" spans="1:30" x14ac:dyDescent="0.35">
      <c r="A125" s="3" t="s">
        <v>608</v>
      </c>
      <c r="B125" s="3" t="s">
        <v>608</v>
      </c>
      <c r="C125" s="3" t="s">
        <v>608</v>
      </c>
      <c r="D125" s="3" t="s">
        <v>608</v>
      </c>
      <c r="E125" s="3" t="s">
        <v>608</v>
      </c>
      <c r="F125" s="3" t="s">
        <v>640</v>
      </c>
      <c r="G125" s="3" t="s">
        <v>1125</v>
      </c>
      <c r="H125">
        <v>-5300000</v>
      </c>
      <c r="I125" s="3" t="s">
        <v>514</v>
      </c>
      <c r="J125" s="3" t="s">
        <v>640</v>
      </c>
      <c r="L125" s="3" t="s">
        <v>640</v>
      </c>
      <c r="M125" s="3" t="s">
        <v>640</v>
      </c>
      <c r="N125" s="3" t="s">
        <v>168</v>
      </c>
      <c r="O125">
        <v>107.11</v>
      </c>
      <c r="P125">
        <v>107.11</v>
      </c>
      <c r="Q125">
        <v>-149.81</v>
      </c>
      <c r="R125">
        <v>0</v>
      </c>
      <c r="S125">
        <v>0</v>
      </c>
      <c r="T125" s="3" t="s">
        <v>448</v>
      </c>
      <c r="U125">
        <v>107.11</v>
      </c>
      <c r="V125" s="3" t="s">
        <v>449</v>
      </c>
      <c r="W125" s="3" t="s">
        <v>640</v>
      </c>
      <c r="X125" s="3" t="s">
        <v>1328</v>
      </c>
      <c r="Y125" s="3" t="s">
        <v>1328</v>
      </c>
      <c r="Z125" s="3" t="s">
        <v>1328</v>
      </c>
      <c r="AA125" t="s">
        <v>1607</v>
      </c>
      <c r="AB125" s="3" t="s">
        <v>1765</v>
      </c>
      <c r="AC125" s="3" t="s">
        <v>640</v>
      </c>
      <c r="AD125" s="3" t="s">
        <v>640</v>
      </c>
    </row>
    <row r="126" spans="1:30" x14ac:dyDescent="0.35">
      <c r="A126" s="3" t="s">
        <v>608</v>
      </c>
      <c r="B126" s="3" t="s">
        <v>608</v>
      </c>
      <c r="C126" s="3" t="s">
        <v>608</v>
      </c>
      <c r="D126" s="3" t="s">
        <v>608</v>
      </c>
      <c r="E126" s="3" t="s">
        <v>608</v>
      </c>
      <c r="F126" s="3" t="s">
        <v>640</v>
      </c>
      <c r="G126" s="3" t="s">
        <v>1113</v>
      </c>
      <c r="H126">
        <v>-2600000</v>
      </c>
      <c r="I126" s="3" t="s">
        <v>506</v>
      </c>
      <c r="J126" s="3" t="s">
        <v>640</v>
      </c>
      <c r="L126" s="3" t="s">
        <v>640</v>
      </c>
      <c r="M126" s="3" t="s">
        <v>640</v>
      </c>
      <c r="N126" s="3" t="s">
        <v>160</v>
      </c>
      <c r="O126">
        <v>107.91</v>
      </c>
      <c r="P126">
        <v>107.91</v>
      </c>
      <c r="Q126">
        <v>-74.08</v>
      </c>
      <c r="R126">
        <v>0</v>
      </c>
      <c r="S126">
        <v>0</v>
      </c>
      <c r="T126" s="3" t="s">
        <v>448</v>
      </c>
      <c r="U126">
        <v>107.97</v>
      </c>
      <c r="V126" s="3" t="s">
        <v>449</v>
      </c>
      <c r="W126" s="3" t="s">
        <v>640</v>
      </c>
      <c r="X126" s="3" t="s">
        <v>1328</v>
      </c>
      <c r="Y126" s="3" t="s">
        <v>1328</v>
      </c>
      <c r="Z126" s="3" t="s">
        <v>1328</v>
      </c>
      <c r="AA126" t="s">
        <v>1597</v>
      </c>
      <c r="AB126" s="3" t="s">
        <v>1765</v>
      </c>
      <c r="AC126" s="3" t="s">
        <v>640</v>
      </c>
      <c r="AD126" s="3" t="s">
        <v>640</v>
      </c>
    </row>
    <row r="127" spans="1:30" x14ac:dyDescent="0.35">
      <c r="A127" s="3" t="s">
        <v>608</v>
      </c>
      <c r="B127" s="3" t="s">
        <v>608</v>
      </c>
      <c r="C127" s="3" t="s">
        <v>608</v>
      </c>
      <c r="D127" s="3" t="s">
        <v>608</v>
      </c>
      <c r="E127" s="3" t="s">
        <v>608</v>
      </c>
      <c r="F127" s="3" t="s">
        <v>640</v>
      </c>
      <c r="G127" s="3" t="s">
        <v>1123</v>
      </c>
      <c r="H127">
        <v>-1285000</v>
      </c>
      <c r="I127" s="3" t="s">
        <v>520</v>
      </c>
      <c r="J127" s="3" t="s">
        <v>640</v>
      </c>
      <c r="L127" s="3" t="s">
        <v>640</v>
      </c>
      <c r="M127" s="3" t="s">
        <v>640</v>
      </c>
      <c r="N127" s="3" t="s">
        <v>178</v>
      </c>
      <c r="O127">
        <v>107.17</v>
      </c>
      <c r="P127">
        <v>107.17</v>
      </c>
      <c r="Q127">
        <v>-36.54</v>
      </c>
      <c r="R127">
        <v>0</v>
      </c>
      <c r="S127">
        <v>0</v>
      </c>
      <c r="T127" s="3" t="s">
        <v>448</v>
      </c>
      <c r="U127">
        <v>107.74</v>
      </c>
      <c r="V127" s="3" t="s">
        <v>449</v>
      </c>
      <c r="W127" s="3" t="s">
        <v>640</v>
      </c>
      <c r="X127" s="3" t="s">
        <v>1328</v>
      </c>
      <c r="Y127" s="3" t="s">
        <v>1328</v>
      </c>
      <c r="Z127" s="3" t="s">
        <v>1328</v>
      </c>
      <c r="AA127" t="s">
        <v>1606</v>
      </c>
      <c r="AB127" s="3" t="s">
        <v>1765</v>
      </c>
      <c r="AC127" s="3" t="s">
        <v>640</v>
      </c>
      <c r="AD127" s="3" t="s">
        <v>640</v>
      </c>
    </row>
    <row r="128" spans="1:30" x14ac:dyDescent="0.35">
      <c r="A128" s="3" t="s">
        <v>608</v>
      </c>
      <c r="B128" s="3" t="s">
        <v>608</v>
      </c>
      <c r="C128" s="3" t="s">
        <v>608</v>
      </c>
      <c r="D128" s="3" t="s">
        <v>608</v>
      </c>
      <c r="E128" s="3" t="s">
        <v>608</v>
      </c>
      <c r="F128" s="3" t="s">
        <v>640</v>
      </c>
      <c r="G128" s="3" t="s">
        <v>1086</v>
      </c>
      <c r="H128">
        <v>-1345000</v>
      </c>
      <c r="I128" s="3" t="s">
        <v>555</v>
      </c>
      <c r="J128" s="3" t="s">
        <v>640</v>
      </c>
      <c r="L128" s="3" t="s">
        <v>640</v>
      </c>
      <c r="M128" s="3" t="s">
        <v>640</v>
      </c>
      <c r="N128" s="3" t="s">
        <v>344</v>
      </c>
      <c r="O128">
        <v>111.07</v>
      </c>
      <c r="P128">
        <v>111.07</v>
      </c>
      <c r="Q128">
        <v>-38.979999999999997</v>
      </c>
      <c r="R128">
        <v>0</v>
      </c>
      <c r="S128">
        <v>0</v>
      </c>
      <c r="T128" s="3" t="s">
        <v>448</v>
      </c>
      <c r="U128">
        <v>109.83</v>
      </c>
      <c r="V128" s="3" t="s">
        <v>449</v>
      </c>
      <c r="W128" s="3" t="s">
        <v>640</v>
      </c>
      <c r="X128" s="3" t="s">
        <v>1328</v>
      </c>
      <c r="Y128" s="3" t="s">
        <v>1328</v>
      </c>
      <c r="Z128" s="3" t="s">
        <v>1328</v>
      </c>
      <c r="AA128" t="s">
        <v>1585</v>
      </c>
      <c r="AB128" s="3" t="s">
        <v>1765</v>
      </c>
      <c r="AC128" s="3" t="s">
        <v>640</v>
      </c>
      <c r="AD128" s="3" t="s">
        <v>640</v>
      </c>
    </row>
    <row r="129" spans="1:30" x14ac:dyDescent="0.35">
      <c r="A129" s="3" t="s">
        <v>608</v>
      </c>
      <c r="B129" s="3" t="s">
        <v>608</v>
      </c>
      <c r="C129" s="3" t="s">
        <v>608</v>
      </c>
      <c r="D129" s="3" t="s">
        <v>608</v>
      </c>
      <c r="E129" s="3" t="s">
        <v>608</v>
      </c>
      <c r="F129" s="3" t="s">
        <v>23</v>
      </c>
      <c r="G129" s="3" t="s">
        <v>1033</v>
      </c>
      <c r="H129">
        <v>-50</v>
      </c>
      <c r="I129" s="3" t="s">
        <v>24</v>
      </c>
      <c r="J129" s="3" t="s">
        <v>640</v>
      </c>
      <c r="K129">
        <v>6</v>
      </c>
      <c r="L129" s="3" t="s">
        <v>640</v>
      </c>
      <c r="M129" s="3" t="s">
        <v>23</v>
      </c>
      <c r="N129" s="3" t="s">
        <v>1034</v>
      </c>
      <c r="O129">
        <v>112.31</v>
      </c>
      <c r="P129">
        <v>112.31</v>
      </c>
      <c r="Q129">
        <v>-250</v>
      </c>
      <c r="R129">
        <v>-1085.42</v>
      </c>
      <c r="S129">
        <v>0</v>
      </c>
      <c r="T129" s="3" t="s">
        <v>13</v>
      </c>
      <c r="U129">
        <v>112.44</v>
      </c>
      <c r="V129" s="3" t="s">
        <v>9</v>
      </c>
      <c r="W129" s="3" t="s">
        <v>15</v>
      </c>
      <c r="X129" s="3" t="s">
        <v>1328</v>
      </c>
      <c r="Y129" s="3" t="s">
        <v>1328</v>
      </c>
      <c r="Z129" s="3" t="s">
        <v>1834</v>
      </c>
      <c r="AA129" t="s">
        <v>1531</v>
      </c>
      <c r="AB129" s="3" t="s">
        <v>1765</v>
      </c>
      <c r="AC129" s="3" t="s">
        <v>640</v>
      </c>
      <c r="AD129" s="3" t="s">
        <v>640</v>
      </c>
    </row>
    <row r="130" spans="1:30" x14ac:dyDescent="0.35">
      <c r="A130" s="3" t="s">
        <v>608</v>
      </c>
      <c r="B130" s="3" t="s">
        <v>608</v>
      </c>
      <c r="C130" s="3" t="s">
        <v>608</v>
      </c>
      <c r="D130" s="3" t="s">
        <v>608</v>
      </c>
      <c r="E130" s="3" t="s">
        <v>608</v>
      </c>
      <c r="F130" s="3" t="s">
        <v>640</v>
      </c>
      <c r="G130" s="3" t="s">
        <v>1120</v>
      </c>
      <c r="H130">
        <v>1650000</v>
      </c>
      <c r="I130" s="3" t="s">
        <v>508</v>
      </c>
      <c r="J130" s="3" t="s">
        <v>640</v>
      </c>
      <c r="L130" s="3" t="s">
        <v>640</v>
      </c>
      <c r="M130" s="3" t="s">
        <v>640</v>
      </c>
      <c r="N130" s="3" t="s">
        <v>389</v>
      </c>
      <c r="O130">
        <v>77.16</v>
      </c>
      <c r="P130">
        <v>77.16</v>
      </c>
      <c r="Q130">
        <v>-3420.19</v>
      </c>
      <c r="R130">
        <v>0</v>
      </c>
      <c r="S130">
        <v>0</v>
      </c>
      <c r="T130" s="3" t="s">
        <v>448</v>
      </c>
      <c r="U130">
        <v>77.48</v>
      </c>
      <c r="V130" s="3" t="s">
        <v>449</v>
      </c>
      <c r="W130" s="3" t="s">
        <v>640</v>
      </c>
      <c r="X130" s="3" t="s">
        <v>1328</v>
      </c>
      <c r="Y130" s="3" t="s">
        <v>1328</v>
      </c>
      <c r="Z130" s="3" t="s">
        <v>1835</v>
      </c>
      <c r="AA130" t="s">
        <v>1602</v>
      </c>
      <c r="AB130" s="3" t="s">
        <v>1766</v>
      </c>
      <c r="AC130" s="3" t="s">
        <v>640</v>
      </c>
      <c r="AD130" s="3" t="s">
        <v>640</v>
      </c>
    </row>
    <row r="131" spans="1:30" x14ac:dyDescent="0.35">
      <c r="A131" s="3" t="s">
        <v>608</v>
      </c>
      <c r="B131" s="3" t="s">
        <v>608</v>
      </c>
      <c r="C131" s="3" t="s">
        <v>608</v>
      </c>
      <c r="D131" s="3" t="s">
        <v>608</v>
      </c>
      <c r="E131" s="3" t="s">
        <v>608</v>
      </c>
      <c r="F131" s="3" t="s">
        <v>640</v>
      </c>
      <c r="G131" s="3" t="s">
        <v>1126</v>
      </c>
      <c r="H131">
        <v>3000000</v>
      </c>
      <c r="I131" s="3" t="s">
        <v>528</v>
      </c>
      <c r="J131" s="3" t="s">
        <v>640</v>
      </c>
      <c r="L131" s="3" t="s">
        <v>640</v>
      </c>
      <c r="M131" s="3" t="s">
        <v>640</v>
      </c>
      <c r="N131" s="3" t="s">
        <v>163</v>
      </c>
      <c r="O131">
        <v>94.39</v>
      </c>
      <c r="P131">
        <v>94.39</v>
      </c>
      <c r="Q131">
        <v>19.66</v>
      </c>
      <c r="R131">
        <v>0</v>
      </c>
      <c r="S131">
        <v>0</v>
      </c>
      <c r="T131" s="3" t="s">
        <v>448</v>
      </c>
      <c r="U131">
        <v>94.39</v>
      </c>
      <c r="V131" s="3" t="s">
        <v>449</v>
      </c>
      <c r="W131" s="3" t="s">
        <v>640</v>
      </c>
      <c r="X131" s="3" t="s">
        <v>1328</v>
      </c>
      <c r="Y131" s="3" t="s">
        <v>1328</v>
      </c>
      <c r="Z131" s="3" t="s">
        <v>1328</v>
      </c>
      <c r="AA131" t="s">
        <v>1515</v>
      </c>
      <c r="AB131" s="3" t="s">
        <v>1765</v>
      </c>
      <c r="AC131" s="3" t="s">
        <v>640</v>
      </c>
      <c r="AD131" s="3" t="s">
        <v>640</v>
      </c>
    </row>
    <row r="132" spans="1:30" x14ac:dyDescent="0.35">
      <c r="A132" s="3" t="s">
        <v>608</v>
      </c>
      <c r="B132" s="3" t="s">
        <v>608</v>
      </c>
      <c r="C132" s="3" t="s">
        <v>608</v>
      </c>
      <c r="D132" s="3" t="s">
        <v>608</v>
      </c>
      <c r="E132" s="3" t="s">
        <v>608</v>
      </c>
      <c r="F132" s="3" t="s">
        <v>640</v>
      </c>
      <c r="G132" s="3" t="s">
        <v>1069</v>
      </c>
      <c r="H132">
        <v>-1515000</v>
      </c>
      <c r="I132" s="3" t="s">
        <v>512</v>
      </c>
      <c r="J132" s="3" t="s">
        <v>640</v>
      </c>
      <c r="L132" s="3" t="s">
        <v>640</v>
      </c>
      <c r="M132" s="3" t="s">
        <v>640</v>
      </c>
      <c r="N132" s="3" t="s">
        <v>101</v>
      </c>
      <c r="O132">
        <v>117.57</v>
      </c>
      <c r="P132">
        <v>117.57</v>
      </c>
      <c r="Q132">
        <v>-47</v>
      </c>
      <c r="R132">
        <v>0</v>
      </c>
      <c r="S132">
        <v>0</v>
      </c>
      <c r="T132" s="3" t="s">
        <v>448</v>
      </c>
      <c r="U132">
        <v>117.57</v>
      </c>
      <c r="V132" s="3" t="s">
        <v>449</v>
      </c>
      <c r="W132" s="3" t="s">
        <v>640</v>
      </c>
      <c r="X132" s="3" t="s">
        <v>1328</v>
      </c>
      <c r="Y132" s="3" t="s">
        <v>1328</v>
      </c>
      <c r="Z132" s="3" t="s">
        <v>1328</v>
      </c>
      <c r="AA132" t="s">
        <v>1566</v>
      </c>
      <c r="AB132" s="3" t="s">
        <v>1765</v>
      </c>
      <c r="AC132" s="3" t="s">
        <v>640</v>
      </c>
      <c r="AD132" s="3" t="s">
        <v>640</v>
      </c>
    </row>
    <row r="133" spans="1:30" x14ac:dyDescent="0.35">
      <c r="A133" s="3" t="s">
        <v>608</v>
      </c>
      <c r="B133" s="3" t="s">
        <v>608</v>
      </c>
      <c r="C133" s="3" t="s">
        <v>608</v>
      </c>
      <c r="D133" s="3" t="s">
        <v>608</v>
      </c>
      <c r="E133" s="3" t="s">
        <v>608</v>
      </c>
      <c r="F133" s="3" t="s">
        <v>640</v>
      </c>
      <c r="G133" s="3" t="s">
        <v>1066</v>
      </c>
      <c r="H133">
        <v>-15471000</v>
      </c>
      <c r="I133" s="3" t="s">
        <v>455</v>
      </c>
      <c r="J133" s="3" t="s">
        <v>640</v>
      </c>
      <c r="L133" s="3" t="s">
        <v>640</v>
      </c>
      <c r="M133" s="3" t="s">
        <v>640</v>
      </c>
      <c r="N133" s="3" t="s">
        <v>329</v>
      </c>
      <c r="O133">
        <v>104.39</v>
      </c>
      <c r="P133">
        <v>101.73</v>
      </c>
      <c r="Q133">
        <v>-496.42</v>
      </c>
      <c r="R133">
        <v>0</v>
      </c>
      <c r="S133">
        <v>0</v>
      </c>
      <c r="T133" s="3" t="s">
        <v>448</v>
      </c>
      <c r="U133">
        <v>101.87</v>
      </c>
      <c r="V133" s="3" t="s">
        <v>449</v>
      </c>
      <c r="W133" s="3" t="s">
        <v>640</v>
      </c>
      <c r="X133" s="3" t="s">
        <v>1328</v>
      </c>
      <c r="Y133" s="3" t="s">
        <v>1328</v>
      </c>
      <c r="Z133" s="3" t="s">
        <v>1328</v>
      </c>
      <c r="AA133" t="s">
        <v>1563</v>
      </c>
      <c r="AB133" s="3" t="s">
        <v>1765</v>
      </c>
      <c r="AC133" s="3" t="s">
        <v>640</v>
      </c>
      <c r="AD133" s="3" t="s">
        <v>640</v>
      </c>
    </row>
    <row r="134" spans="1:30" x14ac:dyDescent="0.35">
      <c r="A134" s="3" t="s">
        <v>608</v>
      </c>
      <c r="B134" s="3" t="s">
        <v>608</v>
      </c>
      <c r="C134" s="3" t="s">
        <v>608</v>
      </c>
      <c r="D134" s="3" t="s">
        <v>608</v>
      </c>
      <c r="E134" s="3" t="s">
        <v>608</v>
      </c>
      <c r="F134" s="3" t="s">
        <v>640</v>
      </c>
      <c r="G134" s="3" t="s">
        <v>1062</v>
      </c>
      <c r="H134">
        <v>1000000</v>
      </c>
      <c r="I134" s="3" t="s">
        <v>486</v>
      </c>
      <c r="J134" s="3" t="s">
        <v>640</v>
      </c>
      <c r="L134" s="3" t="s">
        <v>640</v>
      </c>
      <c r="M134" s="3" t="s">
        <v>640</v>
      </c>
      <c r="N134" s="3" t="s">
        <v>77</v>
      </c>
      <c r="O134">
        <v>90.64</v>
      </c>
      <c r="P134">
        <v>90.64</v>
      </c>
      <c r="Q134">
        <v>6.29</v>
      </c>
      <c r="R134">
        <v>0</v>
      </c>
      <c r="S134">
        <v>0</v>
      </c>
      <c r="T134" s="3" t="s">
        <v>448</v>
      </c>
      <c r="U134">
        <v>90.64</v>
      </c>
      <c r="V134" s="3" t="s">
        <v>449</v>
      </c>
      <c r="W134" s="3" t="s">
        <v>640</v>
      </c>
      <c r="X134" s="3" t="s">
        <v>1328</v>
      </c>
      <c r="Y134" s="3" t="s">
        <v>1328</v>
      </c>
      <c r="Z134" s="3" t="s">
        <v>1328</v>
      </c>
      <c r="AA134" t="s">
        <v>1517</v>
      </c>
      <c r="AB134" s="3" t="s">
        <v>1765</v>
      </c>
      <c r="AC134" s="3" t="s">
        <v>640</v>
      </c>
      <c r="AD134" s="3" t="s">
        <v>640</v>
      </c>
    </row>
    <row r="135" spans="1:30" x14ac:dyDescent="0.35">
      <c r="A135" s="3" t="s">
        <v>608</v>
      </c>
      <c r="B135" s="3" t="s">
        <v>608</v>
      </c>
      <c r="C135" s="3" t="s">
        <v>608</v>
      </c>
      <c r="D135" s="3" t="s">
        <v>608</v>
      </c>
      <c r="E135" s="3" t="s">
        <v>608</v>
      </c>
      <c r="F135" s="3" t="s">
        <v>640</v>
      </c>
      <c r="G135" s="3" t="s">
        <v>1116</v>
      </c>
      <c r="H135">
        <v>3000000</v>
      </c>
      <c r="I135" s="3" t="s">
        <v>487</v>
      </c>
      <c r="J135" s="3" t="s">
        <v>640</v>
      </c>
      <c r="L135" s="3" t="s">
        <v>640</v>
      </c>
      <c r="M135" s="3" t="s">
        <v>640</v>
      </c>
      <c r="N135" s="3" t="s">
        <v>148</v>
      </c>
      <c r="O135">
        <v>98.87</v>
      </c>
      <c r="P135">
        <v>98.87</v>
      </c>
      <c r="Q135">
        <v>20.6</v>
      </c>
      <c r="R135">
        <v>0</v>
      </c>
      <c r="S135">
        <v>0</v>
      </c>
      <c r="T135" s="3" t="s">
        <v>448</v>
      </c>
      <c r="U135">
        <v>98.87</v>
      </c>
      <c r="V135" s="3" t="s">
        <v>449</v>
      </c>
      <c r="W135" s="3" t="s">
        <v>640</v>
      </c>
      <c r="X135" s="3" t="s">
        <v>1328</v>
      </c>
      <c r="Y135" s="3" t="s">
        <v>1328</v>
      </c>
      <c r="Z135" s="3" t="s">
        <v>1328</v>
      </c>
      <c r="AA135" t="s">
        <v>1515</v>
      </c>
      <c r="AB135" s="3" t="s">
        <v>1765</v>
      </c>
      <c r="AC135" s="3" t="s">
        <v>640</v>
      </c>
      <c r="AD135" s="3" t="s">
        <v>640</v>
      </c>
    </row>
    <row r="136" spans="1:30" x14ac:dyDescent="0.35">
      <c r="A136" s="3" t="s">
        <v>608</v>
      </c>
      <c r="B136" s="3" t="s">
        <v>608</v>
      </c>
      <c r="C136" s="3" t="s">
        <v>608</v>
      </c>
      <c r="D136" s="3" t="s">
        <v>608</v>
      </c>
      <c r="E136" s="3" t="s">
        <v>608</v>
      </c>
      <c r="F136" s="3" t="s">
        <v>640</v>
      </c>
      <c r="G136" s="3" t="s">
        <v>1074</v>
      </c>
      <c r="H136">
        <v>2000000</v>
      </c>
      <c r="I136" s="3" t="s">
        <v>488</v>
      </c>
      <c r="J136" s="3" t="s">
        <v>640</v>
      </c>
      <c r="L136" s="3" t="s">
        <v>640</v>
      </c>
      <c r="M136" s="3" t="s">
        <v>640</v>
      </c>
      <c r="N136" s="3" t="s">
        <v>108</v>
      </c>
      <c r="O136">
        <v>93.37</v>
      </c>
      <c r="P136">
        <v>93.37</v>
      </c>
      <c r="Q136">
        <v>12.97</v>
      </c>
      <c r="R136">
        <v>0</v>
      </c>
      <c r="S136">
        <v>0</v>
      </c>
      <c r="T136" s="3" t="s">
        <v>448</v>
      </c>
      <c r="U136">
        <v>93.37</v>
      </c>
      <c r="V136" s="3" t="s">
        <v>449</v>
      </c>
      <c r="W136" s="3" t="s">
        <v>640</v>
      </c>
      <c r="X136" s="3" t="s">
        <v>1328</v>
      </c>
      <c r="Y136" s="3" t="s">
        <v>1328</v>
      </c>
      <c r="Z136" s="3" t="s">
        <v>1328</v>
      </c>
      <c r="AA136" t="s">
        <v>1535</v>
      </c>
      <c r="AB136" s="3" t="s">
        <v>1765</v>
      </c>
      <c r="AC136" s="3" t="s">
        <v>640</v>
      </c>
      <c r="AD136" s="3" t="s">
        <v>640</v>
      </c>
    </row>
    <row r="137" spans="1:30" x14ac:dyDescent="0.35">
      <c r="A137" s="3" t="s">
        <v>608</v>
      </c>
      <c r="B137" s="3" t="s">
        <v>608</v>
      </c>
      <c r="C137" s="3" t="s">
        <v>608</v>
      </c>
      <c r="D137" s="3" t="s">
        <v>608</v>
      </c>
      <c r="E137" s="3" t="s">
        <v>608</v>
      </c>
      <c r="F137" s="3" t="s">
        <v>640</v>
      </c>
      <c r="G137" s="3" t="s">
        <v>1025</v>
      </c>
      <c r="H137">
        <v>-3850000</v>
      </c>
      <c r="I137" s="3" t="s">
        <v>522</v>
      </c>
      <c r="J137" s="3" t="s">
        <v>640</v>
      </c>
      <c r="L137" s="3" t="s">
        <v>640</v>
      </c>
      <c r="M137" s="3" t="s">
        <v>640</v>
      </c>
      <c r="N137" s="3" t="s">
        <v>43</v>
      </c>
      <c r="O137">
        <v>108.73</v>
      </c>
      <c r="P137">
        <v>108.73</v>
      </c>
      <c r="Q137">
        <v>-110.47</v>
      </c>
      <c r="R137">
        <v>0</v>
      </c>
      <c r="S137">
        <v>0</v>
      </c>
      <c r="T137" s="3" t="s">
        <v>448</v>
      </c>
      <c r="U137">
        <v>108.73</v>
      </c>
      <c r="V137" s="3" t="s">
        <v>449</v>
      </c>
      <c r="W137" s="3" t="s">
        <v>640</v>
      </c>
      <c r="X137" s="3" t="s">
        <v>1328</v>
      </c>
      <c r="Y137" s="3" t="s">
        <v>1328</v>
      </c>
      <c r="Z137" s="3" t="s">
        <v>1328</v>
      </c>
      <c r="AA137" t="s">
        <v>1526</v>
      </c>
      <c r="AB137" s="3" t="s">
        <v>1765</v>
      </c>
      <c r="AC137" s="3" t="s">
        <v>640</v>
      </c>
      <c r="AD137" s="3" t="s">
        <v>640</v>
      </c>
    </row>
    <row r="138" spans="1:30" x14ac:dyDescent="0.35">
      <c r="A138" s="3" t="s">
        <v>608</v>
      </c>
      <c r="B138" s="3" t="s">
        <v>608</v>
      </c>
      <c r="C138" s="3" t="s">
        <v>608</v>
      </c>
      <c r="D138" s="3" t="s">
        <v>608</v>
      </c>
      <c r="E138" s="3" t="s">
        <v>608</v>
      </c>
      <c r="F138" s="3" t="s">
        <v>640</v>
      </c>
      <c r="G138" s="3" t="s">
        <v>1022</v>
      </c>
      <c r="H138">
        <v>-2850000</v>
      </c>
      <c r="I138" s="3" t="s">
        <v>523</v>
      </c>
      <c r="J138" s="3" t="s">
        <v>640</v>
      </c>
      <c r="L138" s="3" t="s">
        <v>640</v>
      </c>
      <c r="M138" s="3" t="s">
        <v>640</v>
      </c>
      <c r="N138" s="3" t="s">
        <v>40</v>
      </c>
      <c r="O138">
        <v>105.79</v>
      </c>
      <c r="P138">
        <v>105.79</v>
      </c>
      <c r="Q138">
        <v>-79.61</v>
      </c>
      <c r="R138">
        <v>0</v>
      </c>
      <c r="S138">
        <v>0</v>
      </c>
      <c r="T138" s="3" t="s">
        <v>448</v>
      </c>
      <c r="U138">
        <v>105.85</v>
      </c>
      <c r="V138" s="3" t="s">
        <v>449</v>
      </c>
      <c r="W138" s="3" t="s">
        <v>640</v>
      </c>
      <c r="X138" s="3" t="s">
        <v>1328</v>
      </c>
      <c r="Y138" s="3" t="s">
        <v>1328</v>
      </c>
      <c r="Z138" s="3" t="s">
        <v>1328</v>
      </c>
      <c r="AA138" t="s">
        <v>1523</v>
      </c>
      <c r="AB138" s="3" t="s">
        <v>1765</v>
      </c>
      <c r="AC138" s="3" t="s">
        <v>640</v>
      </c>
      <c r="AD138" s="3" t="s">
        <v>640</v>
      </c>
    </row>
    <row r="139" spans="1:30" x14ac:dyDescent="0.35">
      <c r="A139" s="3" t="s">
        <v>608</v>
      </c>
      <c r="B139" s="3" t="s">
        <v>608</v>
      </c>
      <c r="C139" s="3" t="s">
        <v>608</v>
      </c>
      <c r="D139" s="3" t="s">
        <v>608</v>
      </c>
      <c r="E139" s="3" t="s">
        <v>608</v>
      </c>
      <c r="F139" s="3" t="s">
        <v>640</v>
      </c>
      <c r="G139" s="3" t="s">
        <v>1112</v>
      </c>
      <c r="H139">
        <v>3398000</v>
      </c>
      <c r="I139" s="3" t="s">
        <v>527</v>
      </c>
      <c r="J139" s="3" t="s">
        <v>640</v>
      </c>
      <c r="L139" s="3" t="s">
        <v>640</v>
      </c>
      <c r="M139" s="3" t="s">
        <v>640</v>
      </c>
      <c r="N139" s="3" t="s">
        <v>376</v>
      </c>
      <c r="O139">
        <v>82.2</v>
      </c>
      <c r="P139">
        <v>82.2</v>
      </c>
      <c r="Q139">
        <v>19.399999999999999</v>
      </c>
      <c r="R139">
        <v>0</v>
      </c>
      <c r="S139">
        <v>0</v>
      </c>
      <c r="T139" s="3" t="s">
        <v>448</v>
      </c>
      <c r="U139">
        <v>82.2</v>
      </c>
      <c r="V139" s="3" t="s">
        <v>449</v>
      </c>
      <c r="W139" s="3" t="s">
        <v>640</v>
      </c>
      <c r="X139" s="3" t="s">
        <v>1328</v>
      </c>
      <c r="Y139" s="3" t="s">
        <v>1328</v>
      </c>
      <c r="Z139" s="3" t="s">
        <v>1328</v>
      </c>
      <c r="AA139" t="s">
        <v>1596</v>
      </c>
      <c r="AB139" s="3" t="s">
        <v>1765</v>
      </c>
      <c r="AC139" s="3" t="s">
        <v>640</v>
      </c>
      <c r="AD139" s="3" t="s">
        <v>640</v>
      </c>
    </row>
    <row r="140" spans="1:30" x14ac:dyDescent="0.35">
      <c r="A140" s="3" t="s">
        <v>608</v>
      </c>
      <c r="B140" s="3" t="s">
        <v>608</v>
      </c>
      <c r="C140" s="3" t="s">
        <v>608</v>
      </c>
      <c r="D140" s="3" t="s">
        <v>608</v>
      </c>
      <c r="E140" s="3" t="s">
        <v>608</v>
      </c>
      <c r="F140" s="3" t="s">
        <v>640</v>
      </c>
      <c r="G140" s="3" t="s">
        <v>1144</v>
      </c>
      <c r="H140">
        <v>7400000</v>
      </c>
      <c r="I140" s="3" t="s">
        <v>529</v>
      </c>
      <c r="J140" s="3" t="s">
        <v>640</v>
      </c>
      <c r="L140" s="3" t="s">
        <v>640</v>
      </c>
      <c r="M140" s="3" t="s">
        <v>640</v>
      </c>
      <c r="N140" s="3" t="s">
        <v>422</v>
      </c>
      <c r="O140">
        <v>74.680000000000007</v>
      </c>
      <c r="P140">
        <v>74.680000000000007</v>
      </c>
      <c r="Q140">
        <v>38.380000000000003</v>
      </c>
      <c r="R140">
        <v>0</v>
      </c>
      <c r="S140">
        <v>0</v>
      </c>
      <c r="T140" s="3" t="s">
        <v>448</v>
      </c>
      <c r="U140">
        <v>74.680000000000007</v>
      </c>
      <c r="V140" s="3" t="s">
        <v>449</v>
      </c>
      <c r="W140" s="3" t="s">
        <v>640</v>
      </c>
      <c r="X140" s="3" t="s">
        <v>1328</v>
      </c>
      <c r="Y140" s="3" t="s">
        <v>1328</v>
      </c>
      <c r="Z140" s="3" t="s">
        <v>1328</v>
      </c>
      <c r="AA140" t="s">
        <v>1630</v>
      </c>
      <c r="AB140" s="3" t="s">
        <v>1765</v>
      </c>
      <c r="AC140" s="3" t="s">
        <v>640</v>
      </c>
      <c r="AD140" s="3" t="s">
        <v>640</v>
      </c>
    </row>
    <row r="141" spans="1:30" x14ac:dyDescent="0.35">
      <c r="A141" s="3" t="s">
        <v>608</v>
      </c>
      <c r="B141" s="3" t="s">
        <v>608</v>
      </c>
      <c r="C141" s="3" t="s">
        <v>608</v>
      </c>
      <c r="D141" s="3" t="s">
        <v>608</v>
      </c>
      <c r="E141" s="3" t="s">
        <v>608</v>
      </c>
      <c r="F141" s="3" t="s">
        <v>640</v>
      </c>
      <c r="G141" s="3" t="s">
        <v>1063</v>
      </c>
      <c r="H141">
        <v>-200000</v>
      </c>
      <c r="I141" s="3" t="s">
        <v>530</v>
      </c>
      <c r="J141" s="3" t="s">
        <v>640</v>
      </c>
      <c r="L141" s="3" t="s">
        <v>640</v>
      </c>
      <c r="M141" s="3" t="s">
        <v>640</v>
      </c>
      <c r="N141" s="3" t="s">
        <v>75</v>
      </c>
      <c r="O141">
        <v>115.47</v>
      </c>
      <c r="P141">
        <v>115.47</v>
      </c>
      <c r="Q141">
        <v>-6.09</v>
      </c>
      <c r="R141">
        <v>0</v>
      </c>
      <c r="S141">
        <v>0</v>
      </c>
      <c r="T141" s="3" t="s">
        <v>448</v>
      </c>
      <c r="U141">
        <v>115.47</v>
      </c>
      <c r="V141" s="3" t="s">
        <v>449</v>
      </c>
      <c r="W141" s="3" t="s">
        <v>640</v>
      </c>
      <c r="X141" s="3" t="s">
        <v>1328</v>
      </c>
      <c r="Y141" s="3" t="s">
        <v>1328</v>
      </c>
      <c r="Z141" s="3" t="s">
        <v>1328</v>
      </c>
      <c r="AA141" t="s">
        <v>1520</v>
      </c>
      <c r="AB141" s="3" t="s">
        <v>1765</v>
      </c>
      <c r="AC141" s="3" t="s">
        <v>640</v>
      </c>
      <c r="AD141" s="3" t="s">
        <v>640</v>
      </c>
    </row>
    <row r="142" spans="1:30" x14ac:dyDescent="0.35">
      <c r="A142" s="3" t="s">
        <v>608</v>
      </c>
      <c r="B142" s="3" t="s">
        <v>608</v>
      </c>
      <c r="C142" s="3" t="s">
        <v>608</v>
      </c>
      <c r="D142" s="3" t="s">
        <v>608</v>
      </c>
      <c r="E142" s="3" t="s">
        <v>608</v>
      </c>
      <c r="F142" s="3" t="s">
        <v>640</v>
      </c>
      <c r="G142" s="3" t="s">
        <v>1080</v>
      </c>
      <c r="H142">
        <v>500000</v>
      </c>
      <c r="I142" s="3" t="s">
        <v>534</v>
      </c>
      <c r="J142" s="3" t="s">
        <v>640</v>
      </c>
      <c r="L142" s="3" t="s">
        <v>640</v>
      </c>
      <c r="M142" s="3" t="s">
        <v>640</v>
      </c>
      <c r="N142" s="3" t="s">
        <v>581</v>
      </c>
      <c r="O142">
        <v>81.739999999999995</v>
      </c>
      <c r="P142">
        <v>81.739999999999995</v>
      </c>
      <c r="Q142">
        <v>578.78</v>
      </c>
      <c r="R142">
        <v>0</v>
      </c>
      <c r="S142">
        <v>0</v>
      </c>
      <c r="T142" s="3" t="s">
        <v>448</v>
      </c>
      <c r="U142">
        <v>81.739999999999995</v>
      </c>
      <c r="V142" s="3" t="s">
        <v>449</v>
      </c>
      <c r="W142" s="3" t="s">
        <v>640</v>
      </c>
      <c r="X142" s="3" t="s">
        <v>1328</v>
      </c>
      <c r="Y142" s="3" t="s">
        <v>1328</v>
      </c>
      <c r="Z142" s="3" t="s">
        <v>1836</v>
      </c>
      <c r="AA142" t="s">
        <v>1556</v>
      </c>
      <c r="AB142" s="3" t="s">
        <v>1768</v>
      </c>
      <c r="AC142" s="3" t="s">
        <v>640</v>
      </c>
      <c r="AD142" s="3" t="s">
        <v>640</v>
      </c>
    </row>
    <row r="143" spans="1:30" x14ac:dyDescent="0.35">
      <c r="A143" s="3" t="s">
        <v>608</v>
      </c>
      <c r="B143" s="3" t="s">
        <v>608</v>
      </c>
      <c r="C143" s="3" t="s">
        <v>608</v>
      </c>
      <c r="D143" s="3" t="s">
        <v>608</v>
      </c>
      <c r="E143" s="3" t="s">
        <v>608</v>
      </c>
      <c r="F143" s="3" t="s">
        <v>640</v>
      </c>
      <c r="G143" s="3" t="s">
        <v>1130</v>
      </c>
      <c r="H143">
        <v>4000000</v>
      </c>
      <c r="I143" s="3" t="s">
        <v>542</v>
      </c>
      <c r="J143" s="3" t="s">
        <v>640</v>
      </c>
      <c r="L143" s="3" t="s">
        <v>640</v>
      </c>
      <c r="M143" s="3" t="s">
        <v>640</v>
      </c>
      <c r="N143" s="3" t="s">
        <v>406</v>
      </c>
      <c r="O143">
        <v>78.34</v>
      </c>
      <c r="P143">
        <v>78.34</v>
      </c>
      <c r="Q143">
        <v>21.76</v>
      </c>
      <c r="R143">
        <v>0</v>
      </c>
      <c r="S143">
        <v>0</v>
      </c>
      <c r="T143" s="3" t="s">
        <v>448</v>
      </c>
      <c r="U143">
        <v>78.34</v>
      </c>
      <c r="V143" s="3" t="s">
        <v>449</v>
      </c>
      <c r="W143" s="3" t="s">
        <v>640</v>
      </c>
      <c r="X143" s="3" t="s">
        <v>1328</v>
      </c>
      <c r="Y143" s="3" t="s">
        <v>1328</v>
      </c>
      <c r="Z143" s="3" t="s">
        <v>1328</v>
      </c>
      <c r="AA143" t="s">
        <v>1611</v>
      </c>
      <c r="AB143" s="3" t="s">
        <v>1765</v>
      </c>
      <c r="AC143" s="3" t="s">
        <v>640</v>
      </c>
      <c r="AD143" s="3" t="s">
        <v>640</v>
      </c>
    </row>
    <row r="144" spans="1:30" x14ac:dyDescent="0.35">
      <c r="A144" s="3" t="s">
        <v>608</v>
      </c>
      <c r="B144" s="3" t="s">
        <v>608</v>
      </c>
      <c r="C144" s="3" t="s">
        <v>608</v>
      </c>
      <c r="D144" s="3" t="s">
        <v>608</v>
      </c>
      <c r="E144" s="3" t="s">
        <v>608</v>
      </c>
      <c r="F144" s="3" t="s">
        <v>640</v>
      </c>
      <c r="G144" s="3" t="s">
        <v>1147</v>
      </c>
      <c r="H144">
        <v>-4000000</v>
      </c>
      <c r="I144" s="3" t="s">
        <v>851</v>
      </c>
      <c r="J144" s="3" t="s">
        <v>640</v>
      </c>
      <c r="L144" s="3" t="s">
        <v>640</v>
      </c>
      <c r="M144" s="3" t="s">
        <v>640</v>
      </c>
      <c r="N144" s="3" t="s">
        <v>205</v>
      </c>
      <c r="O144">
        <v>114.5</v>
      </c>
      <c r="P144">
        <v>114.5</v>
      </c>
      <c r="Q144">
        <v>-120.86</v>
      </c>
      <c r="R144">
        <v>0</v>
      </c>
      <c r="S144">
        <v>0</v>
      </c>
      <c r="T144" s="3" t="s">
        <v>448</v>
      </c>
      <c r="U144">
        <v>114.5</v>
      </c>
      <c r="V144" s="3" t="s">
        <v>449</v>
      </c>
      <c r="W144" s="3" t="s">
        <v>640</v>
      </c>
      <c r="X144" s="3" t="s">
        <v>1328</v>
      </c>
      <c r="Y144" s="3" t="s">
        <v>1328</v>
      </c>
      <c r="Z144" s="3" t="s">
        <v>1328</v>
      </c>
      <c r="AA144" t="s">
        <v>1627</v>
      </c>
      <c r="AB144" s="3" t="s">
        <v>1765</v>
      </c>
      <c r="AC144" s="3" t="s">
        <v>640</v>
      </c>
      <c r="AD144" s="3" t="s">
        <v>640</v>
      </c>
    </row>
    <row r="145" spans="1:30" x14ac:dyDescent="0.35">
      <c r="A145" s="3" t="s">
        <v>608</v>
      </c>
      <c r="B145" s="3" t="s">
        <v>608</v>
      </c>
      <c r="C145" s="3" t="s">
        <v>608</v>
      </c>
      <c r="D145" s="3" t="s">
        <v>608</v>
      </c>
      <c r="E145" s="3" t="s">
        <v>608</v>
      </c>
      <c r="F145" s="3" t="s">
        <v>640</v>
      </c>
      <c r="G145" s="3" t="s">
        <v>1118</v>
      </c>
      <c r="H145">
        <v>-5651000</v>
      </c>
      <c r="I145" s="3" t="s">
        <v>852</v>
      </c>
      <c r="J145" s="3" t="s">
        <v>640</v>
      </c>
      <c r="L145" s="3" t="s">
        <v>640</v>
      </c>
      <c r="M145" s="3" t="s">
        <v>640</v>
      </c>
      <c r="N145" s="3" t="s">
        <v>173</v>
      </c>
      <c r="O145">
        <v>108.81</v>
      </c>
      <c r="P145">
        <v>108.81</v>
      </c>
      <c r="Q145">
        <v>-162.11000000000001</v>
      </c>
      <c r="R145">
        <v>0</v>
      </c>
      <c r="S145">
        <v>0</v>
      </c>
      <c r="T145" s="3" t="s">
        <v>448</v>
      </c>
      <c r="U145">
        <v>108.71</v>
      </c>
      <c r="V145" s="3" t="s">
        <v>449</v>
      </c>
      <c r="W145" s="3" t="s">
        <v>640</v>
      </c>
      <c r="X145" s="3" t="s">
        <v>1328</v>
      </c>
      <c r="Y145" s="3" t="s">
        <v>1328</v>
      </c>
      <c r="Z145" s="3" t="s">
        <v>1328</v>
      </c>
      <c r="AA145" t="s">
        <v>1600</v>
      </c>
      <c r="AB145" s="3" t="s">
        <v>1765</v>
      </c>
      <c r="AC145" s="3" t="s">
        <v>640</v>
      </c>
      <c r="AD145" s="3" t="s">
        <v>640</v>
      </c>
    </row>
    <row r="146" spans="1:30" x14ac:dyDescent="0.35">
      <c r="A146" s="3" t="s">
        <v>608</v>
      </c>
      <c r="B146" s="3" t="s">
        <v>608</v>
      </c>
      <c r="C146" s="3" t="s">
        <v>608</v>
      </c>
      <c r="D146" s="3" t="s">
        <v>608</v>
      </c>
      <c r="E146" s="3" t="s">
        <v>608</v>
      </c>
      <c r="F146" s="3" t="s">
        <v>640</v>
      </c>
      <c r="G146" s="3" t="s">
        <v>1054</v>
      </c>
      <c r="H146">
        <v>7000000</v>
      </c>
      <c r="I146" s="3" t="s">
        <v>876</v>
      </c>
      <c r="J146" s="3" t="s">
        <v>640</v>
      </c>
      <c r="L146" s="3" t="s">
        <v>640</v>
      </c>
      <c r="M146" s="3" t="s">
        <v>640</v>
      </c>
      <c r="N146" s="3" t="s">
        <v>64</v>
      </c>
      <c r="O146">
        <v>86.1</v>
      </c>
      <c r="P146">
        <v>86.1</v>
      </c>
      <c r="Q146">
        <v>41.94</v>
      </c>
      <c r="R146">
        <v>0</v>
      </c>
      <c r="S146">
        <v>0</v>
      </c>
      <c r="T146" s="3" t="s">
        <v>448</v>
      </c>
      <c r="U146">
        <v>86.27</v>
      </c>
      <c r="V146" s="3" t="s">
        <v>449</v>
      </c>
      <c r="W146" s="3" t="s">
        <v>640</v>
      </c>
      <c r="X146" s="3" t="s">
        <v>1328</v>
      </c>
      <c r="Y146" s="3" t="s">
        <v>1328</v>
      </c>
      <c r="Z146" s="3" t="s">
        <v>1328</v>
      </c>
      <c r="AA146" t="s">
        <v>1687</v>
      </c>
      <c r="AB146" s="3" t="s">
        <v>1765</v>
      </c>
      <c r="AC146" s="3" t="s">
        <v>640</v>
      </c>
      <c r="AD146" s="3" t="s">
        <v>640</v>
      </c>
    </row>
    <row r="147" spans="1:30" x14ac:dyDescent="0.35">
      <c r="A147" s="3" t="s">
        <v>608</v>
      </c>
      <c r="B147" s="3" t="s">
        <v>608</v>
      </c>
      <c r="C147" s="3" t="s">
        <v>608</v>
      </c>
      <c r="D147" s="3" t="s">
        <v>608</v>
      </c>
      <c r="E147" s="3" t="s">
        <v>608</v>
      </c>
      <c r="F147" s="3" t="s">
        <v>640</v>
      </c>
      <c r="G147" s="3" t="s">
        <v>1067</v>
      </c>
      <c r="H147">
        <v>5426000</v>
      </c>
      <c r="I147" s="3" t="s">
        <v>877</v>
      </c>
      <c r="J147" s="3" t="s">
        <v>640</v>
      </c>
      <c r="L147" s="3" t="s">
        <v>640</v>
      </c>
      <c r="M147" s="3" t="s">
        <v>640</v>
      </c>
      <c r="N147" s="3" t="s">
        <v>327</v>
      </c>
      <c r="O147">
        <v>76.89</v>
      </c>
      <c r="P147">
        <v>75.3</v>
      </c>
      <c r="Q147">
        <v>59.84</v>
      </c>
      <c r="R147">
        <v>0</v>
      </c>
      <c r="S147">
        <v>0</v>
      </c>
      <c r="T147" s="3" t="s">
        <v>448</v>
      </c>
      <c r="U147">
        <v>75.55</v>
      </c>
      <c r="V147" s="3" t="s">
        <v>449</v>
      </c>
      <c r="W147" s="3" t="s">
        <v>640</v>
      </c>
      <c r="X147" s="3" t="s">
        <v>1328</v>
      </c>
      <c r="Y147" s="3" t="s">
        <v>1328</v>
      </c>
      <c r="Z147" s="3" t="s">
        <v>1328</v>
      </c>
      <c r="AA147" t="s">
        <v>1564</v>
      </c>
      <c r="AB147" s="3" t="s">
        <v>1765</v>
      </c>
      <c r="AC147" s="3" t="s">
        <v>640</v>
      </c>
      <c r="AD147" s="3" t="s">
        <v>640</v>
      </c>
    </row>
    <row r="148" spans="1:30" x14ac:dyDescent="0.35">
      <c r="A148" s="3" t="s">
        <v>608</v>
      </c>
      <c r="B148" s="3" t="s">
        <v>608</v>
      </c>
      <c r="C148" s="3" t="s">
        <v>608</v>
      </c>
      <c r="D148" s="3" t="s">
        <v>608</v>
      </c>
      <c r="E148" s="3" t="s">
        <v>608</v>
      </c>
      <c r="F148" s="3" t="s">
        <v>640</v>
      </c>
      <c r="G148" s="3" t="s">
        <v>1138</v>
      </c>
      <c r="H148">
        <v>-200000</v>
      </c>
      <c r="I148" s="3" t="s">
        <v>922</v>
      </c>
      <c r="J148" s="3" t="s">
        <v>640</v>
      </c>
      <c r="L148" s="3" t="s">
        <v>640</v>
      </c>
      <c r="M148" s="3" t="s">
        <v>640</v>
      </c>
      <c r="N148" s="3" t="s">
        <v>885</v>
      </c>
      <c r="O148">
        <v>101.17</v>
      </c>
      <c r="P148">
        <v>101.17</v>
      </c>
      <c r="Q148">
        <v>-5.62</v>
      </c>
      <c r="R148">
        <v>0</v>
      </c>
      <c r="S148">
        <v>0</v>
      </c>
      <c r="T148" s="3" t="s">
        <v>448</v>
      </c>
      <c r="U148">
        <v>101.17</v>
      </c>
      <c r="V148" s="3" t="s">
        <v>449</v>
      </c>
      <c r="W148" s="3" t="s">
        <v>640</v>
      </c>
      <c r="X148" s="3" t="s">
        <v>1328</v>
      </c>
      <c r="Y148" s="3" t="s">
        <v>1328</v>
      </c>
      <c r="Z148" s="3" t="s">
        <v>1328</v>
      </c>
      <c r="AA148" t="s">
        <v>1520</v>
      </c>
      <c r="AB148" s="3" t="s">
        <v>1765</v>
      </c>
      <c r="AC148" s="3" t="s">
        <v>640</v>
      </c>
      <c r="AD148" s="3" t="s">
        <v>640</v>
      </c>
    </row>
    <row r="149" spans="1:30" x14ac:dyDescent="0.35">
      <c r="A149" s="3" t="s">
        <v>608</v>
      </c>
      <c r="B149" s="3" t="s">
        <v>608</v>
      </c>
      <c r="C149" s="3" t="s">
        <v>608</v>
      </c>
      <c r="D149" s="3" t="s">
        <v>608</v>
      </c>
      <c r="E149" s="3" t="s">
        <v>608</v>
      </c>
      <c r="F149" s="3" t="s">
        <v>640</v>
      </c>
      <c r="G149" s="3" t="s">
        <v>1104</v>
      </c>
      <c r="H149">
        <v>-1000000</v>
      </c>
      <c r="I149" s="3" t="s">
        <v>923</v>
      </c>
      <c r="J149" s="3" t="s">
        <v>640</v>
      </c>
      <c r="L149" s="3" t="s">
        <v>640</v>
      </c>
      <c r="M149" s="3" t="s">
        <v>640</v>
      </c>
      <c r="N149" s="3" t="s">
        <v>888</v>
      </c>
      <c r="O149">
        <v>108.58</v>
      </c>
      <c r="P149">
        <v>108.58</v>
      </c>
      <c r="Q149">
        <v>-28.65</v>
      </c>
      <c r="R149">
        <v>0</v>
      </c>
      <c r="S149">
        <v>0</v>
      </c>
      <c r="T149" s="3" t="s">
        <v>448</v>
      </c>
      <c r="U149">
        <v>108.58</v>
      </c>
      <c r="V149" s="3" t="s">
        <v>449</v>
      </c>
      <c r="W149" s="3" t="s">
        <v>640</v>
      </c>
      <c r="X149" s="3" t="s">
        <v>1328</v>
      </c>
      <c r="Y149" s="3" t="s">
        <v>1328</v>
      </c>
      <c r="Z149" s="3" t="s">
        <v>1328</v>
      </c>
      <c r="AA149" t="s">
        <v>1519</v>
      </c>
      <c r="AB149" s="3" t="s">
        <v>1765</v>
      </c>
      <c r="AC149" s="3" t="s">
        <v>640</v>
      </c>
      <c r="AD149" s="3" t="s">
        <v>640</v>
      </c>
    </row>
    <row r="150" spans="1:30" x14ac:dyDescent="0.35">
      <c r="A150" s="3" t="s">
        <v>608</v>
      </c>
      <c r="B150" s="3" t="s">
        <v>608</v>
      </c>
      <c r="C150" s="3" t="s">
        <v>608</v>
      </c>
      <c r="D150" s="3" t="s">
        <v>608</v>
      </c>
      <c r="E150" s="3" t="s">
        <v>608</v>
      </c>
      <c r="F150" s="3" t="s">
        <v>640</v>
      </c>
      <c r="G150" s="3" t="s">
        <v>1039</v>
      </c>
      <c r="H150">
        <v>2194000</v>
      </c>
      <c r="I150" s="3" t="s">
        <v>1198</v>
      </c>
      <c r="J150" s="3" t="s">
        <v>640</v>
      </c>
      <c r="L150" s="3" t="s">
        <v>640</v>
      </c>
      <c r="M150" s="3" t="s">
        <v>640</v>
      </c>
      <c r="N150" s="3" t="s">
        <v>598</v>
      </c>
      <c r="O150">
        <v>75.06</v>
      </c>
      <c r="P150">
        <v>75.06</v>
      </c>
      <c r="Q150">
        <v>11.44</v>
      </c>
      <c r="R150">
        <v>0</v>
      </c>
      <c r="S150">
        <v>0</v>
      </c>
      <c r="T150" s="3" t="s">
        <v>448</v>
      </c>
      <c r="U150">
        <v>75.06</v>
      </c>
      <c r="V150" s="3" t="s">
        <v>449</v>
      </c>
      <c r="W150" s="3" t="s">
        <v>640</v>
      </c>
      <c r="X150" s="3" t="s">
        <v>1328</v>
      </c>
      <c r="Y150" s="3" t="s">
        <v>1328</v>
      </c>
      <c r="Z150" s="3" t="s">
        <v>1328</v>
      </c>
      <c r="AA150" t="s">
        <v>1537</v>
      </c>
      <c r="AB150" s="3" t="s">
        <v>1765</v>
      </c>
      <c r="AC150" s="3" t="s">
        <v>640</v>
      </c>
      <c r="AD150" s="3" t="s">
        <v>640</v>
      </c>
    </row>
    <row r="151" spans="1:30" x14ac:dyDescent="0.35">
      <c r="A151" s="3" t="s">
        <v>608</v>
      </c>
      <c r="B151" s="3" t="s">
        <v>608</v>
      </c>
      <c r="C151" s="3" t="s">
        <v>608</v>
      </c>
      <c r="D151" s="3" t="s">
        <v>608</v>
      </c>
      <c r="E151" s="3" t="s">
        <v>608</v>
      </c>
      <c r="F151" s="3" t="s">
        <v>640</v>
      </c>
      <c r="G151" s="3" t="s">
        <v>1124</v>
      </c>
      <c r="H151">
        <v>2200000</v>
      </c>
      <c r="I151" s="3" t="s">
        <v>1199</v>
      </c>
      <c r="J151" s="3" t="s">
        <v>640</v>
      </c>
      <c r="L151" s="3" t="s">
        <v>640</v>
      </c>
      <c r="M151" s="3" t="s">
        <v>640</v>
      </c>
      <c r="N151" s="3" t="s">
        <v>604</v>
      </c>
      <c r="O151">
        <v>82.52</v>
      </c>
      <c r="P151">
        <v>82.52</v>
      </c>
      <c r="Q151">
        <v>12.61</v>
      </c>
      <c r="R151">
        <v>0</v>
      </c>
      <c r="S151">
        <v>0</v>
      </c>
      <c r="T151" s="3" t="s">
        <v>448</v>
      </c>
      <c r="U151">
        <v>82.52</v>
      </c>
      <c r="V151" s="3" t="s">
        <v>449</v>
      </c>
      <c r="W151" s="3" t="s">
        <v>640</v>
      </c>
      <c r="X151" s="3" t="s">
        <v>1328</v>
      </c>
      <c r="Y151" s="3" t="s">
        <v>1328</v>
      </c>
      <c r="Z151" s="3" t="s">
        <v>1328</v>
      </c>
      <c r="AA151" t="s">
        <v>1586</v>
      </c>
      <c r="AB151" s="3" t="s">
        <v>1765</v>
      </c>
      <c r="AC151" s="3" t="s">
        <v>640</v>
      </c>
      <c r="AD151" s="3" t="s">
        <v>640</v>
      </c>
    </row>
    <row r="152" spans="1:30" x14ac:dyDescent="0.35">
      <c r="A152" s="3" t="s">
        <v>608</v>
      </c>
      <c r="B152" s="3" t="s">
        <v>608</v>
      </c>
      <c r="C152" s="3" t="s">
        <v>608</v>
      </c>
      <c r="D152" s="3" t="s">
        <v>608</v>
      </c>
      <c r="E152" s="3" t="s">
        <v>608</v>
      </c>
      <c r="F152" s="3" t="s">
        <v>640</v>
      </c>
      <c r="G152" s="3" t="s">
        <v>1148</v>
      </c>
      <c r="H152">
        <v>-300000</v>
      </c>
      <c r="I152" s="3" t="s">
        <v>1249</v>
      </c>
      <c r="J152" s="3" t="s">
        <v>640</v>
      </c>
      <c r="L152" s="3" t="s">
        <v>640</v>
      </c>
      <c r="M152" s="3" t="s">
        <v>640</v>
      </c>
      <c r="N152" s="3" t="s">
        <v>970</v>
      </c>
      <c r="O152">
        <v>130.66</v>
      </c>
      <c r="P152">
        <v>130.66</v>
      </c>
      <c r="Q152">
        <v>-11.98</v>
      </c>
      <c r="R152">
        <v>0</v>
      </c>
      <c r="S152">
        <v>0</v>
      </c>
      <c r="T152" s="3" t="s">
        <v>448</v>
      </c>
      <c r="U152">
        <v>130.66</v>
      </c>
      <c r="V152" s="3" t="s">
        <v>449</v>
      </c>
      <c r="W152" s="3" t="s">
        <v>640</v>
      </c>
      <c r="X152" s="3" t="s">
        <v>1328</v>
      </c>
      <c r="Y152" s="3" t="s">
        <v>1328</v>
      </c>
      <c r="Z152" s="3" t="s">
        <v>1328</v>
      </c>
      <c r="AA152" t="s">
        <v>1631</v>
      </c>
      <c r="AB152" s="3" t="s">
        <v>1765</v>
      </c>
      <c r="AC152" s="3" t="s">
        <v>640</v>
      </c>
      <c r="AD152" s="3" t="s">
        <v>640</v>
      </c>
    </row>
    <row r="153" spans="1:30" x14ac:dyDescent="0.35">
      <c r="A153" s="3" t="s">
        <v>608</v>
      </c>
      <c r="B153" s="3" t="s">
        <v>608</v>
      </c>
      <c r="C153" s="3" t="s">
        <v>608</v>
      </c>
      <c r="D153" s="3" t="s">
        <v>608</v>
      </c>
      <c r="E153" s="3" t="s">
        <v>608</v>
      </c>
      <c r="F153" s="3" t="s">
        <v>640</v>
      </c>
      <c r="G153" s="3" t="s">
        <v>1023</v>
      </c>
      <c r="H153">
        <v>-4560000</v>
      </c>
      <c r="I153" s="3" t="s">
        <v>1250</v>
      </c>
      <c r="J153" s="3" t="s">
        <v>640</v>
      </c>
      <c r="L153" s="3" t="s">
        <v>640</v>
      </c>
      <c r="M153" s="3" t="s">
        <v>640</v>
      </c>
      <c r="N153" s="3" t="s">
        <v>956</v>
      </c>
      <c r="O153">
        <v>102.42</v>
      </c>
      <c r="P153">
        <v>102.42</v>
      </c>
      <c r="Q153">
        <v>-123.25</v>
      </c>
      <c r="R153">
        <v>0</v>
      </c>
      <c r="S153">
        <v>0</v>
      </c>
      <c r="T153" s="3" t="s">
        <v>448</v>
      </c>
      <c r="U153">
        <v>102.42</v>
      </c>
      <c r="V153" s="3" t="s">
        <v>449</v>
      </c>
      <c r="W153" s="3" t="s">
        <v>640</v>
      </c>
      <c r="X153" s="3" t="s">
        <v>1328</v>
      </c>
      <c r="Y153" s="3" t="s">
        <v>1328</v>
      </c>
      <c r="Z153" s="3" t="s">
        <v>1328</v>
      </c>
      <c r="AA153" t="s">
        <v>1524</v>
      </c>
      <c r="AB153" s="3" t="s">
        <v>1765</v>
      </c>
      <c r="AC153" s="3" t="s">
        <v>640</v>
      </c>
      <c r="AD153" s="3" t="s">
        <v>640</v>
      </c>
    </row>
    <row r="154" spans="1:30" x14ac:dyDescent="0.35">
      <c r="A154" s="3" t="s">
        <v>608</v>
      </c>
      <c r="B154" s="3" t="s">
        <v>608</v>
      </c>
      <c r="C154" s="3" t="s">
        <v>608</v>
      </c>
      <c r="D154" s="3" t="s">
        <v>608</v>
      </c>
      <c r="E154" s="3" t="s">
        <v>608</v>
      </c>
      <c r="F154" s="3" t="s">
        <v>640</v>
      </c>
      <c r="G154" s="3" t="s">
        <v>1103</v>
      </c>
      <c r="H154">
        <v>-1400000</v>
      </c>
      <c r="I154" s="3" t="s">
        <v>1252</v>
      </c>
      <c r="J154" s="3" t="s">
        <v>640</v>
      </c>
      <c r="L154" s="3" t="s">
        <v>640</v>
      </c>
      <c r="M154" s="3" t="s">
        <v>640</v>
      </c>
      <c r="N154" s="3" t="s">
        <v>968</v>
      </c>
      <c r="O154">
        <v>107.1</v>
      </c>
      <c r="P154">
        <v>107.1</v>
      </c>
      <c r="Q154">
        <v>-39.57</v>
      </c>
      <c r="R154">
        <v>0</v>
      </c>
      <c r="S154">
        <v>0</v>
      </c>
      <c r="T154" s="3" t="s">
        <v>448</v>
      </c>
      <c r="U154">
        <v>107.1</v>
      </c>
      <c r="V154" s="3" t="s">
        <v>449</v>
      </c>
      <c r="W154" s="3" t="s">
        <v>640</v>
      </c>
      <c r="X154" s="3" t="s">
        <v>1328</v>
      </c>
      <c r="Y154" s="3" t="s">
        <v>1328</v>
      </c>
      <c r="Z154" s="3" t="s">
        <v>1328</v>
      </c>
      <c r="AA154" t="s">
        <v>1565</v>
      </c>
      <c r="AB154" s="3" t="s">
        <v>1765</v>
      </c>
      <c r="AC154" s="3" t="s">
        <v>640</v>
      </c>
      <c r="AD154" s="3" t="s">
        <v>640</v>
      </c>
    </row>
    <row r="155" spans="1:30" x14ac:dyDescent="0.35">
      <c r="A155" s="3" t="s">
        <v>608</v>
      </c>
      <c r="B155" s="3" t="s">
        <v>608</v>
      </c>
      <c r="C155" s="3" t="s">
        <v>608</v>
      </c>
      <c r="D155" s="3" t="s">
        <v>608</v>
      </c>
      <c r="E155" s="3" t="s">
        <v>608</v>
      </c>
      <c r="F155" s="3" t="s">
        <v>640</v>
      </c>
      <c r="G155" s="3" t="s">
        <v>1036</v>
      </c>
      <c r="H155">
        <v>-1000000</v>
      </c>
      <c r="I155" s="3" t="s">
        <v>1253</v>
      </c>
      <c r="J155" s="3" t="s">
        <v>640</v>
      </c>
      <c r="L155" s="3" t="s">
        <v>640</v>
      </c>
      <c r="M155" s="3" t="s">
        <v>640</v>
      </c>
      <c r="N155" s="3" t="s">
        <v>959</v>
      </c>
      <c r="O155">
        <v>107.41</v>
      </c>
      <c r="P155">
        <v>107.41</v>
      </c>
      <c r="Q155">
        <v>-28.35</v>
      </c>
      <c r="R155">
        <v>0</v>
      </c>
      <c r="S155">
        <v>0</v>
      </c>
      <c r="T155" s="3" t="s">
        <v>448</v>
      </c>
      <c r="U155">
        <v>107.41</v>
      </c>
      <c r="V155" s="3" t="s">
        <v>449</v>
      </c>
      <c r="W155" s="3" t="s">
        <v>640</v>
      </c>
      <c r="X155" s="3" t="s">
        <v>1328</v>
      </c>
      <c r="Y155" s="3" t="s">
        <v>1328</v>
      </c>
      <c r="Z155" s="3" t="s">
        <v>1328</v>
      </c>
      <c r="AA155" t="s">
        <v>1519</v>
      </c>
      <c r="AB155" s="3" t="s">
        <v>1765</v>
      </c>
      <c r="AC155" s="3" t="s">
        <v>640</v>
      </c>
      <c r="AD155" s="3" t="s">
        <v>640</v>
      </c>
    </row>
    <row r="156" spans="1:30" x14ac:dyDescent="0.35">
      <c r="A156" s="3" t="s">
        <v>608</v>
      </c>
      <c r="B156" s="3" t="s">
        <v>608</v>
      </c>
      <c r="C156" s="3" t="s">
        <v>608</v>
      </c>
      <c r="D156" s="3" t="s">
        <v>608</v>
      </c>
      <c r="E156" s="3" t="s">
        <v>608</v>
      </c>
      <c r="F156" s="3" t="s">
        <v>640</v>
      </c>
      <c r="G156" s="3" t="s">
        <v>1152</v>
      </c>
      <c r="H156">
        <v>5300000</v>
      </c>
      <c r="I156" s="3" t="s">
        <v>1337</v>
      </c>
      <c r="J156" s="3" t="s">
        <v>640</v>
      </c>
      <c r="L156" s="3" t="s">
        <v>640</v>
      </c>
      <c r="M156" s="3" t="s">
        <v>640</v>
      </c>
      <c r="N156" s="3" t="s">
        <v>994</v>
      </c>
      <c r="O156">
        <v>91.41</v>
      </c>
      <c r="P156">
        <v>91.41</v>
      </c>
      <c r="Q156">
        <v>33.65</v>
      </c>
      <c r="R156">
        <v>0</v>
      </c>
      <c r="S156">
        <v>0</v>
      </c>
      <c r="T156" s="3" t="s">
        <v>448</v>
      </c>
      <c r="U156">
        <v>91.42</v>
      </c>
      <c r="V156" s="3" t="s">
        <v>449</v>
      </c>
      <c r="W156" s="3" t="s">
        <v>640</v>
      </c>
      <c r="X156" s="3" t="s">
        <v>1328</v>
      </c>
      <c r="Y156" s="3" t="s">
        <v>1328</v>
      </c>
      <c r="Z156" s="3" t="s">
        <v>1328</v>
      </c>
      <c r="AA156" t="s">
        <v>1635</v>
      </c>
      <c r="AB156" s="3" t="s">
        <v>1765</v>
      </c>
      <c r="AC156" s="3" t="s">
        <v>640</v>
      </c>
      <c r="AD156" s="3" t="s">
        <v>640</v>
      </c>
    </row>
    <row r="157" spans="1:30" x14ac:dyDescent="0.35">
      <c r="A157" s="3" t="s">
        <v>608</v>
      </c>
      <c r="B157" s="3" t="s">
        <v>608</v>
      </c>
      <c r="C157" s="3" t="s">
        <v>608</v>
      </c>
      <c r="D157" s="3" t="s">
        <v>608</v>
      </c>
      <c r="E157" s="3" t="s">
        <v>608</v>
      </c>
      <c r="F157" s="3" t="s">
        <v>640</v>
      </c>
      <c r="G157" s="3" t="s">
        <v>1361</v>
      </c>
      <c r="H157">
        <v>-700000</v>
      </c>
      <c r="I157" s="3" t="s">
        <v>1393</v>
      </c>
      <c r="J157" s="3" t="s">
        <v>640</v>
      </c>
      <c r="L157" s="3" t="s">
        <v>640</v>
      </c>
      <c r="M157" s="3" t="s">
        <v>640</v>
      </c>
      <c r="N157" s="3" t="s">
        <v>1350</v>
      </c>
      <c r="O157">
        <v>115.05</v>
      </c>
      <c r="P157">
        <v>115.05</v>
      </c>
      <c r="Q157">
        <v>-21.34</v>
      </c>
      <c r="R157">
        <v>0</v>
      </c>
      <c r="S157">
        <v>0</v>
      </c>
      <c r="T157" s="3" t="s">
        <v>448</v>
      </c>
      <c r="U157">
        <v>115.54</v>
      </c>
      <c r="V157" s="3" t="s">
        <v>449</v>
      </c>
      <c r="W157" s="3" t="s">
        <v>640</v>
      </c>
      <c r="X157" s="3" t="s">
        <v>1328</v>
      </c>
      <c r="Y157" s="3" t="s">
        <v>1328</v>
      </c>
      <c r="Z157" s="3" t="s">
        <v>1328</v>
      </c>
      <c r="AA157" t="s">
        <v>1513</v>
      </c>
      <c r="AB157" s="3" t="s">
        <v>1765</v>
      </c>
      <c r="AC157" s="3" t="s">
        <v>640</v>
      </c>
      <c r="AD157" s="3" t="s">
        <v>640</v>
      </c>
    </row>
    <row r="158" spans="1:30" x14ac:dyDescent="0.35">
      <c r="A158" s="3" t="s">
        <v>608</v>
      </c>
      <c r="B158" s="3" t="s">
        <v>608</v>
      </c>
      <c r="C158" s="3" t="s">
        <v>608</v>
      </c>
      <c r="D158" s="3" t="s">
        <v>608</v>
      </c>
      <c r="E158" s="3" t="s">
        <v>608</v>
      </c>
      <c r="F158" s="3" t="s">
        <v>640</v>
      </c>
      <c r="G158" s="3" t="s">
        <v>1308</v>
      </c>
      <c r="H158">
        <v>1000000</v>
      </c>
      <c r="I158" s="3" t="s">
        <v>1425</v>
      </c>
      <c r="J158" s="3" t="s">
        <v>640</v>
      </c>
      <c r="L158" s="3" t="s">
        <v>640</v>
      </c>
      <c r="M158" s="3" t="s">
        <v>640</v>
      </c>
      <c r="N158" s="3" t="s">
        <v>1303</v>
      </c>
      <c r="O158">
        <v>99.96</v>
      </c>
      <c r="P158">
        <v>99.96</v>
      </c>
      <c r="Q158">
        <v>8.33</v>
      </c>
      <c r="R158">
        <v>0</v>
      </c>
      <c r="S158">
        <v>0</v>
      </c>
      <c r="T158" s="3" t="s">
        <v>448</v>
      </c>
      <c r="U158">
        <v>99.96</v>
      </c>
      <c r="V158" s="3" t="s">
        <v>449</v>
      </c>
      <c r="W158" s="3" t="s">
        <v>640</v>
      </c>
      <c r="X158" s="3" t="s">
        <v>1328</v>
      </c>
      <c r="Y158" s="3" t="s">
        <v>1328</v>
      </c>
      <c r="Z158" s="3" t="s">
        <v>1328</v>
      </c>
      <c r="AA158" t="s">
        <v>1517</v>
      </c>
      <c r="AB158" s="3" t="s">
        <v>1765</v>
      </c>
      <c r="AC158" s="3" t="s">
        <v>640</v>
      </c>
      <c r="AD158" s="3" t="s">
        <v>640</v>
      </c>
    </row>
    <row r="159" spans="1:30" x14ac:dyDescent="0.35">
      <c r="A159" s="3" t="s">
        <v>608</v>
      </c>
      <c r="B159" s="3" t="s">
        <v>608</v>
      </c>
      <c r="C159" s="3" t="s">
        <v>608</v>
      </c>
      <c r="D159" s="3" t="s">
        <v>608</v>
      </c>
      <c r="E159" s="3" t="s">
        <v>608</v>
      </c>
      <c r="F159" s="3" t="s">
        <v>640</v>
      </c>
      <c r="G159" s="3" t="s">
        <v>1018</v>
      </c>
      <c r="H159">
        <v>3000000</v>
      </c>
      <c r="I159" s="3" t="s">
        <v>1399</v>
      </c>
      <c r="J159" s="3" t="s">
        <v>640</v>
      </c>
      <c r="L159" s="3" t="s">
        <v>640</v>
      </c>
      <c r="M159" s="3" t="s">
        <v>640</v>
      </c>
      <c r="N159" s="3" t="s">
        <v>965</v>
      </c>
      <c r="O159">
        <v>87.86</v>
      </c>
      <c r="P159">
        <v>87.86</v>
      </c>
      <c r="Q159">
        <v>18.3</v>
      </c>
      <c r="R159">
        <v>0</v>
      </c>
      <c r="S159">
        <v>0</v>
      </c>
      <c r="T159" s="3" t="s">
        <v>448</v>
      </c>
      <c r="U159">
        <v>87.86</v>
      </c>
      <c r="V159" s="3" t="s">
        <v>449</v>
      </c>
      <c r="W159" s="3" t="s">
        <v>640</v>
      </c>
      <c r="X159" s="3" t="s">
        <v>1328</v>
      </c>
      <c r="Y159" s="3" t="s">
        <v>1328</v>
      </c>
      <c r="Z159" s="3" t="s">
        <v>1328</v>
      </c>
      <c r="AA159" t="s">
        <v>1515</v>
      </c>
      <c r="AB159" s="3" t="s">
        <v>1765</v>
      </c>
      <c r="AC159" s="3" t="s">
        <v>640</v>
      </c>
      <c r="AD159" s="3" t="s">
        <v>640</v>
      </c>
    </row>
    <row r="160" spans="1:30" x14ac:dyDescent="0.35">
      <c r="A160" s="3" t="s">
        <v>608</v>
      </c>
      <c r="B160" s="3" t="s">
        <v>608</v>
      </c>
      <c r="C160" s="3" t="s">
        <v>608</v>
      </c>
      <c r="D160" s="3" t="s">
        <v>608</v>
      </c>
      <c r="E160" s="3" t="s">
        <v>608</v>
      </c>
      <c r="F160" s="3" t="s">
        <v>640</v>
      </c>
      <c r="G160" s="3" t="s">
        <v>1381</v>
      </c>
      <c r="H160">
        <v>-1400000</v>
      </c>
      <c r="I160" s="3" t="s">
        <v>1443</v>
      </c>
      <c r="J160" s="3" t="s">
        <v>640</v>
      </c>
      <c r="L160" s="3" t="s">
        <v>640</v>
      </c>
      <c r="M160" s="3" t="s">
        <v>640</v>
      </c>
      <c r="N160" s="3" t="s">
        <v>1379</v>
      </c>
      <c r="O160">
        <v>108.14</v>
      </c>
      <c r="P160">
        <v>108.14</v>
      </c>
      <c r="Q160">
        <v>-39.950000000000003</v>
      </c>
      <c r="R160">
        <v>0</v>
      </c>
      <c r="S160">
        <v>0</v>
      </c>
      <c r="T160" s="3" t="s">
        <v>448</v>
      </c>
      <c r="U160">
        <v>108.14</v>
      </c>
      <c r="V160" s="3" t="s">
        <v>449</v>
      </c>
      <c r="W160" s="3" t="s">
        <v>640</v>
      </c>
      <c r="X160" s="3" t="s">
        <v>1328</v>
      </c>
      <c r="Y160" s="3" t="s">
        <v>1328</v>
      </c>
      <c r="Z160" s="3" t="s">
        <v>1328</v>
      </c>
      <c r="AA160" t="s">
        <v>1565</v>
      </c>
      <c r="AB160" s="3" t="s">
        <v>1765</v>
      </c>
      <c r="AC160" s="3" t="s">
        <v>640</v>
      </c>
      <c r="AD160" s="3" t="s">
        <v>640</v>
      </c>
    </row>
    <row r="161" spans="1:30" x14ac:dyDescent="0.35">
      <c r="A161" s="3" t="s">
        <v>608</v>
      </c>
      <c r="B161" s="3" t="s">
        <v>608</v>
      </c>
      <c r="C161" s="3" t="s">
        <v>608</v>
      </c>
      <c r="D161" s="3" t="s">
        <v>608</v>
      </c>
      <c r="E161" s="3" t="s">
        <v>608</v>
      </c>
      <c r="F161" s="3" t="s">
        <v>640</v>
      </c>
      <c r="G161" s="3" t="s">
        <v>1373</v>
      </c>
      <c r="H161">
        <v>3000000</v>
      </c>
      <c r="I161" s="3" t="s">
        <v>1448</v>
      </c>
      <c r="J161" s="3" t="s">
        <v>640</v>
      </c>
      <c r="L161" s="3" t="s">
        <v>640</v>
      </c>
      <c r="M161" s="3" t="s">
        <v>640</v>
      </c>
      <c r="N161" s="3" t="s">
        <v>1372</v>
      </c>
      <c r="O161">
        <v>79.47</v>
      </c>
      <c r="P161">
        <v>79.47</v>
      </c>
      <c r="Q161">
        <v>16.559999999999999</v>
      </c>
      <c r="R161">
        <v>0</v>
      </c>
      <c r="S161">
        <v>0</v>
      </c>
      <c r="T161" s="3" t="s">
        <v>448</v>
      </c>
      <c r="U161">
        <v>79.47</v>
      </c>
      <c r="V161" s="3" t="s">
        <v>449</v>
      </c>
      <c r="W161" s="3" t="s">
        <v>640</v>
      </c>
      <c r="X161" s="3" t="s">
        <v>1328</v>
      </c>
      <c r="Y161" s="3" t="s">
        <v>1328</v>
      </c>
      <c r="Z161" s="3" t="s">
        <v>1328</v>
      </c>
      <c r="AA161" t="s">
        <v>1515</v>
      </c>
      <c r="AB161" s="3" t="s">
        <v>1765</v>
      </c>
      <c r="AC161" s="3" t="s">
        <v>640</v>
      </c>
      <c r="AD161" s="3" t="s">
        <v>640</v>
      </c>
    </row>
    <row r="162" spans="1:30" x14ac:dyDescent="0.35">
      <c r="A162" s="3" t="s">
        <v>608</v>
      </c>
      <c r="B162" s="3" t="s">
        <v>608</v>
      </c>
      <c r="C162" s="3" t="s">
        <v>608</v>
      </c>
      <c r="D162" s="3" t="s">
        <v>608</v>
      </c>
      <c r="E162" s="3" t="s">
        <v>608</v>
      </c>
      <c r="F162" s="3" t="s">
        <v>640</v>
      </c>
      <c r="G162" s="3" t="s">
        <v>1450</v>
      </c>
      <c r="H162">
        <v>-2700000</v>
      </c>
      <c r="I162" s="3" t="s">
        <v>1643</v>
      </c>
      <c r="J162" s="3" t="s">
        <v>640</v>
      </c>
      <c r="L162" s="3" t="s">
        <v>640</v>
      </c>
      <c r="M162" s="3" t="s">
        <v>640</v>
      </c>
      <c r="N162" s="3" t="s">
        <v>1449</v>
      </c>
      <c r="O162">
        <v>111.5</v>
      </c>
      <c r="P162">
        <v>111.5</v>
      </c>
      <c r="Q162">
        <v>-79.44</v>
      </c>
      <c r="R162">
        <v>0</v>
      </c>
      <c r="S162">
        <v>0</v>
      </c>
      <c r="T162" s="3" t="s">
        <v>448</v>
      </c>
      <c r="U162">
        <v>111.5</v>
      </c>
      <c r="V162" s="3" t="s">
        <v>449</v>
      </c>
      <c r="W162" s="3" t="s">
        <v>640</v>
      </c>
      <c r="X162" s="3" t="s">
        <v>1328</v>
      </c>
      <c r="Y162" s="3" t="s">
        <v>1328</v>
      </c>
      <c r="Z162" s="3" t="s">
        <v>1328</v>
      </c>
      <c r="AA162" t="s">
        <v>1610</v>
      </c>
      <c r="AB162" s="3" t="s">
        <v>1765</v>
      </c>
      <c r="AC162" s="3" t="s">
        <v>640</v>
      </c>
      <c r="AD162" s="3" t="s">
        <v>640</v>
      </c>
    </row>
    <row r="163" spans="1:30" x14ac:dyDescent="0.35">
      <c r="A163" s="3" t="s">
        <v>608</v>
      </c>
      <c r="B163" s="3" t="s">
        <v>608</v>
      </c>
      <c r="C163" s="3" t="s">
        <v>608</v>
      </c>
      <c r="D163" s="3" t="s">
        <v>608</v>
      </c>
      <c r="E163" s="3" t="s">
        <v>608</v>
      </c>
      <c r="F163" s="3" t="s">
        <v>640</v>
      </c>
      <c r="G163" s="3" t="s">
        <v>1417</v>
      </c>
      <c r="H163">
        <v>5000000</v>
      </c>
      <c r="I163" s="3" t="s">
        <v>1659</v>
      </c>
      <c r="J163" s="3" t="s">
        <v>640</v>
      </c>
      <c r="L163" s="3" t="s">
        <v>640</v>
      </c>
      <c r="M163" s="3" t="s">
        <v>640</v>
      </c>
      <c r="N163" s="3" t="s">
        <v>1416</v>
      </c>
      <c r="O163">
        <v>87.77</v>
      </c>
      <c r="P163">
        <v>87.77</v>
      </c>
      <c r="Q163">
        <v>30.48</v>
      </c>
      <c r="R163">
        <v>0</v>
      </c>
      <c r="S163">
        <v>0</v>
      </c>
      <c r="T163" s="3" t="s">
        <v>448</v>
      </c>
      <c r="U163">
        <v>87.77</v>
      </c>
      <c r="V163" s="3" t="s">
        <v>449</v>
      </c>
      <c r="W163" s="3" t="s">
        <v>640</v>
      </c>
      <c r="X163" s="3" t="s">
        <v>1328</v>
      </c>
      <c r="Y163" s="3" t="s">
        <v>1328</v>
      </c>
      <c r="Z163" s="3" t="s">
        <v>1328</v>
      </c>
      <c r="AA163" t="s">
        <v>1560</v>
      </c>
      <c r="AB163" s="3" t="s">
        <v>1765</v>
      </c>
      <c r="AC163" s="3" t="s">
        <v>640</v>
      </c>
      <c r="AD163" s="3" t="s">
        <v>640</v>
      </c>
    </row>
    <row r="164" spans="1:30" x14ac:dyDescent="0.35">
      <c r="A164" s="3" t="s">
        <v>608</v>
      </c>
      <c r="B164" s="3" t="s">
        <v>608</v>
      </c>
      <c r="C164" s="3" t="s">
        <v>608</v>
      </c>
      <c r="D164" s="3" t="s">
        <v>608</v>
      </c>
      <c r="E164" s="3" t="s">
        <v>608</v>
      </c>
      <c r="F164" s="3" t="s">
        <v>640</v>
      </c>
      <c r="G164" s="3" t="s">
        <v>1421</v>
      </c>
      <c r="H164">
        <v>6000000</v>
      </c>
      <c r="I164" s="3" t="s">
        <v>1661</v>
      </c>
      <c r="J164" s="3" t="s">
        <v>640</v>
      </c>
      <c r="L164" s="3" t="s">
        <v>640</v>
      </c>
      <c r="M164" s="3" t="s">
        <v>640</v>
      </c>
      <c r="N164" s="3" t="s">
        <v>1420</v>
      </c>
      <c r="O164">
        <v>87.92</v>
      </c>
      <c r="P164">
        <v>87.92</v>
      </c>
      <c r="Q164">
        <v>36.630000000000003</v>
      </c>
      <c r="R164">
        <v>0</v>
      </c>
      <c r="S164">
        <v>0</v>
      </c>
      <c r="T164" s="3" t="s">
        <v>448</v>
      </c>
      <c r="U164">
        <v>87.92</v>
      </c>
      <c r="V164" s="3" t="s">
        <v>449</v>
      </c>
      <c r="W164" s="3" t="s">
        <v>640</v>
      </c>
      <c r="X164" s="3" t="s">
        <v>1328</v>
      </c>
      <c r="Y164" s="3" t="s">
        <v>1328</v>
      </c>
      <c r="Z164" s="3" t="s">
        <v>1328</v>
      </c>
      <c r="AA164" t="s">
        <v>1561</v>
      </c>
      <c r="AB164" s="3" t="s">
        <v>1765</v>
      </c>
      <c r="AC164" s="3" t="s">
        <v>640</v>
      </c>
      <c r="AD164" s="3" t="s">
        <v>640</v>
      </c>
    </row>
    <row r="165" spans="1:30" x14ac:dyDescent="0.35">
      <c r="A165" s="3" t="s">
        <v>608</v>
      </c>
      <c r="B165" s="3" t="s">
        <v>608</v>
      </c>
      <c r="C165" s="3" t="s">
        <v>608</v>
      </c>
      <c r="D165" s="3" t="s">
        <v>608</v>
      </c>
      <c r="E165" s="3" t="s">
        <v>608</v>
      </c>
      <c r="F165" s="3" t="s">
        <v>640</v>
      </c>
      <c r="G165" s="3" t="s">
        <v>1395</v>
      </c>
      <c r="H165">
        <v>1500000</v>
      </c>
      <c r="I165" s="3" t="s">
        <v>1660</v>
      </c>
      <c r="J165" s="3" t="s">
        <v>640</v>
      </c>
      <c r="L165" s="3" t="s">
        <v>640</v>
      </c>
      <c r="M165" s="3" t="s">
        <v>640</v>
      </c>
      <c r="N165" s="3" t="s">
        <v>1394</v>
      </c>
      <c r="O165">
        <v>88.66</v>
      </c>
      <c r="P165">
        <v>88.66</v>
      </c>
      <c r="Q165">
        <v>9.23</v>
      </c>
      <c r="R165">
        <v>0</v>
      </c>
      <c r="S165">
        <v>0</v>
      </c>
      <c r="T165" s="3" t="s">
        <v>448</v>
      </c>
      <c r="U165">
        <v>88.66</v>
      </c>
      <c r="V165" s="3" t="s">
        <v>449</v>
      </c>
      <c r="W165" s="3" t="s">
        <v>640</v>
      </c>
      <c r="X165" s="3" t="s">
        <v>1328</v>
      </c>
      <c r="Y165" s="3" t="s">
        <v>1328</v>
      </c>
      <c r="Z165" s="3" t="s">
        <v>1328</v>
      </c>
      <c r="AA165" t="s">
        <v>1547</v>
      </c>
      <c r="AB165" s="3" t="s">
        <v>1765</v>
      </c>
      <c r="AC165" s="3" t="s">
        <v>640</v>
      </c>
      <c r="AD165" s="3" t="s">
        <v>640</v>
      </c>
    </row>
    <row r="166" spans="1:30" x14ac:dyDescent="0.35">
      <c r="A166" s="3" t="s">
        <v>608</v>
      </c>
      <c r="B166" s="3" t="s">
        <v>608</v>
      </c>
      <c r="C166" s="3" t="s">
        <v>608</v>
      </c>
      <c r="D166" s="3" t="s">
        <v>608</v>
      </c>
      <c r="E166" s="3" t="s">
        <v>608</v>
      </c>
      <c r="F166" s="3" t="s">
        <v>640</v>
      </c>
      <c r="G166" s="3" t="s">
        <v>1471</v>
      </c>
      <c r="H166">
        <v>6200000</v>
      </c>
      <c r="I166" s="3" t="s">
        <v>1664</v>
      </c>
      <c r="J166" s="3" t="s">
        <v>640</v>
      </c>
      <c r="L166" s="3" t="s">
        <v>640</v>
      </c>
      <c r="M166" s="3" t="s">
        <v>640</v>
      </c>
      <c r="N166" s="3" t="s">
        <v>1470</v>
      </c>
      <c r="O166">
        <v>95.37</v>
      </c>
      <c r="P166">
        <v>95.37</v>
      </c>
      <c r="Q166">
        <v>41.06</v>
      </c>
      <c r="R166">
        <v>0</v>
      </c>
      <c r="S166">
        <v>0</v>
      </c>
      <c r="T166" s="3" t="s">
        <v>448</v>
      </c>
      <c r="U166">
        <v>95.37</v>
      </c>
      <c r="V166" s="3" t="s">
        <v>449</v>
      </c>
      <c r="W166" s="3" t="s">
        <v>640</v>
      </c>
      <c r="X166" s="3" t="s">
        <v>1328</v>
      </c>
      <c r="Y166" s="3" t="s">
        <v>1328</v>
      </c>
      <c r="Z166" s="3" t="s">
        <v>1328</v>
      </c>
      <c r="AA166" t="s">
        <v>1628</v>
      </c>
      <c r="AB166" s="3" t="s">
        <v>1765</v>
      </c>
      <c r="AC166" s="3" t="s">
        <v>640</v>
      </c>
      <c r="AD166" s="3" t="s">
        <v>640</v>
      </c>
    </row>
    <row r="167" spans="1:30" x14ac:dyDescent="0.35">
      <c r="A167" s="3" t="s">
        <v>608</v>
      </c>
      <c r="B167" s="3" t="s">
        <v>608</v>
      </c>
      <c r="C167" s="3" t="s">
        <v>608</v>
      </c>
      <c r="D167" s="3" t="s">
        <v>608</v>
      </c>
      <c r="E167" s="3" t="s">
        <v>608</v>
      </c>
      <c r="F167" s="3" t="s">
        <v>640</v>
      </c>
      <c r="G167" s="3" t="s">
        <v>1388</v>
      </c>
      <c r="H167">
        <v>1110000</v>
      </c>
      <c r="I167" s="3" t="s">
        <v>1658</v>
      </c>
      <c r="J167" s="3" t="s">
        <v>640</v>
      </c>
      <c r="L167" s="3" t="s">
        <v>640</v>
      </c>
      <c r="M167" s="3" t="s">
        <v>640</v>
      </c>
      <c r="N167" s="3" t="s">
        <v>1387</v>
      </c>
      <c r="O167">
        <v>89.22</v>
      </c>
      <c r="P167">
        <v>89.22</v>
      </c>
      <c r="Q167">
        <v>9.6300000000000008</v>
      </c>
      <c r="R167">
        <v>0</v>
      </c>
      <c r="S167">
        <v>0</v>
      </c>
      <c r="T167" s="3" t="s">
        <v>448</v>
      </c>
      <c r="U167">
        <v>89.22</v>
      </c>
      <c r="V167" s="3" t="s">
        <v>449</v>
      </c>
      <c r="W167" s="3" t="s">
        <v>640</v>
      </c>
      <c r="X167" s="3" t="s">
        <v>1328</v>
      </c>
      <c r="Y167" s="3" t="s">
        <v>1328</v>
      </c>
      <c r="Z167" s="3" t="s">
        <v>1328</v>
      </c>
      <c r="AA167" t="s">
        <v>1681</v>
      </c>
      <c r="AB167" s="3" t="s">
        <v>1765</v>
      </c>
      <c r="AC167" s="3" t="s">
        <v>640</v>
      </c>
      <c r="AD167" s="3" t="s">
        <v>640</v>
      </c>
    </row>
    <row r="168" spans="1:30" x14ac:dyDescent="0.35">
      <c r="A168" s="3" t="s">
        <v>608</v>
      </c>
      <c r="B168" s="3" t="s">
        <v>608</v>
      </c>
      <c r="C168" s="3" t="s">
        <v>608</v>
      </c>
      <c r="D168" s="3" t="s">
        <v>608</v>
      </c>
      <c r="E168" s="3" t="s">
        <v>608</v>
      </c>
      <c r="F168" s="3" t="s">
        <v>32</v>
      </c>
      <c r="G168" s="3" t="s">
        <v>1019</v>
      </c>
      <c r="H168">
        <v>-1500000</v>
      </c>
      <c r="I168" s="3" t="s">
        <v>33</v>
      </c>
      <c r="J168" s="3" t="s">
        <v>655</v>
      </c>
      <c r="K168">
        <v>2.875</v>
      </c>
      <c r="L168" s="3" t="s">
        <v>29</v>
      </c>
      <c r="M168" s="3" t="s">
        <v>32</v>
      </c>
      <c r="N168" s="3" t="s">
        <v>32</v>
      </c>
      <c r="O168">
        <v>124.62</v>
      </c>
      <c r="P168">
        <v>124.92</v>
      </c>
      <c r="Q168">
        <v>-4648.1499999999996</v>
      </c>
      <c r="R168">
        <v>-1871.32</v>
      </c>
      <c r="S168">
        <v>-1893.96</v>
      </c>
      <c r="T168" s="3" t="s">
        <v>30</v>
      </c>
      <c r="U168">
        <v>114.05</v>
      </c>
      <c r="V168" s="3" t="s">
        <v>9</v>
      </c>
      <c r="W168" s="3" t="s">
        <v>31</v>
      </c>
      <c r="X168" s="3" t="s">
        <v>1328</v>
      </c>
      <c r="Y168" s="3" t="s">
        <v>1328</v>
      </c>
      <c r="Z168" s="3" t="s">
        <v>1837</v>
      </c>
      <c r="AA168" t="s">
        <v>1516</v>
      </c>
      <c r="AB168" s="3" t="s">
        <v>1765</v>
      </c>
      <c r="AC168" s="3" t="s">
        <v>640</v>
      </c>
      <c r="AD168" s="3" t="s">
        <v>640</v>
      </c>
    </row>
    <row r="169" spans="1:30" x14ac:dyDescent="0.35">
      <c r="A169" s="3" t="s">
        <v>608</v>
      </c>
      <c r="B169" s="3" t="s">
        <v>608</v>
      </c>
      <c r="C169" s="3" t="s">
        <v>608</v>
      </c>
      <c r="D169" s="3" t="s">
        <v>608</v>
      </c>
      <c r="E169" s="3" t="s">
        <v>608</v>
      </c>
      <c r="F169" s="3" t="s">
        <v>560</v>
      </c>
      <c r="G169" s="3" t="s">
        <v>1016</v>
      </c>
      <c r="H169">
        <v>-500000</v>
      </c>
      <c r="I169" s="3" t="s">
        <v>561</v>
      </c>
      <c r="J169" s="3" t="s">
        <v>823</v>
      </c>
      <c r="K169">
        <v>4.75</v>
      </c>
      <c r="L169" s="3" t="s">
        <v>562</v>
      </c>
      <c r="M169" s="3" t="s">
        <v>560</v>
      </c>
      <c r="N169" s="3" t="s">
        <v>560</v>
      </c>
      <c r="O169">
        <v>104.41</v>
      </c>
      <c r="P169">
        <v>104.51</v>
      </c>
      <c r="Q169">
        <v>-540.61</v>
      </c>
      <c r="R169">
        <v>-304.57</v>
      </c>
      <c r="S169">
        <v>-308.37</v>
      </c>
      <c r="T169" s="3" t="s">
        <v>30</v>
      </c>
      <c r="U169">
        <v>96.65</v>
      </c>
      <c r="V169" s="3" t="s">
        <v>563</v>
      </c>
      <c r="W169" s="3" t="s">
        <v>31</v>
      </c>
      <c r="X169" s="3" t="s">
        <v>1328</v>
      </c>
      <c r="Y169" s="3" t="s">
        <v>1328</v>
      </c>
      <c r="Z169" s="3" t="s">
        <v>1838</v>
      </c>
      <c r="AA169" t="s">
        <v>1512</v>
      </c>
      <c r="AB169" s="3" t="s">
        <v>1765</v>
      </c>
      <c r="AC169" s="3" t="s">
        <v>640</v>
      </c>
      <c r="AD169" s="3" t="s">
        <v>640</v>
      </c>
    </row>
    <row r="170" spans="1:30" x14ac:dyDescent="0.35">
      <c r="A170" s="3" t="s">
        <v>608</v>
      </c>
      <c r="B170" s="3" t="s">
        <v>608</v>
      </c>
      <c r="C170" s="3" t="s">
        <v>608</v>
      </c>
      <c r="D170" s="3" t="s">
        <v>608</v>
      </c>
      <c r="E170" s="3" t="s">
        <v>608</v>
      </c>
      <c r="F170" s="3" t="s">
        <v>1366</v>
      </c>
      <c r="G170" s="3" t="s">
        <v>1367</v>
      </c>
      <c r="H170">
        <v>-700000</v>
      </c>
      <c r="I170" s="3" t="s">
        <v>1368</v>
      </c>
      <c r="J170" s="3" t="s">
        <v>1369</v>
      </c>
      <c r="K170">
        <v>2.625</v>
      </c>
      <c r="L170" s="3" t="s">
        <v>1370</v>
      </c>
      <c r="M170" s="3" t="s">
        <v>1366</v>
      </c>
      <c r="N170" s="3" t="s">
        <v>1366</v>
      </c>
      <c r="O170">
        <v>91.16</v>
      </c>
      <c r="P170">
        <v>91.28</v>
      </c>
      <c r="Q170">
        <v>-932.34</v>
      </c>
      <c r="R170">
        <v>-244.81</v>
      </c>
      <c r="S170">
        <v>-247.24</v>
      </c>
      <c r="T170" s="3" t="s">
        <v>30</v>
      </c>
      <c r="U170">
        <v>90.97</v>
      </c>
      <c r="V170" s="3" t="s">
        <v>256</v>
      </c>
      <c r="W170" s="3" t="s">
        <v>31</v>
      </c>
      <c r="X170" s="3" t="s">
        <v>1328</v>
      </c>
      <c r="Y170" s="3" t="s">
        <v>1328</v>
      </c>
      <c r="Z170" s="3" t="s">
        <v>1839</v>
      </c>
      <c r="AA170" t="s">
        <v>1513</v>
      </c>
      <c r="AB170" s="3" t="s">
        <v>1765</v>
      </c>
      <c r="AC170" s="3" t="s">
        <v>640</v>
      </c>
      <c r="AD170" s="3" t="s">
        <v>640</v>
      </c>
    </row>
    <row r="171" spans="1:30" x14ac:dyDescent="0.35">
      <c r="A171" s="3" t="s">
        <v>608</v>
      </c>
      <c r="B171" s="3" t="s">
        <v>608</v>
      </c>
      <c r="C171" s="3" t="s">
        <v>608</v>
      </c>
      <c r="D171" s="3" t="s">
        <v>608</v>
      </c>
      <c r="E171" s="3" t="s">
        <v>608</v>
      </c>
      <c r="F171" s="3" t="s">
        <v>1237</v>
      </c>
      <c r="G171" s="3" t="s">
        <v>1240</v>
      </c>
      <c r="H171">
        <v>-400000</v>
      </c>
      <c r="I171" s="3" t="s">
        <v>1238</v>
      </c>
      <c r="J171" s="3" t="s">
        <v>1239</v>
      </c>
      <c r="K171">
        <v>2.75</v>
      </c>
      <c r="L171" s="3" t="s">
        <v>989</v>
      </c>
      <c r="M171" s="3" t="s">
        <v>1237</v>
      </c>
      <c r="N171" s="3" t="s">
        <v>1237</v>
      </c>
      <c r="O171">
        <v>105.09</v>
      </c>
      <c r="P171">
        <v>105.21</v>
      </c>
      <c r="Q171">
        <v>-494.14</v>
      </c>
      <c r="R171">
        <v>-143.69999999999999</v>
      </c>
      <c r="S171">
        <v>-145.09</v>
      </c>
      <c r="T171" s="3" t="s">
        <v>30</v>
      </c>
      <c r="U171">
        <v>103.97</v>
      </c>
      <c r="V171" s="3" t="s">
        <v>256</v>
      </c>
      <c r="W171" s="3" t="s">
        <v>31</v>
      </c>
      <c r="X171" s="3" t="s">
        <v>1328</v>
      </c>
      <c r="Y171" s="3" t="s">
        <v>1328</v>
      </c>
      <c r="Z171" s="3" t="s">
        <v>1742</v>
      </c>
      <c r="AA171" t="s">
        <v>1518</v>
      </c>
      <c r="AB171" s="3" t="s">
        <v>1765</v>
      </c>
      <c r="AC171" s="3" t="s">
        <v>640</v>
      </c>
      <c r="AD171" s="3" t="s">
        <v>640</v>
      </c>
    </row>
    <row r="172" spans="1:30" x14ac:dyDescent="0.35">
      <c r="A172" s="3" t="s">
        <v>608</v>
      </c>
      <c r="B172" s="3" t="s">
        <v>608</v>
      </c>
      <c r="C172" s="3" t="s">
        <v>608</v>
      </c>
      <c r="D172" s="3" t="s">
        <v>608</v>
      </c>
      <c r="E172" s="3" t="s">
        <v>608</v>
      </c>
      <c r="F172" s="3" t="s">
        <v>257</v>
      </c>
      <c r="G172" s="3" t="s">
        <v>1017</v>
      </c>
      <c r="H172">
        <v>945000</v>
      </c>
      <c r="I172" s="3" t="s">
        <v>258</v>
      </c>
      <c r="J172" s="3" t="s">
        <v>739</v>
      </c>
      <c r="K172">
        <v>3.875</v>
      </c>
      <c r="L172" s="3" t="s">
        <v>259</v>
      </c>
      <c r="M172" s="3" t="s">
        <v>257</v>
      </c>
      <c r="N172" s="3" t="s">
        <v>257</v>
      </c>
      <c r="O172">
        <v>105.3</v>
      </c>
      <c r="P172">
        <v>105.38</v>
      </c>
      <c r="Q172">
        <v>875.23</v>
      </c>
      <c r="R172">
        <v>249.95</v>
      </c>
      <c r="S172">
        <v>252.68</v>
      </c>
      <c r="T172" s="3" t="s">
        <v>30</v>
      </c>
      <c r="U172">
        <v>104.64</v>
      </c>
      <c r="V172" s="3" t="s">
        <v>256</v>
      </c>
      <c r="W172" s="3" t="s">
        <v>31</v>
      </c>
      <c r="X172" s="3" t="s">
        <v>1328</v>
      </c>
      <c r="Y172" s="3" t="s">
        <v>1328</v>
      </c>
      <c r="Z172" s="3" t="s">
        <v>1840</v>
      </c>
      <c r="AA172" t="s">
        <v>1514</v>
      </c>
      <c r="AB172" s="3" t="s">
        <v>1765</v>
      </c>
      <c r="AC172" s="3" t="s">
        <v>640</v>
      </c>
      <c r="AD172" s="3" t="s">
        <v>640</v>
      </c>
    </row>
    <row r="173" spans="1:30" x14ac:dyDescent="0.35">
      <c r="A173" s="3" t="s">
        <v>608</v>
      </c>
      <c r="B173" s="3" t="s">
        <v>608</v>
      </c>
      <c r="C173" s="3" t="s">
        <v>608</v>
      </c>
      <c r="D173" s="3" t="s">
        <v>608</v>
      </c>
      <c r="E173" s="3" t="s">
        <v>608</v>
      </c>
      <c r="F173" s="3" t="s">
        <v>567</v>
      </c>
      <c r="G173" s="3" t="s">
        <v>1020</v>
      </c>
      <c r="H173">
        <v>-200000</v>
      </c>
      <c r="I173" s="3" t="s">
        <v>568</v>
      </c>
      <c r="J173" s="3" t="s">
        <v>825</v>
      </c>
      <c r="K173">
        <v>5.875</v>
      </c>
      <c r="L173" s="3" t="s">
        <v>569</v>
      </c>
      <c r="M173" s="3" t="s">
        <v>567</v>
      </c>
      <c r="N173" s="3" t="s">
        <v>567</v>
      </c>
      <c r="O173">
        <v>101.09</v>
      </c>
      <c r="P173">
        <v>101.24</v>
      </c>
      <c r="Q173">
        <v>-932.68</v>
      </c>
      <c r="R173">
        <v>-77.040000000000006</v>
      </c>
      <c r="S173">
        <v>-78.260000000000005</v>
      </c>
      <c r="T173" s="3" t="s">
        <v>30</v>
      </c>
      <c r="U173">
        <v>89.19</v>
      </c>
      <c r="V173" s="3" t="s">
        <v>563</v>
      </c>
      <c r="W173" s="3" t="s">
        <v>31</v>
      </c>
      <c r="X173" s="3" t="s">
        <v>1328</v>
      </c>
      <c r="Y173" s="3" t="s">
        <v>1328</v>
      </c>
      <c r="Z173" s="3" t="s">
        <v>1841</v>
      </c>
      <c r="AA173" t="s">
        <v>1520</v>
      </c>
      <c r="AB173" s="3" t="s">
        <v>1766</v>
      </c>
      <c r="AC173" s="3" t="s">
        <v>640</v>
      </c>
      <c r="AD173" s="3" t="s">
        <v>640</v>
      </c>
    </row>
    <row r="174" spans="1:30" x14ac:dyDescent="0.35">
      <c r="A174" s="3" t="s">
        <v>608</v>
      </c>
      <c r="B174" s="3" t="s">
        <v>608</v>
      </c>
      <c r="C174" s="3" t="s">
        <v>608</v>
      </c>
      <c r="D174" s="3" t="s">
        <v>608</v>
      </c>
      <c r="E174" s="3" t="s">
        <v>608</v>
      </c>
      <c r="F174" s="3" t="s">
        <v>570</v>
      </c>
      <c r="G174" s="3" t="s">
        <v>1020</v>
      </c>
      <c r="H174">
        <v>200000</v>
      </c>
      <c r="I174" s="3" t="s">
        <v>571</v>
      </c>
      <c r="J174" s="3" t="s">
        <v>826</v>
      </c>
      <c r="K174">
        <v>7.25</v>
      </c>
      <c r="L174" s="3" t="s">
        <v>569</v>
      </c>
      <c r="M174" s="3" t="s">
        <v>570</v>
      </c>
      <c r="N174" s="3" t="s">
        <v>570</v>
      </c>
      <c r="O174">
        <v>106.63</v>
      </c>
      <c r="P174">
        <v>106.68</v>
      </c>
      <c r="Q174">
        <v>719.53</v>
      </c>
      <c r="R174">
        <v>51.03</v>
      </c>
      <c r="S174">
        <v>51.68</v>
      </c>
      <c r="T174" s="3" t="s">
        <v>30</v>
      </c>
      <c r="U174">
        <v>99.55</v>
      </c>
      <c r="V174" s="3" t="s">
        <v>563</v>
      </c>
      <c r="W174" s="3" t="s">
        <v>31</v>
      </c>
      <c r="X174" s="3" t="s">
        <v>1328</v>
      </c>
      <c r="Y174" s="3" t="s">
        <v>1328</v>
      </c>
      <c r="Z174" s="3" t="s">
        <v>1842</v>
      </c>
      <c r="AA174" t="s">
        <v>1521</v>
      </c>
      <c r="AB174" s="3" t="s">
        <v>1766</v>
      </c>
      <c r="AC174" s="3" t="s">
        <v>640</v>
      </c>
      <c r="AD174" s="3" t="s">
        <v>640</v>
      </c>
    </row>
    <row r="175" spans="1:30" x14ac:dyDescent="0.35">
      <c r="A175" s="3" t="s">
        <v>608</v>
      </c>
      <c r="B175" s="3" t="s">
        <v>608</v>
      </c>
      <c r="C175" s="3" t="s">
        <v>608</v>
      </c>
      <c r="D175" s="3" t="s">
        <v>608</v>
      </c>
      <c r="E175" s="3" t="s">
        <v>608</v>
      </c>
      <c r="F175" s="3" t="s">
        <v>267</v>
      </c>
      <c r="G175" s="3" t="s">
        <v>1075</v>
      </c>
      <c r="H175">
        <v>177000</v>
      </c>
      <c r="I175" s="3" t="s">
        <v>268</v>
      </c>
      <c r="J175" s="3" t="s">
        <v>742</v>
      </c>
      <c r="K175">
        <v>3</v>
      </c>
      <c r="L175" s="3" t="s">
        <v>269</v>
      </c>
      <c r="M175" s="3" t="s">
        <v>267</v>
      </c>
      <c r="N175" s="3" t="s">
        <v>267</v>
      </c>
      <c r="O175">
        <v>100.26</v>
      </c>
      <c r="P175">
        <v>100.3</v>
      </c>
      <c r="Q175">
        <v>71.19</v>
      </c>
      <c r="R175">
        <v>38.94</v>
      </c>
      <c r="S175">
        <v>39.28</v>
      </c>
      <c r="T175" s="3" t="s">
        <v>30</v>
      </c>
      <c r="U175">
        <v>99.37</v>
      </c>
      <c r="V175" s="3" t="s">
        <v>256</v>
      </c>
      <c r="W175" s="3" t="s">
        <v>31</v>
      </c>
      <c r="X175" s="3" t="s">
        <v>1328</v>
      </c>
      <c r="Y175" s="3" t="s">
        <v>1328</v>
      </c>
      <c r="Z175" s="3" t="s">
        <v>1843</v>
      </c>
      <c r="AA175" t="s">
        <v>1576</v>
      </c>
      <c r="AB175" s="3" t="s">
        <v>1765</v>
      </c>
      <c r="AC175" s="3" t="s">
        <v>640</v>
      </c>
      <c r="AD175" s="3" t="s">
        <v>640</v>
      </c>
    </row>
    <row r="176" spans="1:30" x14ac:dyDescent="0.35">
      <c r="A176" s="3" t="s">
        <v>608</v>
      </c>
      <c r="B176" s="3" t="s">
        <v>608</v>
      </c>
      <c r="C176" s="3" t="s">
        <v>608</v>
      </c>
      <c r="D176" s="3" t="s">
        <v>608</v>
      </c>
      <c r="E176" s="3" t="s">
        <v>608</v>
      </c>
      <c r="F176" s="3" t="s">
        <v>273</v>
      </c>
      <c r="G176" s="3" t="s">
        <v>1021</v>
      </c>
      <c r="H176">
        <v>1700000</v>
      </c>
      <c r="I176" s="3" t="s">
        <v>274</v>
      </c>
      <c r="J176" s="3" t="s">
        <v>744</v>
      </c>
      <c r="K176">
        <v>2.375</v>
      </c>
      <c r="L176" s="3" t="s">
        <v>272</v>
      </c>
      <c r="M176" s="3" t="s">
        <v>273</v>
      </c>
      <c r="N176" s="3" t="s">
        <v>273</v>
      </c>
      <c r="O176">
        <v>100.29</v>
      </c>
      <c r="P176">
        <v>100.35</v>
      </c>
      <c r="Q176">
        <v>1336.96</v>
      </c>
      <c r="R176">
        <v>680.16</v>
      </c>
      <c r="S176">
        <v>686.91</v>
      </c>
      <c r="T176" s="3" t="s">
        <v>30</v>
      </c>
      <c r="U176">
        <v>97.96</v>
      </c>
      <c r="V176" s="3" t="s">
        <v>256</v>
      </c>
      <c r="W176" s="3" t="s">
        <v>31</v>
      </c>
      <c r="X176" s="3" t="s">
        <v>1328</v>
      </c>
      <c r="Y176" s="3" t="s">
        <v>1328</v>
      </c>
      <c r="Z176" s="3" t="s">
        <v>1844</v>
      </c>
      <c r="AA176" t="s">
        <v>1680</v>
      </c>
      <c r="AB176" s="3" t="s">
        <v>1765</v>
      </c>
      <c r="AC176" s="3" t="s">
        <v>640</v>
      </c>
      <c r="AD176" s="3" t="s">
        <v>640</v>
      </c>
    </row>
    <row r="177" spans="1:30" x14ac:dyDescent="0.35">
      <c r="A177" s="3" t="s">
        <v>608</v>
      </c>
      <c r="B177" s="3" t="s">
        <v>608</v>
      </c>
      <c r="C177" s="3" t="s">
        <v>608</v>
      </c>
      <c r="D177" s="3" t="s">
        <v>608</v>
      </c>
      <c r="E177" s="3" t="s">
        <v>608</v>
      </c>
      <c r="F177" s="3" t="s">
        <v>40</v>
      </c>
      <c r="G177" s="3" t="s">
        <v>1022</v>
      </c>
      <c r="H177">
        <v>-2850000</v>
      </c>
      <c r="I177" s="3" t="s">
        <v>41</v>
      </c>
      <c r="J177" s="3" t="s">
        <v>658</v>
      </c>
      <c r="K177">
        <v>1.25</v>
      </c>
      <c r="L177" s="3" t="s">
        <v>42</v>
      </c>
      <c r="M177" s="3" t="s">
        <v>40</v>
      </c>
      <c r="N177" s="3" t="s">
        <v>40</v>
      </c>
      <c r="O177">
        <v>102.46</v>
      </c>
      <c r="P177">
        <v>102.47</v>
      </c>
      <c r="Q177">
        <v>-296.83999999999997</v>
      </c>
      <c r="R177">
        <v>-581.95000000000005</v>
      </c>
      <c r="S177">
        <v>-587.08000000000004</v>
      </c>
      <c r="T177" s="3" t="s">
        <v>30</v>
      </c>
      <c r="U177">
        <v>102.79</v>
      </c>
      <c r="V177" s="3" t="s">
        <v>9</v>
      </c>
      <c r="W177" s="3" t="s">
        <v>31</v>
      </c>
      <c r="X177" s="3" t="s">
        <v>1328</v>
      </c>
      <c r="Y177" s="3" t="s">
        <v>1328</v>
      </c>
      <c r="Z177" s="3" t="s">
        <v>1845</v>
      </c>
      <c r="AA177" t="s">
        <v>1523</v>
      </c>
      <c r="AB177" s="3" t="s">
        <v>1765</v>
      </c>
      <c r="AC177" s="3" t="s">
        <v>640</v>
      </c>
      <c r="AD177" s="3" t="s">
        <v>640</v>
      </c>
    </row>
    <row r="178" spans="1:30" x14ac:dyDescent="0.35">
      <c r="A178" s="3" t="s">
        <v>608</v>
      </c>
      <c r="B178" s="3" t="s">
        <v>608</v>
      </c>
      <c r="C178" s="3" t="s">
        <v>608</v>
      </c>
      <c r="D178" s="3" t="s">
        <v>608</v>
      </c>
      <c r="E178" s="3" t="s">
        <v>608</v>
      </c>
      <c r="F178" s="3" t="s">
        <v>956</v>
      </c>
      <c r="G178" s="3" t="s">
        <v>1023</v>
      </c>
      <c r="H178">
        <v>-4560000</v>
      </c>
      <c r="I178" s="3" t="s">
        <v>957</v>
      </c>
      <c r="J178" s="3" t="s">
        <v>1183</v>
      </c>
      <c r="K178">
        <v>0</v>
      </c>
      <c r="L178" s="3" t="s">
        <v>958</v>
      </c>
      <c r="M178" s="3" t="s">
        <v>956</v>
      </c>
      <c r="N178" s="3" t="s">
        <v>956</v>
      </c>
      <c r="O178">
        <v>100.47</v>
      </c>
      <c r="P178">
        <v>100.48</v>
      </c>
      <c r="Q178">
        <v>-364.8</v>
      </c>
      <c r="R178">
        <v>-1101.8</v>
      </c>
      <c r="S178">
        <v>-1111.53</v>
      </c>
      <c r="T178" s="3" t="s">
        <v>30</v>
      </c>
      <c r="U178">
        <v>100.55</v>
      </c>
      <c r="V178" s="3" t="s">
        <v>9</v>
      </c>
      <c r="W178" s="3" t="s">
        <v>31</v>
      </c>
      <c r="X178" s="3" t="s">
        <v>1328</v>
      </c>
      <c r="Y178" s="3" t="s">
        <v>1328</v>
      </c>
      <c r="Z178" s="3" t="s">
        <v>1846</v>
      </c>
      <c r="AA178" t="s">
        <v>1524</v>
      </c>
      <c r="AB178" s="3" t="s">
        <v>1765</v>
      </c>
      <c r="AC178" s="3" t="s">
        <v>640</v>
      </c>
      <c r="AD178" s="3" t="s">
        <v>640</v>
      </c>
    </row>
    <row r="179" spans="1:30" x14ac:dyDescent="0.35">
      <c r="A179" s="3" t="s">
        <v>608</v>
      </c>
      <c r="B179" s="3" t="s">
        <v>608</v>
      </c>
      <c r="C179" s="3" t="s">
        <v>608</v>
      </c>
      <c r="D179" s="3" t="s">
        <v>608</v>
      </c>
      <c r="E179" s="3" t="s">
        <v>608</v>
      </c>
      <c r="F179" s="3" t="s">
        <v>572</v>
      </c>
      <c r="G179" s="3" t="s">
        <v>1024</v>
      </c>
      <c r="H179">
        <v>250000</v>
      </c>
      <c r="I179" s="3" t="s">
        <v>573</v>
      </c>
      <c r="J179" s="3" t="s">
        <v>827</v>
      </c>
      <c r="K179">
        <v>6.625</v>
      </c>
      <c r="L179" s="3" t="s">
        <v>574</v>
      </c>
      <c r="M179" s="3" t="s">
        <v>572</v>
      </c>
      <c r="N179" s="3" t="s">
        <v>572</v>
      </c>
      <c r="O179">
        <v>108.9</v>
      </c>
      <c r="P179">
        <v>108.83</v>
      </c>
      <c r="Q179">
        <v>-495.71</v>
      </c>
      <c r="R179">
        <v>69.22</v>
      </c>
      <c r="S179">
        <v>70.260000000000005</v>
      </c>
      <c r="T179" s="3" t="s">
        <v>30</v>
      </c>
      <c r="U179">
        <v>105.85</v>
      </c>
      <c r="V179" s="3" t="s">
        <v>563</v>
      </c>
      <c r="W179" s="3" t="s">
        <v>31</v>
      </c>
      <c r="X179" s="3" t="s">
        <v>1328</v>
      </c>
      <c r="Y179" s="3" t="s">
        <v>1328</v>
      </c>
      <c r="Z179" s="3" t="s">
        <v>1847</v>
      </c>
      <c r="AA179" t="s">
        <v>1525</v>
      </c>
      <c r="AB179" s="3" t="s">
        <v>1768</v>
      </c>
      <c r="AC179" s="3" t="s">
        <v>640</v>
      </c>
      <c r="AD179" s="3" t="s">
        <v>640</v>
      </c>
    </row>
    <row r="180" spans="1:30" x14ac:dyDescent="0.35">
      <c r="A180" s="3" t="s">
        <v>608</v>
      </c>
      <c r="B180" s="3" t="s">
        <v>608</v>
      </c>
      <c r="C180" s="3" t="s">
        <v>608</v>
      </c>
      <c r="D180" s="3" t="s">
        <v>608</v>
      </c>
      <c r="E180" s="3" t="s">
        <v>608</v>
      </c>
      <c r="F180" s="3" t="s">
        <v>1387</v>
      </c>
      <c r="G180" s="3" t="s">
        <v>1388</v>
      </c>
      <c r="H180">
        <v>1110000</v>
      </c>
      <c r="I180" s="3" t="s">
        <v>1389</v>
      </c>
      <c r="J180" s="3" t="s">
        <v>1390</v>
      </c>
      <c r="K180">
        <v>0.83099999999999996</v>
      </c>
      <c r="L180" s="3" t="s">
        <v>45</v>
      </c>
      <c r="M180" s="3" t="s">
        <v>1387</v>
      </c>
      <c r="N180" s="3" t="s">
        <v>1387</v>
      </c>
      <c r="O180">
        <v>104.56</v>
      </c>
      <c r="P180">
        <v>104.66</v>
      </c>
      <c r="Q180">
        <v>1242.74</v>
      </c>
      <c r="R180">
        <v>789.4</v>
      </c>
      <c r="S180">
        <v>797.93</v>
      </c>
      <c r="T180" s="3" t="s">
        <v>30</v>
      </c>
      <c r="U180">
        <v>103.83</v>
      </c>
      <c r="V180" s="3" t="s">
        <v>9</v>
      </c>
      <c r="W180" s="3" t="s">
        <v>31</v>
      </c>
      <c r="X180" s="3" t="s">
        <v>1328</v>
      </c>
      <c r="Y180" s="3" t="s">
        <v>1328</v>
      </c>
      <c r="Z180" s="3" t="s">
        <v>1848</v>
      </c>
      <c r="AA180" t="s">
        <v>1681</v>
      </c>
      <c r="AB180" s="3" t="s">
        <v>1765</v>
      </c>
      <c r="AC180" s="3" t="s">
        <v>640</v>
      </c>
      <c r="AD180" s="3" t="s">
        <v>640</v>
      </c>
    </row>
    <row r="181" spans="1:30" x14ac:dyDescent="0.35">
      <c r="A181" s="3" t="s">
        <v>608</v>
      </c>
      <c r="B181" s="3" t="s">
        <v>608</v>
      </c>
      <c r="C181" s="3" t="s">
        <v>608</v>
      </c>
      <c r="D181" s="3" t="s">
        <v>608</v>
      </c>
      <c r="E181" s="3" t="s">
        <v>608</v>
      </c>
      <c r="F181" s="3" t="s">
        <v>1760</v>
      </c>
      <c r="G181" s="3" t="s">
        <v>1026</v>
      </c>
      <c r="H181">
        <v>1000000</v>
      </c>
      <c r="I181" s="3" t="s">
        <v>1761</v>
      </c>
      <c r="J181" s="3" t="s">
        <v>1762</v>
      </c>
      <c r="K181">
        <v>4.25</v>
      </c>
      <c r="L181" s="3" t="s">
        <v>45</v>
      </c>
      <c r="M181" s="3" t="s">
        <v>1760</v>
      </c>
      <c r="N181" s="3" t="s">
        <v>1760</v>
      </c>
      <c r="O181">
        <v>105.99</v>
      </c>
      <c r="P181">
        <v>106.3</v>
      </c>
      <c r="Q181">
        <v>2085.98</v>
      </c>
      <c r="R181">
        <v>657.37</v>
      </c>
      <c r="S181">
        <v>668.99</v>
      </c>
      <c r="T181" s="3" t="s">
        <v>30</v>
      </c>
      <c r="U181">
        <v>106.38</v>
      </c>
      <c r="V181" s="3" t="s">
        <v>256</v>
      </c>
      <c r="W181" s="3" t="s">
        <v>31</v>
      </c>
      <c r="X181" s="3" t="s">
        <v>1328</v>
      </c>
      <c r="Y181" s="3" t="s">
        <v>1328</v>
      </c>
      <c r="Z181" s="3" t="s">
        <v>1849</v>
      </c>
      <c r="AA181" t="s">
        <v>1616</v>
      </c>
      <c r="AB181" s="3" t="s">
        <v>1766</v>
      </c>
      <c r="AC181" s="3" t="s">
        <v>640</v>
      </c>
      <c r="AD181" s="3" t="s">
        <v>640</v>
      </c>
    </row>
    <row r="182" spans="1:30" x14ac:dyDescent="0.35">
      <c r="A182" s="3" t="s">
        <v>608</v>
      </c>
      <c r="B182" s="3" t="s">
        <v>608</v>
      </c>
      <c r="C182" s="3" t="s">
        <v>608</v>
      </c>
      <c r="D182" s="3" t="s">
        <v>608</v>
      </c>
      <c r="E182" s="3" t="s">
        <v>608</v>
      </c>
      <c r="F182" s="3" t="s">
        <v>1638</v>
      </c>
      <c r="G182" s="3" t="s">
        <v>1026</v>
      </c>
      <c r="H182">
        <v>11000000</v>
      </c>
      <c r="I182" s="3" t="s">
        <v>1639</v>
      </c>
      <c r="J182" s="3" t="s">
        <v>1640</v>
      </c>
      <c r="K182">
        <v>4.375</v>
      </c>
      <c r="L182" s="3" t="s">
        <v>45</v>
      </c>
      <c r="M182" s="3" t="s">
        <v>1638</v>
      </c>
      <c r="N182" s="3" t="s">
        <v>1638</v>
      </c>
      <c r="O182">
        <v>106.43</v>
      </c>
      <c r="P182">
        <v>106.53</v>
      </c>
      <c r="Q182">
        <v>-11079.69</v>
      </c>
      <c r="R182">
        <v>4114.79</v>
      </c>
      <c r="S182">
        <v>4182.82</v>
      </c>
      <c r="T182" s="3" t="s">
        <v>30</v>
      </c>
      <c r="U182">
        <v>106.38</v>
      </c>
      <c r="V182" s="3" t="s">
        <v>256</v>
      </c>
      <c r="W182" s="3" t="s">
        <v>31</v>
      </c>
      <c r="X182" s="3" t="s">
        <v>1328</v>
      </c>
      <c r="Y182" s="3" t="s">
        <v>1328</v>
      </c>
      <c r="Z182" s="3" t="s">
        <v>1850</v>
      </c>
      <c r="AA182" t="s">
        <v>1611</v>
      </c>
      <c r="AB182" s="3" t="s">
        <v>1768</v>
      </c>
      <c r="AC182" s="3" t="s">
        <v>640</v>
      </c>
      <c r="AD182" s="3" t="s">
        <v>640</v>
      </c>
    </row>
    <row r="183" spans="1:30" x14ac:dyDescent="0.35">
      <c r="A183" s="3" t="s">
        <v>608</v>
      </c>
      <c r="B183" s="3" t="s">
        <v>608</v>
      </c>
      <c r="C183" s="3" t="s">
        <v>608</v>
      </c>
      <c r="D183" s="3" t="s">
        <v>608</v>
      </c>
      <c r="E183" s="3" t="s">
        <v>608</v>
      </c>
      <c r="F183" s="3" t="s">
        <v>1400</v>
      </c>
      <c r="G183" s="3" t="s">
        <v>1026</v>
      </c>
      <c r="H183">
        <v>-5000000</v>
      </c>
      <c r="I183" s="3" t="s">
        <v>1401</v>
      </c>
      <c r="J183" s="3" t="s">
        <v>1402</v>
      </c>
      <c r="K183">
        <v>4.875</v>
      </c>
      <c r="L183" s="3" t="s">
        <v>45</v>
      </c>
      <c r="M183" s="3" t="s">
        <v>1400</v>
      </c>
      <c r="N183" s="3" t="s">
        <v>1400</v>
      </c>
      <c r="O183">
        <v>109.31</v>
      </c>
      <c r="P183">
        <v>109.5</v>
      </c>
      <c r="Q183">
        <v>-319.33</v>
      </c>
      <c r="R183">
        <v>-3493.31</v>
      </c>
      <c r="S183">
        <v>-3549.8</v>
      </c>
      <c r="T183" s="3" t="s">
        <v>30</v>
      </c>
      <c r="U183">
        <v>108.75</v>
      </c>
      <c r="V183" s="3" t="s">
        <v>256</v>
      </c>
      <c r="W183" s="3" t="s">
        <v>31</v>
      </c>
      <c r="X183" s="3" t="s">
        <v>1328</v>
      </c>
      <c r="Y183" s="3" t="s">
        <v>1328</v>
      </c>
      <c r="Z183" s="3" t="s">
        <v>1851</v>
      </c>
      <c r="AA183" t="s">
        <v>1527</v>
      </c>
      <c r="AB183" s="3" t="s">
        <v>1768</v>
      </c>
      <c r="AC183" s="3" t="s">
        <v>640</v>
      </c>
      <c r="AD183" s="3" t="s">
        <v>640</v>
      </c>
    </row>
    <row r="184" spans="1:30" x14ac:dyDescent="0.35">
      <c r="A184" s="3" t="s">
        <v>608</v>
      </c>
      <c r="B184" s="3" t="s">
        <v>608</v>
      </c>
      <c r="C184" s="3" t="s">
        <v>608</v>
      </c>
      <c r="D184" s="3" t="s">
        <v>608</v>
      </c>
      <c r="E184" s="3" t="s">
        <v>608</v>
      </c>
      <c r="F184" s="3" t="s">
        <v>43</v>
      </c>
      <c r="G184" s="3" t="s">
        <v>1025</v>
      </c>
      <c r="H184">
        <v>-3850000</v>
      </c>
      <c r="I184" s="3" t="s">
        <v>44</v>
      </c>
      <c r="J184" s="3" t="s">
        <v>659</v>
      </c>
      <c r="K184">
        <v>1.2310000000000001</v>
      </c>
      <c r="L184" s="3" t="s">
        <v>45</v>
      </c>
      <c r="M184" s="3" t="s">
        <v>43</v>
      </c>
      <c r="N184" s="3" t="s">
        <v>43</v>
      </c>
      <c r="O184">
        <v>107.85</v>
      </c>
      <c r="P184">
        <v>108.08</v>
      </c>
      <c r="Q184">
        <v>-9061.85</v>
      </c>
      <c r="R184">
        <v>-4106.51</v>
      </c>
      <c r="S184">
        <v>-4157.3100000000004</v>
      </c>
      <c r="T184" s="3" t="s">
        <v>30</v>
      </c>
      <c r="U184">
        <v>106.37</v>
      </c>
      <c r="V184" s="3" t="s">
        <v>9</v>
      </c>
      <c r="W184" s="3" t="s">
        <v>31</v>
      </c>
      <c r="X184" s="3" t="s">
        <v>1328</v>
      </c>
      <c r="Y184" s="3" t="s">
        <v>1328</v>
      </c>
      <c r="Z184" s="3" t="s">
        <v>1852</v>
      </c>
      <c r="AA184" t="s">
        <v>1526</v>
      </c>
      <c r="AB184" s="3" t="s">
        <v>1765</v>
      </c>
      <c r="AC184" s="3" t="s">
        <v>640</v>
      </c>
      <c r="AD184" s="3" t="s">
        <v>640</v>
      </c>
    </row>
    <row r="185" spans="1:30" x14ac:dyDescent="0.35">
      <c r="A185" s="3" t="s">
        <v>608</v>
      </c>
      <c r="B185" s="3" t="s">
        <v>608</v>
      </c>
      <c r="C185" s="3" t="s">
        <v>608</v>
      </c>
      <c r="D185" s="3" t="s">
        <v>608</v>
      </c>
      <c r="E185" s="3" t="s">
        <v>608</v>
      </c>
      <c r="F185" s="3" t="s">
        <v>959</v>
      </c>
      <c r="G185" s="3" t="s">
        <v>1036</v>
      </c>
      <c r="H185">
        <v>-1000000</v>
      </c>
      <c r="I185" s="3" t="s">
        <v>960</v>
      </c>
      <c r="J185" s="3" t="s">
        <v>1184</v>
      </c>
      <c r="K185">
        <v>1.125</v>
      </c>
      <c r="L185" s="3" t="s">
        <v>961</v>
      </c>
      <c r="M185" s="3" t="s">
        <v>959</v>
      </c>
      <c r="N185" s="3" t="s">
        <v>959</v>
      </c>
      <c r="O185">
        <v>105.94</v>
      </c>
      <c r="P185">
        <v>106.13</v>
      </c>
      <c r="Q185">
        <v>-1950.82</v>
      </c>
      <c r="R185">
        <v>-967.95</v>
      </c>
      <c r="S185">
        <v>-979.93</v>
      </c>
      <c r="T185" s="3" t="s">
        <v>30</v>
      </c>
      <c r="U185">
        <v>105</v>
      </c>
      <c r="V185" s="3" t="s">
        <v>9</v>
      </c>
      <c r="W185" s="3" t="s">
        <v>31</v>
      </c>
      <c r="X185" s="3" t="s">
        <v>1328</v>
      </c>
      <c r="Y185" s="3" t="s">
        <v>1328</v>
      </c>
      <c r="Z185" s="3" t="s">
        <v>1853</v>
      </c>
      <c r="AA185" t="s">
        <v>1519</v>
      </c>
      <c r="AB185" s="3" t="s">
        <v>1765</v>
      </c>
      <c r="AC185" s="3" t="s">
        <v>640</v>
      </c>
      <c r="AD185" s="3" t="s">
        <v>640</v>
      </c>
    </row>
    <row r="186" spans="1:30" x14ac:dyDescent="0.35">
      <c r="A186" s="3" t="s">
        <v>608</v>
      </c>
      <c r="B186" s="3" t="s">
        <v>608</v>
      </c>
      <c r="C186" s="3" t="s">
        <v>608</v>
      </c>
      <c r="D186" s="3" t="s">
        <v>608</v>
      </c>
      <c r="E186" s="3" t="s">
        <v>608</v>
      </c>
      <c r="F186" s="3" t="s">
        <v>48</v>
      </c>
      <c r="G186" s="3" t="s">
        <v>1035</v>
      </c>
      <c r="H186">
        <v>-1600000</v>
      </c>
      <c r="I186" s="3" t="s">
        <v>49</v>
      </c>
      <c r="J186" s="3" t="s">
        <v>661</v>
      </c>
      <c r="K186">
        <v>0.625</v>
      </c>
      <c r="L186" s="3" t="s">
        <v>50</v>
      </c>
      <c r="M186" s="3" t="s">
        <v>48</v>
      </c>
      <c r="N186" s="3" t="s">
        <v>48</v>
      </c>
      <c r="O186">
        <v>102.96</v>
      </c>
      <c r="P186">
        <v>102.99</v>
      </c>
      <c r="Q186">
        <v>-475.4</v>
      </c>
      <c r="R186">
        <v>-628.46</v>
      </c>
      <c r="S186">
        <v>-635.11</v>
      </c>
      <c r="T186" s="3" t="s">
        <v>30</v>
      </c>
      <c r="U186">
        <v>103</v>
      </c>
      <c r="V186" s="3" t="s">
        <v>9</v>
      </c>
      <c r="W186" s="3" t="s">
        <v>31</v>
      </c>
      <c r="X186" s="3" t="s">
        <v>1328</v>
      </c>
      <c r="Y186" s="3" t="s">
        <v>1328</v>
      </c>
      <c r="Z186" s="3" t="s">
        <v>1654</v>
      </c>
      <c r="AA186" t="s">
        <v>1532</v>
      </c>
      <c r="AB186" s="3" t="s">
        <v>1765</v>
      </c>
      <c r="AC186" s="3" t="s">
        <v>640</v>
      </c>
      <c r="AD186" s="3" t="s">
        <v>640</v>
      </c>
    </row>
    <row r="187" spans="1:30" x14ac:dyDescent="0.35">
      <c r="A187" s="3" t="s">
        <v>608</v>
      </c>
      <c r="B187" s="3" t="s">
        <v>608</v>
      </c>
      <c r="C187" s="3" t="s">
        <v>608</v>
      </c>
      <c r="D187" s="3" t="s">
        <v>608</v>
      </c>
      <c r="E187" s="3" t="s">
        <v>608</v>
      </c>
      <c r="F187" s="3" t="s">
        <v>284</v>
      </c>
      <c r="G187" s="3" t="s">
        <v>1037</v>
      </c>
      <c r="H187">
        <v>16558000</v>
      </c>
      <c r="I187" s="3" t="s">
        <v>285</v>
      </c>
      <c r="J187" s="3" t="s">
        <v>749</v>
      </c>
      <c r="K187">
        <v>3</v>
      </c>
      <c r="L187" s="3" t="s">
        <v>282</v>
      </c>
      <c r="M187" s="3" t="s">
        <v>284</v>
      </c>
      <c r="N187" s="3" t="s">
        <v>284</v>
      </c>
      <c r="O187">
        <v>100.66</v>
      </c>
      <c r="P187">
        <v>100.67</v>
      </c>
      <c r="Q187">
        <v>2023.25</v>
      </c>
      <c r="R187">
        <v>657.08</v>
      </c>
      <c r="S187">
        <v>667.13</v>
      </c>
      <c r="T187" s="3" t="s">
        <v>30</v>
      </c>
      <c r="U187">
        <v>99.45</v>
      </c>
      <c r="V187" s="3" t="s">
        <v>256</v>
      </c>
      <c r="W187" s="3" t="s">
        <v>31</v>
      </c>
      <c r="X187" s="3" t="s">
        <v>1328</v>
      </c>
      <c r="Y187" s="3" t="s">
        <v>1328</v>
      </c>
      <c r="Z187" s="3" t="s">
        <v>1854</v>
      </c>
      <c r="AA187" t="s">
        <v>1534</v>
      </c>
      <c r="AB187" s="3" t="s">
        <v>1765</v>
      </c>
      <c r="AC187" s="3" t="s">
        <v>640</v>
      </c>
      <c r="AD187" s="3" t="s">
        <v>640</v>
      </c>
    </row>
    <row r="188" spans="1:30" x14ac:dyDescent="0.35">
      <c r="A188" s="3" t="s">
        <v>608</v>
      </c>
      <c r="B188" s="3" t="s">
        <v>608</v>
      </c>
      <c r="C188" s="3" t="s">
        <v>608</v>
      </c>
      <c r="D188" s="3" t="s">
        <v>608</v>
      </c>
      <c r="E188" s="3" t="s">
        <v>608</v>
      </c>
      <c r="F188" s="3" t="s">
        <v>280</v>
      </c>
      <c r="G188" s="3" t="s">
        <v>1404</v>
      </c>
      <c r="H188">
        <v>-9960000</v>
      </c>
      <c r="I188" s="3" t="s">
        <v>281</v>
      </c>
      <c r="J188" s="3" t="s">
        <v>748</v>
      </c>
      <c r="K188">
        <v>5.25</v>
      </c>
      <c r="L188" s="3" t="s">
        <v>282</v>
      </c>
      <c r="M188" s="3" t="s">
        <v>280</v>
      </c>
      <c r="N188" s="3" t="s">
        <v>280</v>
      </c>
      <c r="O188">
        <v>106.59</v>
      </c>
      <c r="P188">
        <v>106.74</v>
      </c>
      <c r="Q188">
        <v>-45923.92</v>
      </c>
      <c r="R188">
        <v>-4659.25</v>
      </c>
      <c r="S188">
        <v>-4731.2700000000004</v>
      </c>
      <c r="T188" s="3" t="s">
        <v>30</v>
      </c>
      <c r="U188">
        <v>107.02</v>
      </c>
      <c r="V188" s="3" t="s">
        <v>256</v>
      </c>
      <c r="W188" s="3" t="s">
        <v>31</v>
      </c>
      <c r="X188" s="3" t="s">
        <v>1328</v>
      </c>
      <c r="Y188" s="3" t="s">
        <v>1328</v>
      </c>
      <c r="Z188" s="3" t="s">
        <v>1855</v>
      </c>
      <c r="AA188" t="s">
        <v>1533</v>
      </c>
      <c r="AB188" s="3" t="s">
        <v>1766</v>
      </c>
      <c r="AC188" s="3" t="s">
        <v>640</v>
      </c>
      <c r="AD188" s="3" t="s">
        <v>640</v>
      </c>
    </row>
    <row r="189" spans="1:30" x14ac:dyDescent="0.35">
      <c r="A189" s="3" t="s">
        <v>608</v>
      </c>
      <c r="B189" s="3" t="s">
        <v>608</v>
      </c>
      <c r="C189" s="3" t="s">
        <v>608</v>
      </c>
      <c r="D189" s="3" t="s">
        <v>608</v>
      </c>
      <c r="E189" s="3" t="s">
        <v>608</v>
      </c>
      <c r="F189" s="3" t="s">
        <v>601</v>
      </c>
      <c r="G189" s="3" t="s">
        <v>1038</v>
      </c>
      <c r="H189">
        <v>-2916000</v>
      </c>
      <c r="I189" s="3" t="s">
        <v>599</v>
      </c>
      <c r="J189" s="3" t="s">
        <v>751</v>
      </c>
      <c r="K189">
        <v>4.875</v>
      </c>
      <c r="L189" s="3" t="s">
        <v>600</v>
      </c>
      <c r="M189" s="3" t="s">
        <v>601</v>
      </c>
      <c r="N189" s="3" t="s">
        <v>601</v>
      </c>
      <c r="O189">
        <v>100.74</v>
      </c>
      <c r="P189">
        <v>100.93</v>
      </c>
      <c r="Q189">
        <v>-5813.23</v>
      </c>
      <c r="R189">
        <v>-1202.54</v>
      </c>
      <c r="S189">
        <v>-1214.58</v>
      </c>
      <c r="T189" s="3" t="s">
        <v>30</v>
      </c>
      <c r="U189">
        <v>97</v>
      </c>
      <c r="V189" s="3" t="s">
        <v>256</v>
      </c>
      <c r="W189" s="3" t="s">
        <v>31</v>
      </c>
      <c r="X189" s="3" t="s">
        <v>1328</v>
      </c>
      <c r="Y189" s="3" t="s">
        <v>1328</v>
      </c>
      <c r="Z189" s="3" t="s">
        <v>1856</v>
      </c>
      <c r="AA189" t="s">
        <v>1536</v>
      </c>
      <c r="AB189" s="3" t="s">
        <v>1765</v>
      </c>
      <c r="AC189" s="3" t="s">
        <v>640</v>
      </c>
      <c r="AD189" s="3" t="s">
        <v>640</v>
      </c>
    </row>
    <row r="190" spans="1:30" x14ac:dyDescent="0.35">
      <c r="A190" s="3" t="s">
        <v>608</v>
      </c>
      <c r="B190" s="3" t="s">
        <v>608</v>
      </c>
      <c r="C190" s="3" t="s">
        <v>608</v>
      </c>
      <c r="D190" s="3" t="s">
        <v>608</v>
      </c>
      <c r="E190" s="3" t="s">
        <v>608</v>
      </c>
      <c r="F190" s="3" t="s">
        <v>1356</v>
      </c>
      <c r="G190" s="3" t="s">
        <v>1360</v>
      </c>
      <c r="H190">
        <v>250000</v>
      </c>
      <c r="I190" s="3" t="s">
        <v>1357</v>
      </c>
      <c r="J190" s="3" t="s">
        <v>1359</v>
      </c>
      <c r="K190">
        <v>6.375</v>
      </c>
      <c r="L190" s="3" t="s">
        <v>1358</v>
      </c>
      <c r="M190" s="3" t="s">
        <v>1356</v>
      </c>
      <c r="N190" s="3" t="s">
        <v>1356</v>
      </c>
      <c r="O190">
        <v>110.62</v>
      </c>
      <c r="P190">
        <v>110.65</v>
      </c>
      <c r="Q190">
        <v>-292.39999999999998</v>
      </c>
      <c r="R190">
        <v>113.24</v>
      </c>
      <c r="S190">
        <v>115.1</v>
      </c>
      <c r="T190" s="3" t="s">
        <v>30</v>
      </c>
      <c r="U190">
        <v>110.04</v>
      </c>
      <c r="V190" s="3" t="s">
        <v>563</v>
      </c>
      <c r="W190" s="3" t="s">
        <v>31</v>
      </c>
      <c r="X190" s="3" t="s">
        <v>1328</v>
      </c>
      <c r="Y190" s="3" t="s">
        <v>1328</v>
      </c>
      <c r="Z190" s="3" t="s">
        <v>1857</v>
      </c>
      <c r="AA190" t="s">
        <v>1525</v>
      </c>
      <c r="AB190" s="3" t="s">
        <v>1768</v>
      </c>
      <c r="AC190" s="3" t="s">
        <v>640</v>
      </c>
      <c r="AD190" s="3" t="s">
        <v>640</v>
      </c>
    </row>
    <row r="191" spans="1:30" x14ac:dyDescent="0.35">
      <c r="A191" s="3" t="s">
        <v>608</v>
      </c>
      <c r="B191" s="3" t="s">
        <v>608</v>
      </c>
      <c r="C191" s="3" t="s">
        <v>608</v>
      </c>
      <c r="D191" s="3" t="s">
        <v>608</v>
      </c>
      <c r="E191" s="3" t="s">
        <v>608</v>
      </c>
      <c r="F191" s="3" t="s">
        <v>286</v>
      </c>
      <c r="G191" s="3" t="s">
        <v>1040</v>
      </c>
      <c r="H191">
        <v>-1300000</v>
      </c>
      <c r="I191" s="3" t="s">
        <v>287</v>
      </c>
      <c r="J191" s="3" t="s">
        <v>752</v>
      </c>
      <c r="K191">
        <v>1.6</v>
      </c>
      <c r="L191" s="3" t="s">
        <v>288</v>
      </c>
      <c r="M191" s="3" t="s">
        <v>286</v>
      </c>
      <c r="N191" s="3" t="s">
        <v>286</v>
      </c>
      <c r="O191">
        <v>101.99</v>
      </c>
      <c r="P191">
        <v>102.09</v>
      </c>
      <c r="Q191">
        <v>-1291.99</v>
      </c>
      <c r="R191">
        <v>-1069.1500000000001</v>
      </c>
      <c r="S191">
        <v>-1081.5899999999999</v>
      </c>
      <c r="T191" s="3" t="s">
        <v>30</v>
      </c>
      <c r="U191">
        <v>100.97</v>
      </c>
      <c r="V191" s="3" t="s">
        <v>256</v>
      </c>
      <c r="W191" s="3" t="s">
        <v>31</v>
      </c>
      <c r="X191" s="3" t="s">
        <v>1328</v>
      </c>
      <c r="Y191" s="3" t="s">
        <v>1328</v>
      </c>
      <c r="Z191" s="3" t="s">
        <v>1858</v>
      </c>
      <c r="AA191" t="s">
        <v>1538</v>
      </c>
      <c r="AB191" s="3" t="s">
        <v>1765</v>
      </c>
      <c r="AC191" s="3" t="s">
        <v>640</v>
      </c>
      <c r="AD191" s="3" t="s">
        <v>640</v>
      </c>
    </row>
    <row r="192" spans="1:30" x14ac:dyDescent="0.35">
      <c r="A192" s="3" t="s">
        <v>608</v>
      </c>
      <c r="B192" s="3" t="s">
        <v>608</v>
      </c>
      <c r="C192" s="3" t="s">
        <v>608</v>
      </c>
      <c r="D192" s="3" t="s">
        <v>608</v>
      </c>
      <c r="E192" s="3" t="s">
        <v>608</v>
      </c>
      <c r="F192" s="3" t="s">
        <v>289</v>
      </c>
      <c r="G192" s="3" t="s">
        <v>1041</v>
      </c>
      <c r="H192">
        <v>-12600000</v>
      </c>
      <c r="I192" s="3" t="s">
        <v>290</v>
      </c>
      <c r="J192" s="3" t="s">
        <v>753</v>
      </c>
      <c r="K192">
        <v>1.25</v>
      </c>
      <c r="L192" s="3" t="s">
        <v>291</v>
      </c>
      <c r="M192" s="3" t="s">
        <v>289</v>
      </c>
      <c r="N192" s="3" t="s">
        <v>289</v>
      </c>
      <c r="O192">
        <v>101.55</v>
      </c>
      <c r="P192">
        <v>101.58</v>
      </c>
      <c r="Q192">
        <v>-4463.51</v>
      </c>
      <c r="R192">
        <v>-7755.08</v>
      </c>
      <c r="S192">
        <v>-7836.9</v>
      </c>
      <c r="T192" s="3" t="s">
        <v>30</v>
      </c>
      <c r="U192">
        <v>100.96</v>
      </c>
      <c r="V192" s="3" t="s">
        <v>256</v>
      </c>
      <c r="W192" s="3" t="s">
        <v>31</v>
      </c>
      <c r="X192" s="3" t="s">
        <v>1328</v>
      </c>
      <c r="Y192" s="3" t="s">
        <v>1328</v>
      </c>
      <c r="Z192" s="3" t="s">
        <v>1859</v>
      </c>
      <c r="AA192" t="s">
        <v>1539</v>
      </c>
      <c r="AB192" s="3" t="s">
        <v>1765</v>
      </c>
      <c r="AC192" s="3" t="s">
        <v>640</v>
      </c>
      <c r="AD192" s="3" t="s">
        <v>640</v>
      </c>
    </row>
    <row r="193" spans="1:30" x14ac:dyDescent="0.35">
      <c r="A193" s="3" t="s">
        <v>608</v>
      </c>
      <c r="B193" s="3" t="s">
        <v>608</v>
      </c>
      <c r="C193" s="3" t="s">
        <v>608</v>
      </c>
      <c r="D193" s="3" t="s">
        <v>608</v>
      </c>
      <c r="E193" s="3" t="s">
        <v>608</v>
      </c>
      <c r="F193" s="3" t="s">
        <v>301</v>
      </c>
      <c r="G193" s="3" t="s">
        <v>1045</v>
      </c>
      <c r="H193">
        <v>-700000</v>
      </c>
      <c r="I193" s="3" t="s">
        <v>302</v>
      </c>
      <c r="J193" s="3" t="s">
        <v>759</v>
      </c>
      <c r="K193">
        <v>5.375</v>
      </c>
      <c r="L193" s="3" t="s">
        <v>294</v>
      </c>
      <c r="M193" s="3" t="s">
        <v>301</v>
      </c>
      <c r="N193" s="3" t="s">
        <v>301</v>
      </c>
      <c r="O193">
        <v>113.71</v>
      </c>
      <c r="P193">
        <v>113.78</v>
      </c>
      <c r="Q193">
        <v>-811.72</v>
      </c>
      <c r="R193">
        <v>-304.12</v>
      </c>
      <c r="S193">
        <v>-307.18</v>
      </c>
      <c r="T193" s="3" t="s">
        <v>30</v>
      </c>
      <c r="U193">
        <v>110.2</v>
      </c>
      <c r="V193" s="3" t="s">
        <v>256</v>
      </c>
      <c r="W193" s="3" t="s">
        <v>31</v>
      </c>
      <c r="X193" s="3" t="s">
        <v>1328</v>
      </c>
      <c r="Y193" s="3" t="s">
        <v>1328</v>
      </c>
      <c r="Z193" s="3" t="s">
        <v>1860</v>
      </c>
      <c r="AA193" t="s">
        <v>1513</v>
      </c>
      <c r="AB193" s="3" t="s">
        <v>1765</v>
      </c>
      <c r="AC193" s="3" t="s">
        <v>640</v>
      </c>
      <c r="AD193" s="3" t="s">
        <v>640</v>
      </c>
    </row>
    <row r="194" spans="1:30" x14ac:dyDescent="0.35">
      <c r="A194" s="3" t="s">
        <v>608</v>
      </c>
      <c r="B194" s="3" t="s">
        <v>608</v>
      </c>
      <c r="C194" s="3" t="s">
        <v>608</v>
      </c>
      <c r="D194" s="3" t="s">
        <v>608</v>
      </c>
      <c r="E194" s="3" t="s">
        <v>608</v>
      </c>
      <c r="F194" s="3" t="s">
        <v>1221</v>
      </c>
      <c r="G194" s="3" t="s">
        <v>1046</v>
      </c>
      <c r="H194">
        <v>1200000</v>
      </c>
      <c r="I194" s="3" t="s">
        <v>1222</v>
      </c>
      <c r="J194" s="3" t="s">
        <v>1223</v>
      </c>
      <c r="K194">
        <v>5</v>
      </c>
      <c r="L194" s="3" t="s">
        <v>294</v>
      </c>
      <c r="M194" s="3" t="s">
        <v>1221</v>
      </c>
      <c r="N194" s="3" t="s">
        <v>1221</v>
      </c>
      <c r="O194">
        <v>113.63</v>
      </c>
      <c r="P194">
        <v>113.82</v>
      </c>
      <c r="Q194">
        <v>2327.63</v>
      </c>
      <c r="R194">
        <v>631.63</v>
      </c>
      <c r="S194">
        <v>638.07000000000005</v>
      </c>
      <c r="T194" s="3" t="s">
        <v>30</v>
      </c>
      <c r="U194">
        <v>111.22</v>
      </c>
      <c r="V194" s="3" t="s">
        <v>256</v>
      </c>
      <c r="W194" s="3" t="s">
        <v>31</v>
      </c>
      <c r="X194" s="3" t="s">
        <v>1328</v>
      </c>
      <c r="Y194" s="3" t="s">
        <v>1328</v>
      </c>
      <c r="Z194" s="3" t="s">
        <v>1861</v>
      </c>
      <c r="AA194" t="s">
        <v>1685</v>
      </c>
      <c r="AB194" s="3" t="s">
        <v>1765</v>
      </c>
      <c r="AC194" s="3" t="s">
        <v>640</v>
      </c>
      <c r="AD194" s="3" t="s">
        <v>640</v>
      </c>
    </row>
    <row r="195" spans="1:30" x14ac:dyDescent="0.35">
      <c r="A195" s="3" t="s">
        <v>608</v>
      </c>
      <c r="B195" s="3" t="s">
        <v>608</v>
      </c>
      <c r="C195" s="3" t="s">
        <v>608</v>
      </c>
      <c r="D195" s="3" t="s">
        <v>608</v>
      </c>
      <c r="E195" s="3" t="s">
        <v>608</v>
      </c>
      <c r="F195" s="3" t="s">
        <v>948</v>
      </c>
      <c r="G195" s="3" t="s">
        <v>1047</v>
      </c>
      <c r="H195">
        <v>3100000</v>
      </c>
      <c r="I195" s="3" t="s">
        <v>949</v>
      </c>
      <c r="J195" s="3" t="s">
        <v>950</v>
      </c>
      <c r="K195">
        <v>5.25</v>
      </c>
      <c r="L195" s="3" t="s">
        <v>294</v>
      </c>
      <c r="M195" s="3" t="s">
        <v>948</v>
      </c>
      <c r="N195" s="3" t="s">
        <v>948</v>
      </c>
      <c r="O195">
        <v>105.51</v>
      </c>
      <c r="P195">
        <v>105.53</v>
      </c>
      <c r="Q195">
        <v>-2701.03</v>
      </c>
      <c r="R195">
        <v>573.25</v>
      </c>
      <c r="S195">
        <v>582.75</v>
      </c>
      <c r="T195" s="3" t="s">
        <v>30</v>
      </c>
      <c r="U195">
        <v>105.34</v>
      </c>
      <c r="V195" s="3" t="s">
        <v>256</v>
      </c>
      <c r="W195" s="3" t="s">
        <v>31</v>
      </c>
      <c r="X195" s="3" t="s">
        <v>1747</v>
      </c>
      <c r="Y195" s="3" t="s">
        <v>1748</v>
      </c>
      <c r="Z195" s="3" t="s">
        <v>1862</v>
      </c>
      <c r="AA195" t="s">
        <v>1636</v>
      </c>
      <c r="AB195" s="3" t="s">
        <v>1768</v>
      </c>
      <c r="AC195" s="3" t="s">
        <v>640</v>
      </c>
      <c r="AD195" s="3" t="s">
        <v>640</v>
      </c>
    </row>
    <row r="196" spans="1:30" x14ac:dyDescent="0.35">
      <c r="A196" s="3" t="s">
        <v>608</v>
      </c>
      <c r="B196" s="3" t="s">
        <v>608</v>
      </c>
      <c r="C196" s="3" t="s">
        <v>608</v>
      </c>
      <c r="D196" s="3" t="s">
        <v>608</v>
      </c>
      <c r="E196" s="3" t="s">
        <v>608</v>
      </c>
      <c r="F196" s="3" t="s">
        <v>1243</v>
      </c>
      <c r="G196" s="3" t="s">
        <v>1047</v>
      </c>
      <c r="H196">
        <v>-1475000</v>
      </c>
      <c r="I196" s="3" t="s">
        <v>1244</v>
      </c>
      <c r="J196" s="3" t="s">
        <v>1245</v>
      </c>
      <c r="K196">
        <v>5.625</v>
      </c>
      <c r="L196" s="3" t="s">
        <v>294</v>
      </c>
      <c r="M196" s="3" t="s">
        <v>1243</v>
      </c>
      <c r="N196" s="3" t="s">
        <v>1243</v>
      </c>
      <c r="O196">
        <v>107.43</v>
      </c>
      <c r="P196">
        <v>107.52</v>
      </c>
      <c r="Q196">
        <v>-294.17</v>
      </c>
      <c r="R196">
        <v>-390.1</v>
      </c>
      <c r="S196">
        <v>-396.22</v>
      </c>
      <c r="T196" s="3" t="s">
        <v>30</v>
      </c>
      <c r="U196">
        <v>106.63</v>
      </c>
      <c r="V196" s="3" t="s">
        <v>256</v>
      </c>
      <c r="W196" s="3" t="s">
        <v>31</v>
      </c>
      <c r="X196" s="3" t="s">
        <v>1726</v>
      </c>
      <c r="Y196" s="3" t="s">
        <v>1727</v>
      </c>
      <c r="Z196" s="3" t="s">
        <v>1863</v>
      </c>
      <c r="AA196" t="s">
        <v>1686</v>
      </c>
      <c r="AB196" s="3" t="s">
        <v>1768</v>
      </c>
      <c r="AC196" s="3" t="s">
        <v>640</v>
      </c>
      <c r="AD196" s="3" t="s">
        <v>640</v>
      </c>
    </row>
    <row r="197" spans="1:30" x14ac:dyDescent="0.35">
      <c r="A197" s="3" t="s">
        <v>608</v>
      </c>
      <c r="B197" s="3" t="s">
        <v>608</v>
      </c>
      <c r="C197" s="3" t="s">
        <v>608</v>
      </c>
      <c r="D197" s="3" t="s">
        <v>608</v>
      </c>
      <c r="E197" s="3" t="s">
        <v>608</v>
      </c>
      <c r="F197" s="3" t="s">
        <v>292</v>
      </c>
      <c r="G197" s="3" t="s">
        <v>1044</v>
      </c>
      <c r="H197">
        <v>4200000</v>
      </c>
      <c r="I197" s="3" t="s">
        <v>293</v>
      </c>
      <c r="J197" s="3" t="s">
        <v>754</v>
      </c>
      <c r="K197">
        <v>3.375</v>
      </c>
      <c r="L197" s="3" t="s">
        <v>294</v>
      </c>
      <c r="M197" s="3" t="s">
        <v>292</v>
      </c>
      <c r="N197" s="3" t="s">
        <v>292</v>
      </c>
      <c r="O197">
        <v>101.75</v>
      </c>
      <c r="P197">
        <v>104.74</v>
      </c>
      <c r="Q197">
        <v>4620</v>
      </c>
      <c r="R197">
        <v>3580.72</v>
      </c>
      <c r="S197">
        <v>3623.37</v>
      </c>
      <c r="T197" s="3" t="s">
        <v>30</v>
      </c>
      <c r="U197">
        <v>104.63</v>
      </c>
      <c r="V197" s="3" t="s">
        <v>256</v>
      </c>
      <c r="W197" s="3" t="s">
        <v>31</v>
      </c>
      <c r="X197" s="3" t="s">
        <v>1328</v>
      </c>
      <c r="Y197" s="3" t="s">
        <v>1328</v>
      </c>
      <c r="Z197" s="3" t="s">
        <v>1864</v>
      </c>
      <c r="AA197" t="s">
        <v>1616</v>
      </c>
      <c r="AB197" s="3" t="s">
        <v>1765</v>
      </c>
      <c r="AC197" s="3" t="s">
        <v>640</v>
      </c>
      <c r="AD197" s="3" t="s">
        <v>640</v>
      </c>
    </row>
    <row r="198" spans="1:30" x14ac:dyDescent="0.35">
      <c r="A198" s="3" t="s">
        <v>608</v>
      </c>
      <c r="B198" s="3" t="s">
        <v>608</v>
      </c>
      <c r="C198" s="3" t="s">
        <v>608</v>
      </c>
      <c r="D198" s="3" t="s">
        <v>608</v>
      </c>
      <c r="E198" s="3" t="s">
        <v>608</v>
      </c>
      <c r="F198" s="3" t="s">
        <v>297</v>
      </c>
      <c r="G198" s="3" t="s">
        <v>1044</v>
      </c>
      <c r="H198">
        <v>-4200000</v>
      </c>
      <c r="I198" s="3" t="s">
        <v>298</v>
      </c>
      <c r="J198" s="3" t="s">
        <v>757</v>
      </c>
      <c r="K198">
        <v>2.875</v>
      </c>
      <c r="L198" s="3" t="s">
        <v>294</v>
      </c>
      <c r="M198" s="3" t="s">
        <v>297</v>
      </c>
      <c r="N198" s="3" t="s">
        <v>297</v>
      </c>
      <c r="O198">
        <v>103.5</v>
      </c>
      <c r="P198">
        <v>103.68</v>
      </c>
      <c r="Q198">
        <v>10482</v>
      </c>
      <c r="R198">
        <v>-2411.89</v>
      </c>
      <c r="S198">
        <v>-2436.9</v>
      </c>
      <c r="T198" s="3" t="s">
        <v>30</v>
      </c>
      <c r="U198">
        <v>103.75</v>
      </c>
      <c r="V198" s="3" t="s">
        <v>256</v>
      </c>
      <c r="W198" s="3" t="s">
        <v>31</v>
      </c>
      <c r="X198" s="3" t="s">
        <v>1770</v>
      </c>
      <c r="Y198" s="3" t="s">
        <v>1770</v>
      </c>
      <c r="Z198" s="3" t="s">
        <v>1865</v>
      </c>
      <c r="AA198" t="s">
        <v>1515</v>
      </c>
      <c r="AB198" s="3" t="s">
        <v>1765</v>
      </c>
      <c r="AC198" s="3" t="s">
        <v>640</v>
      </c>
      <c r="AD198" s="3" t="s">
        <v>640</v>
      </c>
    </row>
    <row r="199" spans="1:30" x14ac:dyDescent="0.35">
      <c r="A199" s="3" t="s">
        <v>608</v>
      </c>
      <c r="B199" s="3" t="s">
        <v>608</v>
      </c>
      <c r="C199" s="3" t="s">
        <v>608</v>
      </c>
      <c r="D199" s="3" t="s">
        <v>608</v>
      </c>
      <c r="E199" s="3" t="s">
        <v>608</v>
      </c>
      <c r="F199" s="3" t="s">
        <v>307</v>
      </c>
      <c r="G199" s="3" t="s">
        <v>1059</v>
      </c>
      <c r="H199">
        <v>2400000</v>
      </c>
      <c r="I199" s="3" t="s">
        <v>308</v>
      </c>
      <c r="J199" s="3" t="s">
        <v>762</v>
      </c>
      <c r="K199">
        <v>4.4960000000000004</v>
      </c>
      <c r="L199" s="3" t="s">
        <v>53</v>
      </c>
      <c r="M199" s="3" t="s">
        <v>307</v>
      </c>
      <c r="N199" s="3" t="s">
        <v>307</v>
      </c>
      <c r="O199">
        <v>109.77</v>
      </c>
      <c r="P199">
        <v>109.78</v>
      </c>
      <c r="Q199">
        <v>631.63</v>
      </c>
      <c r="R199">
        <v>794.42</v>
      </c>
      <c r="S199">
        <v>802.12</v>
      </c>
      <c r="T199" s="3" t="s">
        <v>30</v>
      </c>
      <c r="U199">
        <v>109.29</v>
      </c>
      <c r="V199" s="3" t="s">
        <v>256</v>
      </c>
      <c r="W199" s="3" t="s">
        <v>31</v>
      </c>
      <c r="X199" s="3" t="s">
        <v>1328</v>
      </c>
      <c r="Y199" s="3" t="s">
        <v>1328</v>
      </c>
      <c r="Z199" s="3" t="s">
        <v>1866</v>
      </c>
      <c r="AA199" t="s">
        <v>1558</v>
      </c>
      <c r="AB199" s="3" t="s">
        <v>1765</v>
      </c>
      <c r="AC199" s="3" t="s">
        <v>640</v>
      </c>
      <c r="AD199" s="3" t="s">
        <v>640</v>
      </c>
    </row>
    <row r="200" spans="1:30" x14ac:dyDescent="0.35">
      <c r="A200" s="3" t="s">
        <v>608</v>
      </c>
      <c r="B200" s="3" t="s">
        <v>608</v>
      </c>
      <c r="C200" s="3" t="s">
        <v>608</v>
      </c>
      <c r="D200" s="3" t="s">
        <v>608</v>
      </c>
      <c r="E200" s="3" t="s">
        <v>608</v>
      </c>
      <c r="F200" s="3" t="s">
        <v>305</v>
      </c>
      <c r="G200" s="3" t="s">
        <v>1060</v>
      </c>
      <c r="H200">
        <v>800000</v>
      </c>
      <c r="I200" s="3" t="s">
        <v>306</v>
      </c>
      <c r="J200" s="3" t="s">
        <v>761</v>
      </c>
      <c r="K200">
        <v>1.7</v>
      </c>
      <c r="L200" s="3" t="s">
        <v>53</v>
      </c>
      <c r="M200" s="3" t="s">
        <v>305</v>
      </c>
      <c r="N200" s="3" t="s">
        <v>305</v>
      </c>
      <c r="O200">
        <v>99.22</v>
      </c>
      <c r="P200">
        <v>99.3</v>
      </c>
      <c r="Q200">
        <v>998.58</v>
      </c>
      <c r="R200">
        <v>334.73</v>
      </c>
      <c r="S200">
        <v>338.28</v>
      </c>
      <c r="T200" s="3" t="s">
        <v>30</v>
      </c>
      <c r="U200">
        <v>97.96</v>
      </c>
      <c r="V200" s="3" t="s">
        <v>256</v>
      </c>
      <c r="W200" s="3" t="s">
        <v>31</v>
      </c>
      <c r="X200" s="3" t="s">
        <v>1775</v>
      </c>
      <c r="Y200" s="3" t="s">
        <v>1775</v>
      </c>
      <c r="Z200" s="3" t="s">
        <v>1867</v>
      </c>
      <c r="AA200" t="s">
        <v>1517</v>
      </c>
      <c r="AB200" s="3" t="s">
        <v>1765</v>
      </c>
      <c r="AC200" s="3" t="s">
        <v>640</v>
      </c>
      <c r="AD200" s="3" t="s">
        <v>640</v>
      </c>
    </row>
    <row r="201" spans="1:30" x14ac:dyDescent="0.35">
      <c r="A201" s="3" t="s">
        <v>608</v>
      </c>
      <c r="B201" s="3" t="s">
        <v>608</v>
      </c>
      <c r="C201" s="3" t="s">
        <v>608</v>
      </c>
      <c r="D201" s="3" t="s">
        <v>608</v>
      </c>
      <c r="E201" s="3" t="s">
        <v>608</v>
      </c>
      <c r="F201" s="3" t="s">
        <v>51</v>
      </c>
      <c r="G201" s="3" t="s">
        <v>1043</v>
      </c>
      <c r="H201">
        <v>6369000</v>
      </c>
      <c r="I201" s="3" t="s">
        <v>52</v>
      </c>
      <c r="J201" s="3" t="s">
        <v>662</v>
      </c>
      <c r="K201">
        <v>2</v>
      </c>
      <c r="L201" s="3" t="s">
        <v>53</v>
      </c>
      <c r="M201" s="3" t="s">
        <v>51</v>
      </c>
      <c r="N201" s="3" t="s">
        <v>51</v>
      </c>
      <c r="O201">
        <v>109.37</v>
      </c>
      <c r="P201">
        <v>109.4</v>
      </c>
      <c r="Q201">
        <v>2068.62</v>
      </c>
      <c r="R201">
        <v>2989.57</v>
      </c>
      <c r="S201">
        <v>3019.43</v>
      </c>
      <c r="T201" s="3" t="s">
        <v>30</v>
      </c>
      <c r="U201">
        <v>108.79</v>
      </c>
      <c r="V201" s="3" t="s">
        <v>9</v>
      </c>
      <c r="W201" s="3" t="s">
        <v>31</v>
      </c>
      <c r="X201" s="3" t="s">
        <v>1328</v>
      </c>
      <c r="Y201" s="3" t="s">
        <v>1328</v>
      </c>
      <c r="Z201" s="3" t="s">
        <v>1868</v>
      </c>
      <c r="AA201" t="s">
        <v>1540</v>
      </c>
      <c r="AB201" s="3" t="s">
        <v>1765</v>
      </c>
      <c r="AC201" s="3" t="s">
        <v>640</v>
      </c>
      <c r="AD201" s="3" t="s">
        <v>640</v>
      </c>
    </row>
    <row r="202" spans="1:30" x14ac:dyDescent="0.35">
      <c r="A202" s="3" t="s">
        <v>608</v>
      </c>
      <c r="B202" s="3" t="s">
        <v>608</v>
      </c>
      <c r="C202" s="3" t="s">
        <v>608</v>
      </c>
      <c r="D202" s="3" t="s">
        <v>608</v>
      </c>
      <c r="E202" s="3" t="s">
        <v>608</v>
      </c>
      <c r="F202" s="3" t="s">
        <v>665</v>
      </c>
      <c r="G202" s="3" t="s">
        <v>1048</v>
      </c>
      <c r="H202">
        <v>-2200000</v>
      </c>
      <c r="I202" s="3" t="s">
        <v>666</v>
      </c>
      <c r="J202" s="3" t="s">
        <v>667</v>
      </c>
      <c r="K202">
        <v>0.875</v>
      </c>
      <c r="L202" s="3" t="s">
        <v>60</v>
      </c>
      <c r="M202" s="3" t="s">
        <v>665</v>
      </c>
      <c r="N202" s="3" t="s">
        <v>665</v>
      </c>
      <c r="O202">
        <v>105.59</v>
      </c>
      <c r="P202">
        <v>105.77</v>
      </c>
      <c r="Q202">
        <v>-4713.92</v>
      </c>
      <c r="R202">
        <v>-2115.13</v>
      </c>
      <c r="S202">
        <v>-2141.37</v>
      </c>
      <c r="T202" s="3" t="s">
        <v>30</v>
      </c>
      <c r="U202">
        <v>105.64</v>
      </c>
      <c r="V202" s="3" t="s">
        <v>9</v>
      </c>
      <c r="W202" s="3" t="s">
        <v>31</v>
      </c>
      <c r="X202" s="3" t="s">
        <v>1776</v>
      </c>
      <c r="Y202" s="3" t="s">
        <v>1776</v>
      </c>
      <c r="Z202" s="3" t="s">
        <v>1869</v>
      </c>
      <c r="AA202" t="s">
        <v>1546</v>
      </c>
      <c r="AB202" s="3" t="s">
        <v>1765</v>
      </c>
      <c r="AC202" s="3" t="s">
        <v>640</v>
      </c>
      <c r="AD202" s="3" t="s">
        <v>640</v>
      </c>
    </row>
    <row r="203" spans="1:30" x14ac:dyDescent="0.35">
      <c r="A203" s="3" t="s">
        <v>608</v>
      </c>
      <c r="B203" s="3" t="s">
        <v>608</v>
      </c>
      <c r="C203" s="3" t="s">
        <v>608</v>
      </c>
      <c r="D203" s="3" t="s">
        <v>608</v>
      </c>
      <c r="E203" s="3" t="s">
        <v>608</v>
      </c>
      <c r="F203" s="3" t="s">
        <v>58</v>
      </c>
      <c r="G203" s="3" t="s">
        <v>1049</v>
      </c>
      <c r="H203">
        <v>2000000</v>
      </c>
      <c r="I203" s="3" t="s">
        <v>59</v>
      </c>
      <c r="J203" s="3" t="s">
        <v>668</v>
      </c>
      <c r="K203">
        <v>3</v>
      </c>
      <c r="L203" s="3" t="s">
        <v>60</v>
      </c>
      <c r="M203" s="3" t="s">
        <v>58</v>
      </c>
      <c r="N203" s="3" t="s">
        <v>58</v>
      </c>
      <c r="O203">
        <v>123.37</v>
      </c>
      <c r="P203">
        <v>123.51</v>
      </c>
      <c r="Q203">
        <v>2844.38</v>
      </c>
      <c r="R203">
        <v>1883.08</v>
      </c>
      <c r="S203">
        <v>1905.5</v>
      </c>
      <c r="T203" s="3" t="s">
        <v>30</v>
      </c>
      <c r="U203">
        <v>123.01</v>
      </c>
      <c r="V203" s="3" t="s">
        <v>9</v>
      </c>
      <c r="W203" s="3" t="s">
        <v>31</v>
      </c>
      <c r="X203" s="3" t="s">
        <v>1328</v>
      </c>
      <c r="Y203" s="3" t="s">
        <v>1328</v>
      </c>
      <c r="Z203" s="3" t="s">
        <v>1870</v>
      </c>
      <c r="AA203" t="s">
        <v>1535</v>
      </c>
      <c r="AB203" s="3" t="s">
        <v>1765</v>
      </c>
      <c r="AC203" s="3" t="s">
        <v>640</v>
      </c>
      <c r="AD203" s="3" t="s">
        <v>640</v>
      </c>
    </row>
    <row r="204" spans="1:30" x14ac:dyDescent="0.35">
      <c r="A204" s="3" t="s">
        <v>608</v>
      </c>
      <c r="B204" s="3" t="s">
        <v>608</v>
      </c>
      <c r="C204" s="3" t="s">
        <v>608</v>
      </c>
      <c r="D204" s="3" t="s">
        <v>608</v>
      </c>
      <c r="E204" s="3" t="s">
        <v>608</v>
      </c>
      <c r="F204" s="3" t="s">
        <v>311</v>
      </c>
      <c r="G204" s="3" t="s">
        <v>1053</v>
      </c>
      <c r="H204">
        <v>850000</v>
      </c>
      <c r="I204" s="3" t="s">
        <v>312</v>
      </c>
      <c r="J204" s="3" t="s">
        <v>764</v>
      </c>
      <c r="K204">
        <v>5.125</v>
      </c>
      <c r="L204" s="3" t="s">
        <v>63</v>
      </c>
      <c r="M204" s="3" t="s">
        <v>311</v>
      </c>
      <c r="N204" s="3" t="s">
        <v>311</v>
      </c>
      <c r="O204">
        <v>104.52</v>
      </c>
      <c r="P204">
        <v>104.51</v>
      </c>
      <c r="Q204">
        <v>-1230.23</v>
      </c>
      <c r="R204">
        <v>83.41</v>
      </c>
      <c r="S204">
        <v>84.83</v>
      </c>
      <c r="T204" s="3" t="s">
        <v>30</v>
      </c>
      <c r="U204">
        <v>104.01</v>
      </c>
      <c r="V204" s="3" t="s">
        <v>256</v>
      </c>
      <c r="W204" s="3" t="s">
        <v>31</v>
      </c>
      <c r="X204" s="3" t="s">
        <v>1328</v>
      </c>
      <c r="Y204" s="3" t="s">
        <v>1328</v>
      </c>
      <c r="Z204" s="3" t="s">
        <v>1871</v>
      </c>
      <c r="AA204" t="s">
        <v>1551</v>
      </c>
      <c r="AB204" s="3" t="s">
        <v>1768</v>
      </c>
      <c r="AC204" s="3" t="s">
        <v>640</v>
      </c>
      <c r="AD204" s="3" t="s">
        <v>640</v>
      </c>
    </row>
    <row r="205" spans="1:30" x14ac:dyDescent="0.35">
      <c r="A205" s="3" t="s">
        <v>608</v>
      </c>
      <c r="B205" s="3" t="s">
        <v>608</v>
      </c>
      <c r="C205" s="3" t="s">
        <v>608</v>
      </c>
      <c r="D205" s="3" t="s">
        <v>608</v>
      </c>
      <c r="E205" s="3" t="s">
        <v>608</v>
      </c>
      <c r="F205" s="3" t="s">
        <v>313</v>
      </c>
      <c r="G205" s="3" t="s">
        <v>1052</v>
      </c>
      <c r="H205">
        <v>1004000</v>
      </c>
      <c r="I205" s="3" t="s">
        <v>314</v>
      </c>
      <c r="J205" s="3" t="s">
        <v>765</v>
      </c>
      <c r="K205">
        <v>3.625</v>
      </c>
      <c r="L205" s="3" t="s">
        <v>63</v>
      </c>
      <c r="M205" s="3" t="s">
        <v>313</v>
      </c>
      <c r="N205" s="3" t="s">
        <v>313</v>
      </c>
      <c r="O205">
        <v>101.25</v>
      </c>
      <c r="P205">
        <v>101.21</v>
      </c>
      <c r="Q205">
        <v>-231.61</v>
      </c>
      <c r="R205">
        <v>38.11</v>
      </c>
      <c r="S205">
        <v>38.36</v>
      </c>
      <c r="T205" s="3" t="s">
        <v>30</v>
      </c>
      <c r="U205">
        <v>101.02</v>
      </c>
      <c r="V205" s="3" t="s">
        <v>256</v>
      </c>
      <c r="W205" s="3" t="s">
        <v>31</v>
      </c>
      <c r="X205" s="3" t="s">
        <v>1328</v>
      </c>
      <c r="Y205" s="3" t="s">
        <v>1328</v>
      </c>
      <c r="Z205" s="3" t="s">
        <v>1872</v>
      </c>
      <c r="AA205" t="s">
        <v>1550</v>
      </c>
      <c r="AB205" s="3" t="s">
        <v>1765</v>
      </c>
      <c r="AC205" s="3" t="s">
        <v>640</v>
      </c>
      <c r="AD205" s="3" t="s">
        <v>640</v>
      </c>
    </row>
    <row r="206" spans="1:30" x14ac:dyDescent="0.35">
      <c r="A206" s="3" t="s">
        <v>608</v>
      </c>
      <c r="B206" s="3" t="s">
        <v>608</v>
      </c>
      <c r="C206" s="3" t="s">
        <v>608</v>
      </c>
      <c r="D206" s="3" t="s">
        <v>608</v>
      </c>
      <c r="E206" s="3" t="s">
        <v>608</v>
      </c>
      <c r="F206" s="3" t="s">
        <v>64</v>
      </c>
      <c r="G206" s="3" t="s">
        <v>1054</v>
      </c>
      <c r="H206">
        <v>11000000</v>
      </c>
      <c r="I206" s="3" t="s">
        <v>65</v>
      </c>
      <c r="J206" s="3" t="s">
        <v>670</v>
      </c>
      <c r="K206">
        <v>0.25</v>
      </c>
      <c r="L206" s="3" t="s">
        <v>63</v>
      </c>
      <c r="M206" s="3" t="s">
        <v>64</v>
      </c>
      <c r="N206" s="3" t="s">
        <v>64</v>
      </c>
      <c r="O206">
        <v>101.41</v>
      </c>
      <c r="P206">
        <v>101.67</v>
      </c>
      <c r="Q206">
        <v>28015.34</v>
      </c>
      <c r="R206">
        <v>10958.42</v>
      </c>
      <c r="S206">
        <v>11101.91</v>
      </c>
      <c r="T206" s="3" t="s">
        <v>30</v>
      </c>
      <c r="U206">
        <v>100.85</v>
      </c>
      <c r="V206" s="3" t="s">
        <v>9</v>
      </c>
      <c r="W206" s="3" t="s">
        <v>31</v>
      </c>
      <c r="X206" s="3" t="s">
        <v>1328</v>
      </c>
      <c r="Y206" s="3" t="s">
        <v>1328</v>
      </c>
      <c r="Z206" s="3" t="s">
        <v>1873</v>
      </c>
      <c r="AA206" t="s">
        <v>1552</v>
      </c>
      <c r="AB206" s="3" t="s">
        <v>1765</v>
      </c>
      <c r="AC206" s="3" t="s">
        <v>640</v>
      </c>
      <c r="AD206" s="3" t="s">
        <v>640</v>
      </c>
    </row>
    <row r="207" spans="1:30" x14ac:dyDescent="0.35">
      <c r="A207" s="3" t="s">
        <v>608</v>
      </c>
      <c r="B207" s="3" t="s">
        <v>608</v>
      </c>
      <c r="C207" s="3" t="s">
        <v>608</v>
      </c>
      <c r="D207" s="3" t="s">
        <v>608</v>
      </c>
      <c r="E207" s="3" t="s">
        <v>608</v>
      </c>
      <c r="F207" s="3" t="s">
        <v>66</v>
      </c>
      <c r="G207" s="3" t="s">
        <v>1055</v>
      </c>
      <c r="H207">
        <v>-1200000</v>
      </c>
      <c r="I207" s="3" t="s">
        <v>67</v>
      </c>
      <c r="J207" s="3" t="s">
        <v>671</v>
      </c>
      <c r="K207">
        <v>5</v>
      </c>
      <c r="L207" s="3" t="s">
        <v>68</v>
      </c>
      <c r="M207" s="3" t="s">
        <v>66</v>
      </c>
      <c r="N207" s="3" t="s">
        <v>66</v>
      </c>
      <c r="O207">
        <v>103.48</v>
      </c>
      <c r="P207">
        <v>103.46</v>
      </c>
      <c r="Q207">
        <v>-8.3800000000000008</v>
      </c>
      <c r="R207">
        <v>-81.5</v>
      </c>
      <c r="S207">
        <v>-82.33</v>
      </c>
      <c r="T207" s="3" t="s">
        <v>30</v>
      </c>
      <c r="U207">
        <v>105.23</v>
      </c>
      <c r="V207" s="3" t="s">
        <v>9</v>
      </c>
      <c r="W207" s="3" t="s">
        <v>31</v>
      </c>
      <c r="X207" s="3" t="s">
        <v>1328</v>
      </c>
      <c r="Y207" s="3" t="s">
        <v>1328</v>
      </c>
      <c r="Z207" s="3" t="s">
        <v>1874</v>
      </c>
      <c r="AA207" t="s">
        <v>1553</v>
      </c>
      <c r="AB207" s="3" t="s">
        <v>1765</v>
      </c>
      <c r="AC207" s="3" t="s">
        <v>640</v>
      </c>
      <c r="AD207" s="3" t="s">
        <v>640</v>
      </c>
    </row>
    <row r="208" spans="1:30" x14ac:dyDescent="0.35">
      <c r="A208" s="3" t="s">
        <v>608</v>
      </c>
      <c r="B208" s="3" t="s">
        <v>608</v>
      </c>
      <c r="C208" s="3" t="s">
        <v>608</v>
      </c>
      <c r="D208" s="3" t="s">
        <v>608</v>
      </c>
      <c r="E208" s="3" t="s">
        <v>608</v>
      </c>
      <c r="F208" s="3" t="s">
        <v>319</v>
      </c>
      <c r="G208" s="3" t="s">
        <v>1057</v>
      </c>
      <c r="H208">
        <v>5394000</v>
      </c>
      <c r="I208" s="3" t="s">
        <v>320</v>
      </c>
      <c r="J208" s="3" t="s">
        <v>768</v>
      </c>
      <c r="K208">
        <v>6.625</v>
      </c>
      <c r="L208" s="3" t="s">
        <v>68</v>
      </c>
      <c r="M208" s="3" t="s">
        <v>319</v>
      </c>
      <c r="N208" s="3" t="s">
        <v>319</v>
      </c>
      <c r="O208">
        <v>104.36</v>
      </c>
      <c r="P208">
        <v>104.36</v>
      </c>
      <c r="Q208">
        <v>16125.8</v>
      </c>
      <c r="R208">
        <v>517.22</v>
      </c>
      <c r="S208">
        <v>523.49</v>
      </c>
      <c r="T208" s="3" t="s">
        <v>30</v>
      </c>
      <c r="U208">
        <v>104.28</v>
      </c>
      <c r="V208" s="3" t="s">
        <v>256</v>
      </c>
      <c r="W208" s="3" t="s">
        <v>31</v>
      </c>
      <c r="X208" s="3" t="s">
        <v>1328</v>
      </c>
      <c r="Y208" s="3" t="s">
        <v>1328</v>
      </c>
      <c r="Z208" s="3" t="s">
        <v>1875</v>
      </c>
      <c r="AA208" t="s">
        <v>1555</v>
      </c>
      <c r="AB208" s="3" t="s">
        <v>1766</v>
      </c>
      <c r="AC208" s="3" t="s">
        <v>640</v>
      </c>
      <c r="AD208" s="3" t="s">
        <v>640</v>
      </c>
    </row>
    <row r="209" spans="1:30" x14ac:dyDescent="0.35">
      <c r="A209" s="3" t="s">
        <v>608</v>
      </c>
      <c r="B209" s="3" t="s">
        <v>608</v>
      </c>
      <c r="C209" s="3" t="s">
        <v>608</v>
      </c>
      <c r="D209" s="3" t="s">
        <v>608</v>
      </c>
      <c r="E209" s="3" t="s">
        <v>608</v>
      </c>
      <c r="F209" s="3" t="s">
        <v>929</v>
      </c>
      <c r="G209" s="3" t="s">
        <v>1058</v>
      </c>
      <c r="H209">
        <v>-1100000</v>
      </c>
      <c r="I209" s="3" t="s">
        <v>930</v>
      </c>
      <c r="J209" s="3" t="s">
        <v>931</v>
      </c>
      <c r="K209">
        <v>3.375</v>
      </c>
      <c r="L209" s="3" t="s">
        <v>68</v>
      </c>
      <c r="M209" s="3" t="s">
        <v>929</v>
      </c>
      <c r="N209" s="3" t="s">
        <v>929</v>
      </c>
      <c r="O209">
        <v>109.23</v>
      </c>
      <c r="P209">
        <v>109.48</v>
      </c>
      <c r="Q209">
        <v>-2840.43</v>
      </c>
      <c r="R209">
        <v>-634.04999999999995</v>
      </c>
      <c r="S209">
        <v>-640.54</v>
      </c>
      <c r="T209" s="3" t="s">
        <v>30</v>
      </c>
      <c r="U209">
        <v>107.77</v>
      </c>
      <c r="V209" s="3" t="s">
        <v>256</v>
      </c>
      <c r="W209" s="3" t="s">
        <v>31</v>
      </c>
      <c r="X209" s="3" t="s">
        <v>1328</v>
      </c>
      <c r="Y209" s="3" t="s">
        <v>1328</v>
      </c>
      <c r="Z209" s="3" t="s">
        <v>1876</v>
      </c>
      <c r="AA209" t="s">
        <v>1557</v>
      </c>
      <c r="AB209" s="3" t="s">
        <v>1765</v>
      </c>
      <c r="AC209" s="3" t="s">
        <v>640</v>
      </c>
      <c r="AD209" s="3" t="s">
        <v>640</v>
      </c>
    </row>
    <row r="210" spans="1:30" x14ac:dyDescent="0.35">
      <c r="A210" s="3" t="s">
        <v>608</v>
      </c>
      <c r="B210" s="3" t="s">
        <v>608</v>
      </c>
      <c r="C210" s="3" t="s">
        <v>608</v>
      </c>
      <c r="D210" s="3" t="s">
        <v>608</v>
      </c>
      <c r="E210" s="3" t="s">
        <v>608</v>
      </c>
      <c r="F210" s="3" t="s">
        <v>317</v>
      </c>
      <c r="G210" s="3" t="s">
        <v>1056</v>
      </c>
      <c r="H210">
        <v>1419000</v>
      </c>
      <c r="I210" s="3" t="s">
        <v>318</v>
      </c>
      <c r="J210" s="3" t="s">
        <v>767</v>
      </c>
      <c r="K210">
        <v>5.4509999999999996</v>
      </c>
      <c r="L210" s="3" t="s">
        <v>68</v>
      </c>
      <c r="M210" s="3" t="s">
        <v>317</v>
      </c>
      <c r="N210" s="3" t="s">
        <v>317</v>
      </c>
      <c r="O210">
        <v>112.28</v>
      </c>
      <c r="P210">
        <v>112.32</v>
      </c>
      <c r="Q210">
        <v>679.61</v>
      </c>
      <c r="R210">
        <v>469.11</v>
      </c>
      <c r="S210">
        <v>473.39</v>
      </c>
      <c r="T210" s="3" t="s">
        <v>30</v>
      </c>
      <c r="U210">
        <v>111.8</v>
      </c>
      <c r="V210" s="3" t="s">
        <v>256</v>
      </c>
      <c r="W210" s="3" t="s">
        <v>31</v>
      </c>
      <c r="X210" s="3" t="s">
        <v>1328</v>
      </c>
      <c r="Y210" s="3" t="s">
        <v>1328</v>
      </c>
      <c r="Z210" s="3" t="s">
        <v>1877</v>
      </c>
      <c r="AA210" t="s">
        <v>1554</v>
      </c>
      <c r="AB210" s="3" t="s">
        <v>1765</v>
      </c>
      <c r="AC210" s="3" t="s">
        <v>640</v>
      </c>
      <c r="AD210" s="3" t="s">
        <v>640</v>
      </c>
    </row>
    <row r="211" spans="1:30" x14ac:dyDescent="0.35">
      <c r="A211" s="3" t="s">
        <v>608</v>
      </c>
      <c r="B211" s="3" t="s">
        <v>608</v>
      </c>
      <c r="C211" s="3" t="s">
        <v>608</v>
      </c>
      <c r="D211" s="3" t="s">
        <v>608</v>
      </c>
      <c r="E211" s="3" t="s">
        <v>608</v>
      </c>
      <c r="F211" s="3" t="s">
        <v>69</v>
      </c>
      <c r="G211" s="3" t="s">
        <v>1061</v>
      </c>
      <c r="H211">
        <v>700000</v>
      </c>
      <c r="I211" s="3" t="s">
        <v>70</v>
      </c>
      <c r="J211" s="3" t="s">
        <v>672</v>
      </c>
      <c r="K211">
        <v>0.875</v>
      </c>
      <c r="L211" s="3" t="s">
        <v>71</v>
      </c>
      <c r="M211" s="3" t="s">
        <v>69</v>
      </c>
      <c r="N211" s="3" t="s">
        <v>69</v>
      </c>
      <c r="O211">
        <v>105.43</v>
      </c>
      <c r="P211">
        <v>105.47</v>
      </c>
      <c r="Q211">
        <v>338.78</v>
      </c>
      <c r="R211">
        <v>394.68</v>
      </c>
      <c r="S211">
        <v>398.74</v>
      </c>
      <c r="T211" s="3" t="s">
        <v>30</v>
      </c>
      <c r="U211">
        <v>105.18</v>
      </c>
      <c r="V211" s="3" t="s">
        <v>9</v>
      </c>
      <c r="W211" s="3" t="s">
        <v>31</v>
      </c>
      <c r="X211" s="3" t="s">
        <v>1328</v>
      </c>
      <c r="Y211" s="3" t="s">
        <v>1328</v>
      </c>
      <c r="Z211" s="3" t="s">
        <v>1878</v>
      </c>
      <c r="AA211" t="s">
        <v>1544</v>
      </c>
      <c r="AB211" s="3" t="s">
        <v>1765</v>
      </c>
      <c r="AC211" s="3" t="s">
        <v>640</v>
      </c>
      <c r="AD211" s="3" t="s">
        <v>640</v>
      </c>
    </row>
    <row r="212" spans="1:30" x14ac:dyDescent="0.35">
      <c r="A212" s="3" t="s">
        <v>608</v>
      </c>
      <c r="B212" s="3" t="s">
        <v>608</v>
      </c>
      <c r="C212" s="3" t="s">
        <v>608</v>
      </c>
      <c r="D212" s="3" t="s">
        <v>608</v>
      </c>
      <c r="E212" s="3" t="s">
        <v>608</v>
      </c>
      <c r="F212" s="3" t="s">
        <v>321</v>
      </c>
      <c r="G212" s="3" t="s">
        <v>1064</v>
      </c>
      <c r="H212">
        <v>1400000</v>
      </c>
      <c r="I212" s="3" t="s">
        <v>322</v>
      </c>
      <c r="J212" s="3" t="s">
        <v>769</v>
      </c>
      <c r="K212">
        <v>1.625</v>
      </c>
      <c r="L212" s="3" t="s">
        <v>74</v>
      </c>
      <c r="M212" s="3" t="s">
        <v>321</v>
      </c>
      <c r="N212" s="3" t="s">
        <v>321</v>
      </c>
      <c r="O212">
        <v>101.23</v>
      </c>
      <c r="P212">
        <v>101.24</v>
      </c>
      <c r="Q212">
        <v>221.37</v>
      </c>
      <c r="R212">
        <v>597.13</v>
      </c>
      <c r="S212">
        <v>603.09</v>
      </c>
      <c r="T212" s="3" t="s">
        <v>30</v>
      </c>
      <c r="U212">
        <v>101</v>
      </c>
      <c r="V212" s="3" t="s">
        <v>256</v>
      </c>
      <c r="W212" s="3" t="s">
        <v>31</v>
      </c>
      <c r="X212" s="3" t="s">
        <v>1328</v>
      </c>
      <c r="Y212" s="3" t="s">
        <v>1328</v>
      </c>
      <c r="Z212" s="3" t="s">
        <v>1879</v>
      </c>
      <c r="AA212" t="s">
        <v>1559</v>
      </c>
      <c r="AB212" s="3" t="s">
        <v>1765</v>
      </c>
      <c r="AC212" s="3" t="s">
        <v>640</v>
      </c>
      <c r="AD212" s="3" t="s">
        <v>640</v>
      </c>
    </row>
    <row r="213" spans="1:30" x14ac:dyDescent="0.35">
      <c r="A213" s="3" t="s">
        <v>608</v>
      </c>
      <c r="B213" s="3" t="s">
        <v>608</v>
      </c>
      <c r="C213" s="3" t="s">
        <v>608</v>
      </c>
      <c r="D213" s="3" t="s">
        <v>608</v>
      </c>
      <c r="E213" s="3" t="s">
        <v>608</v>
      </c>
      <c r="F213" s="3" t="s">
        <v>1416</v>
      </c>
      <c r="G213" s="3" t="s">
        <v>1417</v>
      </c>
      <c r="H213">
        <v>5000000</v>
      </c>
      <c r="I213" s="3" t="s">
        <v>1418</v>
      </c>
      <c r="J213" s="3" t="s">
        <v>1419</v>
      </c>
      <c r="K213">
        <v>0.375</v>
      </c>
      <c r="L213" s="3" t="s">
        <v>74</v>
      </c>
      <c r="M213" s="3" t="s">
        <v>1416</v>
      </c>
      <c r="N213" s="3" t="s">
        <v>1416</v>
      </c>
      <c r="O213">
        <v>103.08</v>
      </c>
      <c r="P213">
        <v>103.12</v>
      </c>
      <c r="Q213">
        <v>2151.37</v>
      </c>
      <c r="R213">
        <v>3364.88</v>
      </c>
      <c r="S213">
        <v>3400.95</v>
      </c>
      <c r="T213" s="3" t="s">
        <v>30</v>
      </c>
      <c r="U213">
        <v>102.94</v>
      </c>
      <c r="V213" s="3" t="s">
        <v>9</v>
      </c>
      <c r="W213" s="3" t="s">
        <v>31</v>
      </c>
      <c r="X213" s="3" t="s">
        <v>1328</v>
      </c>
      <c r="Y213" s="3" t="s">
        <v>1328</v>
      </c>
      <c r="Z213" s="3" t="s">
        <v>1880</v>
      </c>
      <c r="AA213" t="s">
        <v>1560</v>
      </c>
      <c r="AB213" s="3" t="s">
        <v>1765</v>
      </c>
      <c r="AC213" s="3" t="s">
        <v>640</v>
      </c>
      <c r="AD213" s="3" t="s">
        <v>640</v>
      </c>
    </row>
    <row r="214" spans="1:30" x14ac:dyDescent="0.35">
      <c r="A214" s="3" t="s">
        <v>608</v>
      </c>
      <c r="B214" s="3" t="s">
        <v>608</v>
      </c>
      <c r="C214" s="3" t="s">
        <v>608</v>
      </c>
      <c r="D214" s="3" t="s">
        <v>608</v>
      </c>
      <c r="E214" s="3" t="s">
        <v>608</v>
      </c>
      <c r="F214" s="3" t="s">
        <v>77</v>
      </c>
      <c r="G214" s="3" t="s">
        <v>1062</v>
      </c>
      <c r="H214">
        <v>1000000</v>
      </c>
      <c r="I214" s="3" t="s">
        <v>78</v>
      </c>
      <c r="J214" s="3" t="s">
        <v>675</v>
      </c>
      <c r="K214">
        <v>1</v>
      </c>
      <c r="L214" s="3" t="s">
        <v>74</v>
      </c>
      <c r="M214" s="3" t="s">
        <v>77</v>
      </c>
      <c r="N214" s="3" t="s">
        <v>77</v>
      </c>
      <c r="O214">
        <v>106.09</v>
      </c>
      <c r="P214">
        <v>106.13</v>
      </c>
      <c r="Q214">
        <v>387.4</v>
      </c>
      <c r="R214">
        <v>553.20000000000005</v>
      </c>
      <c r="S214">
        <v>558.87</v>
      </c>
      <c r="T214" s="3" t="s">
        <v>30</v>
      </c>
      <c r="U214">
        <v>105.77</v>
      </c>
      <c r="V214" s="3" t="s">
        <v>9</v>
      </c>
      <c r="W214" s="3" t="s">
        <v>31</v>
      </c>
      <c r="X214" s="3" t="s">
        <v>1328</v>
      </c>
      <c r="Y214" s="3" t="s">
        <v>1328</v>
      </c>
      <c r="Z214" s="3" t="s">
        <v>1881</v>
      </c>
      <c r="AA214" t="s">
        <v>1517</v>
      </c>
      <c r="AB214" s="3" t="s">
        <v>1765</v>
      </c>
      <c r="AC214" s="3" t="s">
        <v>640</v>
      </c>
      <c r="AD214" s="3" t="s">
        <v>640</v>
      </c>
    </row>
    <row r="215" spans="1:30" x14ac:dyDescent="0.35">
      <c r="A215" s="3" t="s">
        <v>608</v>
      </c>
      <c r="B215" s="3" t="s">
        <v>608</v>
      </c>
      <c r="C215" s="3" t="s">
        <v>608</v>
      </c>
      <c r="D215" s="3" t="s">
        <v>608</v>
      </c>
      <c r="E215" s="3" t="s">
        <v>608</v>
      </c>
      <c r="F215" s="3" t="s">
        <v>75</v>
      </c>
      <c r="G215" s="3" t="s">
        <v>1063</v>
      </c>
      <c r="H215">
        <v>-200000</v>
      </c>
      <c r="I215" s="3" t="s">
        <v>76</v>
      </c>
      <c r="J215" s="3" t="s">
        <v>674</v>
      </c>
      <c r="K215">
        <v>1.75</v>
      </c>
      <c r="L215" s="3" t="s">
        <v>74</v>
      </c>
      <c r="M215" s="3" t="s">
        <v>75</v>
      </c>
      <c r="N215" s="3" t="s">
        <v>75</v>
      </c>
      <c r="O215">
        <v>112.73</v>
      </c>
      <c r="P215">
        <v>112.83</v>
      </c>
      <c r="Q215">
        <v>-209.59</v>
      </c>
      <c r="R215">
        <v>-157.74</v>
      </c>
      <c r="S215">
        <v>-159.52000000000001</v>
      </c>
      <c r="T215" s="3" t="s">
        <v>30</v>
      </c>
      <c r="U215">
        <v>112.45</v>
      </c>
      <c r="V215" s="3" t="s">
        <v>9</v>
      </c>
      <c r="W215" s="3" t="s">
        <v>31</v>
      </c>
      <c r="X215" s="3" t="s">
        <v>1328</v>
      </c>
      <c r="Y215" s="3" t="s">
        <v>1328</v>
      </c>
      <c r="Z215" s="3" t="s">
        <v>1657</v>
      </c>
      <c r="AA215" t="s">
        <v>1520</v>
      </c>
      <c r="AB215" s="3" t="s">
        <v>1765</v>
      </c>
      <c r="AC215" s="3" t="s">
        <v>640</v>
      </c>
      <c r="AD215" s="3" t="s">
        <v>640</v>
      </c>
    </row>
    <row r="216" spans="1:30" x14ac:dyDescent="0.35">
      <c r="A216" s="3" t="s">
        <v>608</v>
      </c>
      <c r="B216" s="3" t="s">
        <v>608</v>
      </c>
      <c r="C216" s="3" t="s">
        <v>608</v>
      </c>
      <c r="D216" s="3" t="s">
        <v>608</v>
      </c>
      <c r="E216" s="3" t="s">
        <v>608</v>
      </c>
      <c r="F216" s="3" t="s">
        <v>1394</v>
      </c>
      <c r="G216" s="3" t="s">
        <v>1395</v>
      </c>
      <c r="H216">
        <v>1500000</v>
      </c>
      <c r="I216" s="3" t="s">
        <v>1396</v>
      </c>
      <c r="J216" s="3" t="s">
        <v>1397</v>
      </c>
      <c r="K216">
        <v>0.875</v>
      </c>
      <c r="L216" s="3" t="s">
        <v>74</v>
      </c>
      <c r="M216" s="3" t="s">
        <v>1394</v>
      </c>
      <c r="N216" s="3" t="s">
        <v>1394</v>
      </c>
      <c r="O216">
        <v>103.71</v>
      </c>
      <c r="P216">
        <v>103.72</v>
      </c>
      <c r="Q216">
        <v>65.959999999999994</v>
      </c>
      <c r="R216">
        <v>517.41999999999996</v>
      </c>
      <c r="S216">
        <v>522.52</v>
      </c>
      <c r="T216" s="3" t="s">
        <v>30</v>
      </c>
      <c r="U216">
        <v>103.55</v>
      </c>
      <c r="V216" s="3" t="s">
        <v>9</v>
      </c>
      <c r="W216" s="3" t="s">
        <v>31</v>
      </c>
      <c r="X216" s="3" t="s">
        <v>1328</v>
      </c>
      <c r="Y216" s="3" t="s">
        <v>1328</v>
      </c>
      <c r="Z216" s="3" t="s">
        <v>1882</v>
      </c>
      <c r="AA216" t="s">
        <v>1547</v>
      </c>
      <c r="AB216" s="3" t="s">
        <v>1765</v>
      </c>
      <c r="AC216" s="3" t="s">
        <v>640</v>
      </c>
      <c r="AD216" s="3" t="s">
        <v>640</v>
      </c>
    </row>
    <row r="217" spans="1:30" x14ac:dyDescent="0.35">
      <c r="A217" s="3" t="s">
        <v>608</v>
      </c>
      <c r="B217" s="3" t="s">
        <v>608</v>
      </c>
      <c r="C217" s="3" t="s">
        <v>608</v>
      </c>
      <c r="D217" s="3" t="s">
        <v>608</v>
      </c>
      <c r="E217" s="3" t="s">
        <v>608</v>
      </c>
      <c r="F217" s="3" t="s">
        <v>1739</v>
      </c>
      <c r="G217" s="3" t="s">
        <v>1744</v>
      </c>
      <c r="H217">
        <v>5000000</v>
      </c>
      <c r="I217" s="3" t="s">
        <v>1740</v>
      </c>
      <c r="J217" s="3" t="s">
        <v>719</v>
      </c>
      <c r="K217">
        <v>0</v>
      </c>
      <c r="L217" s="3" t="s">
        <v>74</v>
      </c>
      <c r="M217" s="3" t="s">
        <v>1739</v>
      </c>
      <c r="N217" s="3" t="s">
        <v>1739</v>
      </c>
      <c r="O217">
        <v>0</v>
      </c>
      <c r="P217">
        <v>100.86</v>
      </c>
      <c r="Q217">
        <v>8500</v>
      </c>
      <c r="R217">
        <v>3175.08</v>
      </c>
      <c r="S217">
        <v>3208.82</v>
      </c>
      <c r="T217" s="3" t="s">
        <v>30</v>
      </c>
      <c r="U217">
        <v>100.69</v>
      </c>
      <c r="V217" s="3" t="s">
        <v>9</v>
      </c>
      <c r="W217" s="3" t="s">
        <v>31</v>
      </c>
      <c r="X217" s="3" t="s">
        <v>1328</v>
      </c>
      <c r="Y217" s="3" t="s">
        <v>1328</v>
      </c>
      <c r="Z217" s="3" t="s">
        <v>1883</v>
      </c>
      <c r="AA217" t="s">
        <v>1616</v>
      </c>
      <c r="AB217" s="3" t="s">
        <v>1765</v>
      </c>
      <c r="AC217" s="3" t="s">
        <v>640</v>
      </c>
      <c r="AD217" s="3" t="s">
        <v>640</v>
      </c>
    </row>
    <row r="218" spans="1:30" x14ac:dyDescent="0.35">
      <c r="A218" s="3" t="s">
        <v>608</v>
      </c>
      <c r="B218" s="3" t="s">
        <v>608</v>
      </c>
      <c r="C218" s="3" t="s">
        <v>608</v>
      </c>
      <c r="D218" s="3" t="s">
        <v>608</v>
      </c>
      <c r="E218" s="3" t="s">
        <v>608</v>
      </c>
      <c r="F218" s="3" t="s">
        <v>84</v>
      </c>
      <c r="G218" s="3" t="s">
        <v>1050</v>
      </c>
      <c r="H218">
        <v>1800000</v>
      </c>
      <c r="I218" s="3" t="s">
        <v>85</v>
      </c>
      <c r="J218" s="3" t="s">
        <v>678</v>
      </c>
      <c r="K218">
        <v>1.25</v>
      </c>
      <c r="L218" s="3" t="s">
        <v>83</v>
      </c>
      <c r="M218" s="3" t="s">
        <v>84</v>
      </c>
      <c r="N218" s="3" t="s">
        <v>84</v>
      </c>
      <c r="O218">
        <v>106.1</v>
      </c>
      <c r="P218">
        <v>106.12</v>
      </c>
      <c r="Q218">
        <v>349.48</v>
      </c>
      <c r="R218">
        <v>791.72</v>
      </c>
      <c r="S218">
        <v>799.71</v>
      </c>
      <c r="T218" s="3" t="s">
        <v>30</v>
      </c>
      <c r="U218">
        <v>105.77</v>
      </c>
      <c r="V218" s="3" t="s">
        <v>9</v>
      </c>
      <c r="W218" s="3" t="s">
        <v>31</v>
      </c>
      <c r="X218" s="3" t="s">
        <v>1328</v>
      </c>
      <c r="Y218" s="3" t="s">
        <v>1328</v>
      </c>
      <c r="Z218" s="3" t="s">
        <v>1884</v>
      </c>
      <c r="AA218" t="s">
        <v>1548</v>
      </c>
      <c r="AB218" s="3" t="s">
        <v>1765</v>
      </c>
      <c r="AC218" s="3" t="s">
        <v>640</v>
      </c>
      <c r="AD218" s="3" t="s">
        <v>640</v>
      </c>
    </row>
    <row r="219" spans="1:30" x14ac:dyDescent="0.35">
      <c r="A219" s="3" t="s">
        <v>608</v>
      </c>
      <c r="B219" s="3" t="s">
        <v>608</v>
      </c>
      <c r="C219" s="3" t="s">
        <v>608</v>
      </c>
      <c r="D219" s="3" t="s">
        <v>608</v>
      </c>
      <c r="E219" s="3" t="s">
        <v>608</v>
      </c>
      <c r="F219" s="3" t="s">
        <v>81</v>
      </c>
      <c r="G219" s="3" t="s">
        <v>1051</v>
      </c>
      <c r="H219">
        <v>-2300000</v>
      </c>
      <c r="I219" s="3" t="s">
        <v>82</v>
      </c>
      <c r="J219" s="3" t="s">
        <v>677</v>
      </c>
      <c r="K219">
        <v>1.375</v>
      </c>
      <c r="L219" s="3" t="s">
        <v>83</v>
      </c>
      <c r="M219" s="3" t="s">
        <v>81</v>
      </c>
      <c r="N219" s="3" t="s">
        <v>81</v>
      </c>
      <c r="O219">
        <v>110.74</v>
      </c>
      <c r="P219">
        <v>110.9</v>
      </c>
      <c r="Q219">
        <v>-3743.64</v>
      </c>
      <c r="R219">
        <v>-1827.71</v>
      </c>
      <c r="S219">
        <v>-1848.37</v>
      </c>
      <c r="T219" s="3" t="s">
        <v>30</v>
      </c>
      <c r="U219">
        <v>110.47</v>
      </c>
      <c r="V219" s="3" t="s">
        <v>9</v>
      </c>
      <c r="W219" s="3" t="s">
        <v>31</v>
      </c>
      <c r="X219" s="3" t="s">
        <v>1328</v>
      </c>
      <c r="Y219" s="3" t="s">
        <v>1328</v>
      </c>
      <c r="Z219" s="3" t="s">
        <v>1885</v>
      </c>
      <c r="AA219" t="s">
        <v>1549</v>
      </c>
      <c r="AB219" s="3" t="s">
        <v>1765</v>
      </c>
      <c r="AC219" s="3" t="s">
        <v>640</v>
      </c>
      <c r="AD219" s="3" t="s">
        <v>640</v>
      </c>
    </row>
    <row r="220" spans="1:30" x14ac:dyDescent="0.35">
      <c r="A220" s="3" t="s">
        <v>608</v>
      </c>
      <c r="B220" s="3" t="s">
        <v>608</v>
      </c>
      <c r="C220" s="3" t="s">
        <v>608</v>
      </c>
      <c r="D220" s="3" t="s">
        <v>608</v>
      </c>
      <c r="E220" s="3" t="s">
        <v>608</v>
      </c>
      <c r="F220" s="3" t="s">
        <v>88</v>
      </c>
      <c r="G220" s="3" t="s">
        <v>1065</v>
      </c>
      <c r="H220">
        <v>-1380000</v>
      </c>
      <c r="I220" s="3" t="s">
        <v>89</v>
      </c>
      <c r="J220" s="3" t="s">
        <v>679</v>
      </c>
      <c r="K220">
        <v>1.125</v>
      </c>
      <c r="L220" s="3" t="s">
        <v>90</v>
      </c>
      <c r="M220" s="3" t="s">
        <v>88</v>
      </c>
      <c r="N220" s="3" t="s">
        <v>88</v>
      </c>
      <c r="O220">
        <v>107.4</v>
      </c>
      <c r="P220">
        <v>107.51</v>
      </c>
      <c r="Q220">
        <v>-1477.73</v>
      </c>
      <c r="R220">
        <v>-1119.04</v>
      </c>
      <c r="S220">
        <v>-1131.8699999999999</v>
      </c>
      <c r="T220" s="3" t="s">
        <v>30</v>
      </c>
      <c r="U220">
        <v>104.48</v>
      </c>
      <c r="V220" s="3" t="s">
        <v>9</v>
      </c>
      <c r="W220" s="3" t="s">
        <v>31</v>
      </c>
      <c r="X220" s="3" t="s">
        <v>1328</v>
      </c>
      <c r="Y220" s="3" t="s">
        <v>1328</v>
      </c>
      <c r="Z220" s="3" t="s">
        <v>1886</v>
      </c>
      <c r="AA220" t="s">
        <v>1562</v>
      </c>
      <c r="AB220" s="3" t="s">
        <v>1765</v>
      </c>
      <c r="AC220" s="3" t="s">
        <v>640</v>
      </c>
      <c r="AD220" s="3" t="s">
        <v>640</v>
      </c>
    </row>
    <row r="221" spans="1:30" x14ac:dyDescent="0.35">
      <c r="A221" s="3" t="s">
        <v>608</v>
      </c>
      <c r="B221" s="3" t="s">
        <v>608</v>
      </c>
      <c r="C221" s="3" t="s">
        <v>608</v>
      </c>
      <c r="D221" s="3" t="s">
        <v>608</v>
      </c>
      <c r="E221" s="3" t="s">
        <v>608</v>
      </c>
      <c r="F221" s="3" t="s">
        <v>327</v>
      </c>
      <c r="G221" s="3" t="s">
        <v>1067</v>
      </c>
      <c r="H221">
        <v>12426000</v>
      </c>
      <c r="I221" s="3" t="s">
        <v>328</v>
      </c>
      <c r="J221" s="3" t="s">
        <v>772</v>
      </c>
      <c r="K221">
        <v>3.375</v>
      </c>
      <c r="L221" s="3" t="s">
        <v>90</v>
      </c>
      <c r="M221" s="3" t="s">
        <v>327</v>
      </c>
      <c r="N221" s="3" t="s">
        <v>327</v>
      </c>
      <c r="O221">
        <v>103.35</v>
      </c>
      <c r="P221">
        <v>103.56</v>
      </c>
      <c r="Q221">
        <v>26405.55</v>
      </c>
      <c r="R221">
        <v>9579.58</v>
      </c>
      <c r="S221">
        <v>9687.43</v>
      </c>
      <c r="T221" s="3" t="s">
        <v>30</v>
      </c>
      <c r="U221">
        <v>100.62</v>
      </c>
      <c r="V221" s="3" t="s">
        <v>256</v>
      </c>
      <c r="W221" s="3" t="s">
        <v>8</v>
      </c>
      <c r="X221" s="3" t="s">
        <v>1328</v>
      </c>
      <c r="Y221" s="3" t="s">
        <v>1328</v>
      </c>
      <c r="Z221" s="3" t="s">
        <v>1887</v>
      </c>
      <c r="AA221" t="s">
        <v>1689</v>
      </c>
      <c r="AB221" s="3" t="s">
        <v>1765</v>
      </c>
      <c r="AC221" s="3" t="s">
        <v>640</v>
      </c>
      <c r="AD221" s="3" t="s">
        <v>640</v>
      </c>
    </row>
    <row r="222" spans="1:30" x14ac:dyDescent="0.35">
      <c r="A222" s="3" t="s">
        <v>608</v>
      </c>
      <c r="B222" s="3" t="s">
        <v>608</v>
      </c>
      <c r="C222" s="3" t="s">
        <v>608</v>
      </c>
      <c r="D222" s="3" t="s">
        <v>608</v>
      </c>
      <c r="E222" s="3" t="s">
        <v>608</v>
      </c>
      <c r="F222" s="3" t="s">
        <v>329</v>
      </c>
      <c r="G222" s="3" t="s">
        <v>1066</v>
      </c>
      <c r="H222">
        <v>-15271000</v>
      </c>
      <c r="I222" s="3" t="s">
        <v>330</v>
      </c>
      <c r="J222" s="3" t="s">
        <v>773</v>
      </c>
      <c r="K222">
        <v>2.625</v>
      </c>
      <c r="L222" s="3" t="s">
        <v>90</v>
      </c>
      <c r="M222" s="3" t="s">
        <v>329</v>
      </c>
      <c r="N222" s="3" t="s">
        <v>329</v>
      </c>
      <c r="O222">
        <v>102.71</v>
      </c>
      <c r="P222">
        <v>102.81</v>
      </c>
      <c r="Q222">
        <v>-16749.18</v>
      </c>
      <c r="R222">
        <v>-7171.75</v>
      </c>
      <c r="S222">
        <v>-7244.49</v>
      </c>
      <c r="T222" s="3" t="s">
        <v>30</v>
      </c>
      <c r="U222">
        <v>99.71</v>
      </c>
      <c r="V222" s="3" t="s">
        <v>256</v>
      </c>
      <c r="W222" s="3" t="s">
        <v>8</v>
      </c>
      <c r="X222" s="3" t="s">
        <v>1728</v>
      </c>
      <c r="Y222" s="3" t="s">
        <v>1728</v>
      </c>
      <c r="Z222" s="3" t="s">
        <v>1888</v>
      </c>
      <c r="AA222" t="s">
        <v>1688</v>
      </c>
      <c r="AB222" s="3" t="s">
        <v>1765</v>
      </c>
      <c r="AC222" s="3" t="s">
        <v>640</v>
      </c>
      <c r="AD222" s="3" t="s">
        <v>640</v>
      </c>
    </row>
    <row r="223" spans="1:30" x14ac:dyDescent="0.35">
      <c r="A223" s="3" t="s">
        <v>608</v>
      </c>
      <c r="B223" s="3" t="s">
        <v>608</v>
      </c>
      <c r="C223" s="3" t="s">
        <v>608</v>
      </c>
      <c r="D223" s="3" t="s">
        <v>608</v>
      </c>
      <c r="E223" s="3" t="s">
        <v>608</v>
      </c>
      <c r="F223" s="3" t="s">
        <v>1420</v>
      </c>
      <c r="G223" s="3" t="s">
        <v>1421</v>
      </c>
      <c r="H223">
        <v>6000000</v>
      </c>
      <c r="I223" s="3" t="s">
        <v>1422</v>
      </c>
      <c r="J223" s="3" t="s">
        <v>1423</v>
      </c>
      <c r="K223">
        <v>0.625</v>
      </c>
      <c r="L223" s="3" t="s">
        <v>90</v>
      </c>
      <c r="M223" s="3" t="s">
        <v>1420</v>
      </c>
      <c r="N223" s="3" t="s">
        <v>1420</v>
      </c>
      <c r="O223">
        <v>103.05</v>
      </c>
      <c r="P223">
        <v>103.08</v>
      </c>
      <c r="Q223">
        <v>2142.7399999999998</v>
      </c>
      <c r="R223">
        <v>2354.5500000000002</v>
      </c>
      <c r="S223">
        <v>2377.81</v>
      </c>
      <c r="T223" s="3" t="s">
        <v>30</v>
      </c>
      <c r="U223">
        <v>102.81</v>
      </c>
      <c r="V223" s="3" t="s">
        <v>9</v>
      </c>
      <c r="W223" s="3" t="s">
        <v>31</v>
      </c>
      <c r="X223" s="3" t="s">
        <v>1328</v>
      </c>
      <c r="Y223" s="3" t="s">
        <v>1328</v>
      </c>
      <c r="Z223" s="3" t="s">
        <v>1889</v>
      </c>
      <c r="AA223" t="s">
        <v>1561</v>
      </c>
      <c r="AB223" s="3" t="s">
        <v>1765</v>
      </c>
      <c r="AC223" s="3" t="s">
        <v>640</v>
      </c>
      <c r="AD223" s="3" t="s">
        <v>640</v>
      </c>
    </row>
    <row r="224" spans="1:30" x14ac:dyDescent="0.35">
      <c r="A224" s="3" t="s">
        <v>608</v>
      </c>
      <c r="B224" s="3" t="s">
        <v>608</v>
      </c>
      <c r="C224" s="3" t="s">
        <v>608</v>
      </c>
      <c r="D224" s="3" t="s">
        <v>608</v>
      </c>
      <c r="E224" s="3" t="s">
        <v>608</v>
      </c>
      <c r="F224" s="3" t="s">
        <v>583</v>
      </c>
      <c r="G224" s="3" t="s">
        <v>1042</v>
      </c>
      <c r="H224">
        <v>1000000</v>
      </c>
      <c r="I224" s="3" t="s">
        <v>584</v>
      </c>
      <c r="J224" s="3" t="s">
        <v>683</v>
      </c>
      <c r="K224">
        <v>0</v>
      </c>
      <c r="L224" s="3" t="s">
        <v>95</v>
      </c>
      <c r="M224" s="3" t="s">
        <v>583</v>
      </c>
      <c r="N224" s="3" t="s">
        <v>583</v>
      </c>
      <c r="O224">
        <v>100.73</v>
      </c>
      <c r="P224">
        <v>100.75</v>
      </c>
      <c r="Q224">
        <v>240</v>
      </c>
      <c r="R224">
        <v>380.84</v>
      </c>
      <c r="S224">
        <v>384.6</v>
      </c>
      <c r="T224" s="3" t="s">
        <v>30</v>
      </c>
      <c r="U224">
        <v>100.48</v>
      </c>
      <c r="V224" s="3" t="s">
        <v>9</v>
      </c>
      <c r="W224" s="3" t="s">
        <v>31</v>
      </c>
      <c r="X224" s="3" t="s">
        <v>1328</v>
      </c>
      <c r="Y224" s="3" t="s">
        <v>1328</v>
      </c>
      <c r="Z224" s="3" t="s">
        <v>1890</v>
      </c>
      <c r="AA224" t="s">
        <v>1517</v>
      </c>
      <c r="AB224" s="3" t="s">
        <v>1765</v>
      </c>
      <c r="AC224" s="3" t="s">
        <v>640</v>
      </c>
      <c r="AD224" s="3" t="s">
        <v>640</v>
      </c>
    </row>
    <row r="225" spans="1:30" x14ac:dyDescent="0.35">
      <c r="A225" s="3" t="s">
        <v>608</v>
      </c>
      <c r="B225" s="3" t="s">
        <v>608</v>
      </c>
      <c r="C225" s="3" t="s">
        <v>608</v>
      </c>
      <c r="D225" s="3" t="s">
        <v>608</v>
      </c>
      <c r="E225" s="3" t="s">
        <v>608</v>
      </c>
      <c r="F225" s="3" t="s">
        <v>1409</v>
      </c>
      <c r="G225" s="3" t="s">
        <v>1410</v>
      </c>
      <c r="H225">
        <v>1000000</v>
      </c>
      <c r="I225" s="3" t="s">
        <v>1411</v>
      </c>
      <c r="J225" s="3" t="s">
        <v>1412</v>
      </c>
      <c r="K225">
        <v>0.75</v>
      </c>
      <c r="L225" s="3" t="s">
        <v>95</v>
      </c>
      <c r="M225" s="3" t="s">
        <v>1409</v>
      </c>
      <c r="N225" s="3" t="s">
        <v>1409</v>
      </c>
      <c r="O225">
        <v>101.84</v>
      </c>
      <c r="P225">
        <v>101.84</v>
      </c>
      <c r="Q225">
        <v>40.49</v>
      </c>
      <c r="R225">
        <v>206.3</v>
      </c>
      <c r="S225">
        <v>208.11</v>
      </c>
      <c r="T225" s="3" t="s">
        <v>30</v>
      </c>
      <c r="U225">
        <v>101.77</v>
      </c>
      <c r="V225" s="3" t="s">
        <v>9</v>
      </c>
      <c r="W225" s="3" t="s">
        <v>31</v>
      </c>
      <c r="X225" s="3" t="s">
        <v>1328</v>
      </c>
      <c r="Y225" s="3" t="s">
        <v>1328</v>
      </c>
      <c r="Z225" s="3" t="s">
        <v>1891</v>
      </c>
      <c r="AA225" t="s">
        <v>1517</v>
      </c>
      <c r="AB225" s="3" t="s">
        <v>1765</v>
      </c>
      <c r="AC225" s="3" t="s">
        <v>640</v>
      </c>
      <c r="AD225" s="3" t="s">
        <v>640</v>
      </c>
    </row>
    <row r="226" spans="1:30" x14ac:dyDescent="0.35">
      <c r="A226" s="3" t="s">
        <v>608</v>
      </c>
      <c r="B226" s="3" t="s">
        <v>608</v>
      </c>
      <c r="C226" s="3" t="s">
        <v>608</v>
      </c>
      <c r="D226" s="3" t="s">
        <v>608</v>
      </c>
      <c r="E226" s="3" t="s">
        <v>608</v>
      </c>
      <c r="F226" s="3" t="s">
        <v>98</v>
      </c>
      <c r="G226" s="3" t="s">
        <v>1068</v>
      </c>
      <c r="H226">
        <v>-1400000</v>
      </c>
      <c r="I226" s="3" t="s">
        <v>99</v>
      </c>
      <c r="J226" s="3" t="s">
        <v>684</v>
      </c>
      <c r="K226">
        <v>1.25</v>
      </c>
      <c r="L226" s="3" t="s">
        <v>100</v>
      </c>
      <c r="M226" s="3" t="s">
        <v>98</v>
      </c>
      <c r="N226" s="3" t="s">
        <v>98</v>
      </c>
      <c r="O226">
        <v>108.18</v>
      </c>
      <c r="P226">
        <v>108.26</v>
      </c>
      <c r="Q226">
        <v>-1181.81</v>
      </c>
      <c r="R226">
        <v>-918.75</v>
      </c>
      <c r="S226">
        <v>-928.52</v>
      </c>
      <c r="T226" s="3" t="s">
        <v>30</v>
      </c>
      <c r="U226">
        <v>104.52</v>
      </c>
      <c r="V226" s="3" t="s">
        <v>9</v>
      </c>
      <c r="W226" s="3" t="s">
        <v>31</v>
      </c>
      <c r="X226" s="3" t="s">
        <v>1328</v>
      </c>
      <c r="Y226" s="3" t="s">
        <v>1328</v>
      </c>
      <c r="Z226" s="3" t="s">
        <v>1892</v>
      </c>
      <c r="AA226" t="s">
        <v>1565</v>
      </c>
      <c r="AB226" s="3" t="s">
        <v>1765</v>
      </c>
      <c r="AC226" s="3" t="s">
        <v>640</v>
      </c>
      <c r="AD226" s="3" t="s">
        <v>640</v>
      </c>
    </row>
    <row r="227" spans="1:30" x14ac:dyDescent="0.35">
      <c r="A227" s="3" t="s">
        <v>608</v>
      </c>
      <c r="B227" s="3" t="s">
        <v>608</v>
      </c>
      <c r="C227" s="3" t="s">
        <v>608</v>
      </c>
      <c r="D227" s="3" t="s">
        <v>608</v>
      </c>
      <c r="E227" s="3" t="s">
        <v>608</v>
      </c>
      <c r="F227" s="3" t="s">
        <v>101</v>
      </c>
      <c r="G227" s="3" t="s">
        <v>1069</v>
      </c>
      <c r="H227">
        <v>-1515000</v>
      </c>
      <c r="I227" s="3" t="s">
        <v>102</v>
      </c>
      <c r="J227" s="3" t="s">
        <v>685</v>
      </c>
      <c r="K227">
        <v>2.875</v>
      </c>
      <c r="L227" s="3" t="s">
        <v>100</v>
      </c>
      <c r="M227" s="3" t="s">
        <v>101</v>
      </c>
      <c r="N227" s="3" t="s">
        <v>101</v>
      </c>
      <c r="O227">
        <v>115.36</v>
      </c>
      <c r="P227">
        <v>115.4</v>
      </c>
      <c r="Q227">
        <v>-710.18</v>
      </c>
      <c r="R227">
        <v>-803.21</v>
      </c>
      <c r="S227">
        <v>-811.29</v>
      </c>
      <c r="T227" s="3" t="s">
        <v>30</v>
      </c>
      <c r="U227">
        <v>115.39</v>
      </c>
      <c r="V227" s="3" t="s">
        <v>9</v>
      </c>
      <c r="W227" s="3" t="s">
        <v>31</v>
      </c>
      <c r="X227" s="3" t="s">
        <v>1328</v>
      </c>
      <c r="Y227" s="3" t="s">
        <v>1328</v>
      </c>
      <c r="Z227" s="3" t="s">
        <v>1893</v>
      </c>
      <c r="AA227" t="s">
        <v>1566</v>
      </c>
      <c r="AB227" s="3" t="s">
        <v>1765</v>
      </c>
      <c r="AC227" s="3" t="s">
        <v>640</v>
      </c>
      <c r="AD227" s="3" t="s">
        <v>640</v>
      </c>
    </row>
    <row r="228" spans="1:30" x14ac:dyDescent="0.35">
      <c r="A228" s="3" t="s">
        <v>608</v>
      </c>
      <c r="B228" s="3" t="s">
        <v>608</v>
      </c>
      <c r="C228" s="3" t="s">
        <v>608</v>
      </c>
      <c r="D228" s="3" t="s">
        <v>608</v>
      </c>
      <c r="E228" s="3" t="s">
        <v>608</v>
      </c>
      <c r="F228" s="3" t="s">
        <v>106</v>
      </c>
      <c r="G228" s="3" t="s">
        <v>1070</v>
      </c>
      <c r="H228">
        <v>-5381000</v>
      </c>
      <c r="I228" s="3" t="s">
        <v>107</v>
      </c>
      <c r="J228" s="3" t="s">
        <v>687</v>
      </c>
      <c r="K228">
        <v>1.875</v>
      </c>
      <c r="L228" s="3" t="s">
        <v>105</v>
      </c>
      <c r="M228" s="3" t="s">
        <v>106</v>
      </c>
      <c r="N228" s="3" t="s">
        <v>106</v>
      </c>
      <c r="O228">
        <v>107.81</v>
      </c>
      <c r="P228">
        <v>107.86</v>
      </c>
      <c r="Q228">
        <v>-3235.97</v>
      </c>
      <c r="R228">
        <v>-2473.1799999999998</v>
      </c>
      <c r="S228">
        <v>-2497.84</v>
      </c>
      <c r="T228" s="3" t="s">
        <v>30</v>
      </c>
      <c r="U228">
        <v>107.16</v>
      </c>
      <c r="V228" s="3" t="s">
        <v>9</v>
      </c>
      <c r="W228" s="3" t="s">
        <v>31</v>
      </c>
      <c r="X228" s="3" t="s">
        <v>1328</v>
      </c>
      <c r="Y228" s="3" t="s">
        <v>1328</v>
      </c>
      <c r="Z228" s="3" t="s">
        <v>1894</v>
      </c>
      <c r="AA228" t="s">
        <v>1567</v>
      </c>
      <c r="AB228" s="3" t="s">
        <v>1765</v>
      </c>
      <c r="AC228" s="3" t="s">
        <v>640</v>
      </c>
      <c r="AD228" s="3" t="s">
        <v>640</v>
      </c>
    </row>
    <row r="229" spans="1:30" x14ac:dyDescent="0.35">
      <c r="A229" s="3" t="s">
        <v>608</v>
      </c>
      <c r="B229" s="3" t="s">
        <v>608</v>
      </c>
      <c r="C229" s="3" t="s">
        <v>608</v>
      </c>
      <c r="D229" s="3" t="s">
        <v>608</v>
      </c>
      <c r="E229" s="3" t="s">
        <v>608</v>
      </c>
      <c r="F229" s="3" t="s">
        <v>108</v>
      </c>
      <c r="G229" s="3" t="s">
        <v>1074</v>
      </c>
      <c r="H229">
        <v>2000000</v>
      </c>
      <c r="I229" s="3" t="s">
        <v>109</v>
      </c>
      <c r="J229" s="3" t="s">
        <v>688</v>
      </c>
      <c r="K229">
        <v>1.875</v>
      </c>
      <c r="L229" s="3" t="s">
        <v>110</v>
      </c>
      <c r="M229" s="3" t="s">
        <v>108</v>
      </c>
      <c r="N229" s="3" t="s">
        <v>108</v>
      </c>
      <c r="O229">
        <v>108.94</v>
      </c>
      <c r="P229">
        <v>108.96</v>
      </c>
      <c r="Q229">
        <v>642.74</v>
      </c>
      <c r="R229">
        <v>963.79</v>
      </c>
      <c r="S229">
        <v>973.44</v>
      </c>
      <c r="T229" s="3" t="s">
        <v>30</v>
      </c>
      <c r="U229">
        <v>108.86</v>
      </c>
      <c r="V229" s="3" t="s">
        <v>9</v>
      </c>
      <c r="W229" s="3" t="s">
        <v>31</v>
      </c>
      <c r="X229" s="3" t="s">
        <v>1328</v>
      </c>
      <c r="Y229" s="3" t="s">
        <v>1328</v>
      </c>
      <c r="Z229" s="3" t="s">
        <v>1895</v>
      </c>
      <c r="AA229" t="s">
        <v>1535</v>
      </c>
      <c r="AB229" s="3" t="s">
        <v>1765</v>
      </c>
      <c r="AC229" s="3" t="s">
        <v>640</v>
      </c>
      <c r="AD229" s="3" t="s">
        <v>640</v>
      </c>
    </row>
    <row r="230" spans="1:30" x14ac:dyDescent="0.35">
      <c r="A230" s="3" t="s">
        <v>608</v>
      </c>
      <c r="B230" s="3" t="s">
        <v>608</v>
      </c>
      <c r="C230" s="3" t="s">
        <v>608</v>
      </c>
      <c r="D230" s="3" t="s">
        <v>608</v>
      </c>
      <c r="E230" s="3" t="s">
        <v>608</v>
      </c>
      <c r="F230" s="3" t="s">
        <v>1303</v>
      </c>
      <c r="G230" s="3" t="s">
        <v>1308</v>
      </c>
      <c r="H230">
        <v>1000000</v>
      </c>
      <c r="I230" s="3" t="s">
        <v>1304</v>
      </c>
      <c r="J230" s="3" t="s">
        <v>660</v>
      </c>
      <c r="K230">
        <v>4.5</v>
      </c>
      <c r="L230" s="3" t="s">
        <v>1305</v>
      </c>
      <c r="M230" s="3" t="s">
        <v>1303</v>
      </c>
      <c r="N230" s="3" t="s">
        <v>1303</v>
      </c>
      <c r="O230">
        <v>119.81</v>
      </c>
      <c r="P230">
        <v>119.82</v>
      </c>
      <c r="Q230">
        <v>243.29</v>
      </c>
      <c r="R230">
        <v>792.88</v>
      </c>
      <c r="S230">
        <v>801.54</v>
      </c>
      <c r="T230" s="3" t="s">
        <v>30</v>
      </c>
      <c r="U230">
        <v>119.63</v>
      </c>
      <c r="V230" s="3" t="s">
        <v>9</v>
      </c>
      <c r="W230" s="3" t="s">
        <v>31</v>
      </c>
      <c r="X230" s="3" t="s">
        <v>1328</v>
      </c>
      <c r="Y230" s="3" t="s">
        <v>1328</v>
      </c>
      <c r="Z230" s="3" t="s">
        <v>1896</v>
      </c>
      <c r="AA230" t="s">
        <v>1517</v>
      </c>
      <c r="AB230" s="3" t="s">
        <v>1765</v>
      </c>
      <c r="AC230" s="3" t="s">
        <v>640</v>
      </c>
      <c r="AD230" s="3" t="s">
        <v>640</v>
      </c>
    </row>
    <row r="231" spans="1:30" x14ac:dyDescent="0.35">
      <c r="A231" s="3" t="s">
        <v>608</v>
      </c>
      <c r="B231" s="3" t="s">
        <v>608</v>
      </c>
      <c r="C231" s="3" t="s">
        <v>608</v>
      </c>
      <c r="D231" s="3" t="s">
        <v>608</v>
      </c>
      <c r="E231" s="3" t="s">
        <v>608</v>
      </c>
      <c r="F231" s="3" t="s">
        <v>111</v>
      </c>
      <c r="G231" s="3" t="s">
        <v>1077</v>
      </c>
      <c r="H231">
        <v>-8167000</v>
      </c>
      <c r="I231" s="3" t="s">
        <v>112</v>
      </c>
      <c r="J231" s="3" t="s">
        <v>689</v>
      </c>
      <c r="K231">
        <v>0.875</v>
      </c>
      <c r="L231" s="3" t="s">
        <v>113</v>
      </c>
      <c r="M231" s="3" t="s">
        <v>111</v>
      </c>
      <c r="N231" s="3" t="s">
        <v>111</v>
      </c>
      <c r="O231">
        <v>105</v>
      </c>
      <c r="P231">
        <v>105.07</v>
      </c>
      <c r="Q231">
        <v>-6402.7</v>
      </c>
      <c r="R231">
        <v>-5546.88</v>
      </c>
      <c r="S231">
        <v>-5606.18</v>
      </c>
      <c r="T231" s="3" t="s">
        <v>30</v>
      </c>
      <c r="U231">
        <v>103.59</v>
      </c>
      <c r="V231" s="3" t="s">
        <v>9</v>
      </c>
      <c r="W231" s="3" t="s">
        <v>31</v>
      </c>
      <c r="X231" s="3" t="s">
        <v>1328</v>
      </c>
      <c r="Y231" s="3" t="s">
        <v>1328</v>
      </c>
      <c r="Z231" s="3" t="s">
        <v>1897</v>
      </c>
      <c r="AA231" t="s">
        <v>1580</v>
      </c>
      <c r="AB231" s="3" t="s">
        <v>1765</v>
      </c>
      <c r="AC231" s="3" t="s">
        <v>640</v>
      </c>
      <c r="AD231" s="3" t="s">
        <v>640</v>
      </c>
    </row>
    <row r="232" spans="1:30" x14ac:dyDescent="0.35">
      <c r="A232" s="3" t="s">
        <v>608</v>
      </c>
      <c r="B232" s="3" t="s">
        <v>608</v>
      </c>
      <c r="C232" s="3" t="s">
        <v>608</v>
      </c>
      <c r="D232" s="3" t="s">
        <v>608</v>
      </c>
      <c r="E232" s="3" t="s">
        <v>608</v>
      </c>
      <c r="F232" s="3" t="s">
        <v>965</v>
      </c>
      <c r="G232" s="3" t="s">
        <v>1018</v>
      </c>
      <c r="H232">
        <v>3000000</v>
      </c>
      <c r="I232" s="3" t="s">
        <v>966</v>
      </c>
      <c r="J232" s="3" t="s">
        <v>1186</v>
      </c>
      <c r="K232">
        <v>0.75</v>
      </c>
      <c r="L232" s="3" t="s">
        <v>967</v>
      </c>
      <c r="M232" s="3" t="s">
        <v>965</v>
      </c>
      <c r="N232" s="3" t="s">
        <v>965</v>
      </c>
      <c r="O232">
        <v>102.79</v>
      </c>
      <c r="P232">
        <v>102.81</v>
      </c>
      <c r="Q232">
        <v>481.48</v>
      </c>
      <c r="R232">
        <v>968.74</v>
      </c>
      <c r="S232">
        <v>977.57</v>
      </c>
      <c r="T232" s="3" t="s">
        <v>30</v>
      </c>
      <c r="U232">
        <v>102.63</v>
      </c>
      <c r="V232" s="3" t="s">
        <v>9</v>
      </c>
      <c r="W232" s="3" t="s">
        <v>31</v>
      </c>
      <c r="X232" s="3" t="s">
        <v>1328</v>
      </c>
      <c r="Y232" s="3" t="s">
        <v>1328</v>
      </c>
      <c r="Z232" s="3" t="s">
        <v>1655</v>
      </c>
      <c r="AA232" t="s">
        <v>1515</v>
      </c>
      <c r="AB232" s="3" t="s">
        <v>1765</v>
      </c>
      <c r="AC232" s="3" t="s">
        <v>640</v>
      </c>
      <c r="AD232" s="3" t="s">
        <v>640</v>
      </c>
    </row>
    <row r="233" spans="1:30" x14ac:dyDescent="0.35">
      <c r="A233" s="3" t="s">
        <v>608</v>
      </c>
      <c r="B233" s="3" t="s">
        <v>608</v>
      </c>
      <c r="C233" s="3" t="s">
        <v>608</v>
      </c>
      <c r="D233" s="3" t="s">
        <v>608</v>
      </c>
      <c r="E233" s="3" t="s">
        <v>608</v>
      </c>
      <c r="F233" s="3" t="s">
        <v>339</v>
      </c>
      <c r="G233" s="3" t="s">
        <v>1079</v>
      </c>
      <c r="H233">
        <v>2700000</v>
      </c>
      <c r="I233" s="3" t="s">
        <v>340</v>
      </c>
      <c r="J233" s="3" t="s">
        <v>776</v>
      </c>
      <c r="K233">
        <v>2.625</v>
      </c>
      <c r="L233" s="3" t="s">
        <v>118</v>
      </c>
      <c r="M233" s="3" t="s">
        <v>339</v>
      </c>
      <c r="N233" s="3" t="s">
        <v>339</v>
      </c>
      <c r="O233">
        <v>105.57</v>
      </c>
      <c r="P233">
        <v>105.59</v>
      </c>
      <c r="Q233">
        <v>923.18</v>
      </c>
      <c r="R233">
        <v>919.37</v>
      </c>
      <c r="S233">
        <v>928.45</v>
      </c>
      <c r="T233" s="3" t="s">
        <v>30</v>
      </c>
      <c r="U233">
        <v>104.36</v>
      </c>
      <c r="V233" s="3" t="s">
        <v>256</v>
      </c>
      <c r="W233" s="3" t="s">
        <v>31</v>
      </c>
      <c r="X233" s="3" t="s">
        <v>1328</v>
      </c>
      <c r="Y233" s="3" t="s">
        <v>1328</v>
      </c>
      <c r="Z233" s="3" t="s">
        <v>1898</v>
      </c>
      <c r="AA233" t="s">
        <v>1581</v>
      </c>
      <c r="AB233" s="3" t="s">
        <v>1765</v>
      </c>
      <c r="AC233" s="3" t="s">
        <v>640</v>
      </c>
      <c r="AD233" s="3" t="s">
        <v>640</v>
      </c>
    </row>
    <row r="234" spans="1:30" x14ac:dyDescent="0.35">
      <c r="A234" s="3" t="s">
        <v>608</v>
      </c>
      <c r="B234" s="3" t="s">
        <v>608</v>
      </c>
      <c r="C234" s="3" t="s">
        <v>608</v>
      </c>
      <c r="D234" s="3" t="s">
        <v>608</v>
      </c>
      <c r="E234" s="3" t="s">
        <v>608</v>
      </c>
      <c r="F234" s="3" t="s">
        <v>116</v>
      </c>
      <c r="G234" s="3" t="s">
        <v>1078</v>
      </c>
      <c r="H234">
        <v>3700000</v>
      </c>
      <c r="I234" s="3" t="s">
        <v>117</v>
      </c>
      <c r="J234" s="3" t="s">
        <v>691</v>
      </c>
      <c r="K234">
        <v>1</v>
      </c>
      <c r="L234" s="3" t="s">
        <v>118</v>
      </c>
      <c r="M234" s="3" t="s">
        <v>116</v>
      </c>
      <c r="N234" s="3" t="s">
        <v>116</v>
      </c>
      <c r="O234">
        <v>103.75</v>
      </c>
      <c r="P234">
        <v>103.76</v>
      </c>
      <c r="Q234">
        <v>471.37</v>
      </c>
      <c r="R234">
        <v>1253.47</v>
      </c>
      <c r="S234">
        <v>1265.81</v>
      </c>
      <c r="T234" s="3" t="s">
        <v>30</v>
      </c>
      <c r="U234">
        <v>103.77</v>
      </c>
      <c r="V234" s="3" t="s">
        <v>9</v>
      </c>
      <c r="W234" s="3" t="s">
        <v>31</v>
      </c>
      <c r="X234" s="3" t="s">
        <v>1328</v>
      </c>
      <c r="Y234" s="3" t="s">
        <v>1328</v>
      </c>
      <c r="Z234" s="3" t="s">
        <v>1746</v>
      </c>
      <c r="AA234" t="s">
        <v>1582</v>
      </c>
      <c r="AB234" s="3" t="s">
        <v>1765</v>
      </c>
      <c r="AC234" s="3" t="s">
        <v>640</v>
      </c>
      <c r="AD234" s="3" t="s">
        <v>640</v>
      </c>
    </row>
    <row r="235" spans="1:30" x14ac:dyDescent="0.35">
      <c r="A235" s="3" t="s">
        <v>608</v>
      </c>
      <c r="B235" s="3" t="s">
        <v>608</v>
      </c>
      <c r="C235" s="3" t="s">
        <v>608</v>
      </c>
      <c r="D235" s="3" t="s">
        <v>608</v>
      </c>
      <c r="E235" s="3" t="s">
        <v>608</v>
      </c>
      <c r="F235" s="3" t="s">
        <v>337</v>
      </c>
      <c r="G235" s="3" t="s">
        <v>1729</v>
      </c>
      <c r="H235">
        <v>-800000</v>
      </c>
      <c r="I235" s="3" t="s">
        <v>338</v>
      </c>
      <c r="J235" s="3" t="s">
        <v>775</v>
      </c>
      <c r="K235">
        <v>2.25</v>
      </c>
      <c r="L235" s="3" t="s">
        <v>118</v>
      </c>
      <c r="M235" s="3" t="s">
        <v>337</v>
      </c>
      <c r="N235" s="3" t="s">
        <v>337</v>
      </c>
      <c r="O235">
        <v>101.74</v>
      </c>
      <c r="P235">
        <v>103.1</v>
      </c>
      <c r="Q235">
        <v>5112</v>
      </c>
      <c r="R235">
        <v>-613.83000000000004</v>
      </c>
      <c r="S235">
        <v>-620.99</v>
      </c>
      <c r="T235" s="3" t="s">
        <v>30</v>
      </c>
      <c r="U235">
        <v>103.74</v>
      </c>
      <c r="V235" s="3" t="s">
        <v>256</v>
      </c>
      <c r="W235" s="3" t="s">
        <v>31</v>
      </c>
      <c r="X235" s="3" t="s">
        <v>1328</v>
      </c>
      <c r="Y235" s="3" t="s">
        <v>1328</v>
      </c>
      <c r="Z235" s="3" t="s">
        <v>1899</v>
      </c>
      <c r="AA235" t="s">
        <v>1616</v>
      </c>
      <c r="AB235" s="3" t="s">
        <v>1765</v>
      </c>
      <c r="AC235" s="3" t="s">
        <v>640</v>
      </c>
      <c r="AD235" s="3" t="s">
        <v>640</v>
      </c>
    </row>
    <row r="236" spans="1:30" x14ac:dyDescent="0.35">
      <c r="A236" s="3" t="s">
        <v>608</v>
      </c>
      <c r="B236" s="3" t="s">
        <v>608</v>
      </c>
      <c r="C236" s="3" t="s">
        <v>608</v>
      </c>
      <c r="D236" s="3" t="s">
        <v>608</v>
      </c>
      <c r="E236" s="3" t="s">
        <v>608</v>
      </c>
      <c r="F236" s="3" t="s">
        <v>1426</v>
      </c>
      <c r="G236" s="3" t="s">
        <v>1427</v>
      </c>
      <c r="H236">
        <v>-3000000</v>
      </c>
      <c r="I236" s="3" t="s">
        <v>1428</v>
      </c>
      <c r="J236" s="3" t="s">
        <v>1429</v>
      </c>
      <c r="K236">
        <v>1.2</v>
      </c>
      <c r="L236" s="3" t="s">
        <v>1482</v>
      </c>
      <c r="M236" s="3" t="s">
        <v>1426</v>
      </c>
      <c r="N236" s="3" t="s">
        <v>1426</v>
      </c>
      <c r="O236">
        <v>105.03</v>
      </c>
      <c r="P236">
        <v>105.53</v>
      </c>
      <c r="Q236">
        <v>-14978.36</v>
      </c>
      <c r="R236">
        <v>-5444.72</v>
      </c>
      <c r="S236">
        <v>-5520.86</v>
      </c>
      <c r="T236" s="3" t="s">
        <v>30</v>
      </c>
      <c r="U236">
        <v>105.2</v>
      </c>
      <c r="V236" s="3" t="s">
        <v>9</v>
      </c>
      <c r="W236" s="3" t="s">
        <v>31</v>
      </c>
      <c r="X236" s="3" t="s">
        <v>1328</v>
      </c>
      <c r="Y236" s="3" t="s">
        <v>1328</v>
      </c>
      <c r="Z236" s="3" t="s">
        <v>1900</v>
      </c>
      <c r="AA236" t="s">
        <v>1546</v>
      </c>
      <c r="AB236" s="3" t="s">
        <v>1765</v>
      </c>
      <c r="AC236" s="3" t="s">
        <v>640</v>
      </c>
      <c r="AD236" s="3" t="s">
        <v>640</v>
      </c>
    </row>
    <row r="237" spans="1:30" x14ac:dyDescent="0.35">
      <c r="A237" s="3" t="s">
        <v>608</v>
      </c>
      <c r="B237" s="3" t="s">
        <v>608</v>
      </c>
      <c r="C237" s="3" t="s">
        <v>608</v>
      </c>
      <c r="D237" s="3" t="s">
        <v>608</v>
      </c>
      <c r="E237" s="3" t="s">
        <v>608</v>
      </c>
      <c r="F237" s="3" t="s">
        <v>581</v>
      </c>
      <c r="G237" s="3" t="s">
        <v>1080</v>
      </c>
      <c r="H237">
        <v>500000</v>
      </c>
      <c r="I237" s="3" t="s">
        <v>582</v>
      </c>
      <c r="J237" s="3" t="s">
        <v>830</v>
      </c>
      <c r="K237">
        <v>6.75</v>
      </c>
      <c r="L237" s="3" t="s">
        <v>580</v>
      </c>
      <c r="M237" s="3" t="s">
        <v>581</v>
      </c>
      <c r="N237" s="3" t="s">
        <v>581</v>
      </c>
      <c r="O237">
        <v>108.57</v>
      </c>
      <c r="P237">
        <v>108.56</v>
      </c>
      <c r="Q237">
        <v>-727.76</v>
      </c>
      <c r="R237">
        <v>139.84</v>
      </c>
      <c r="S237">
        <v>142.02000000000001</v>
      </c>
      <c r="T237" s="3" t="s">
        <v>30</v>
      </c>
      <c r="U237">
        <v>101.14</v>
      </c>
      <c r="V237" s="3" t="s">
        <v>563</v>
      </c>
      <c r="W237" s="3" t="s">
        <v>31</v>
      </c>
      <c r="X237" s="3" t="s">
        <v>1328</v>
      </c>
      <c r="Y237" s="3" t="s">
        <v>1328</v>
      </c>
      <c r="Z237" s="3" t="s">
        <v>1901</v>
      </c>
      <c r="AA237" t="s">
        <v>1556</v>
      </c>
      <c r="AB237" s="3" t="s">
        <v>1768</v>
      </c>
      <c r="AC237" s="3" t="s">
        <v>640</v>
      </c>
      <c r="AD237" s="3" t="s">
        <v>640</v>
      </c>
    </row>
    <row r="238" spans="1:30" x14ac:dyDescent="0.35">
      <c r="A238" s="3" t="s">
        <v>608</v>
      </c>
      <c r="B238" s="3" t="s">
        <v>608</v>
      </c>
      <c r="C238" s="3" t="s">
        <v>608</v>
      </c>
      <c r="D238" s="3" t="s">
        <v>608</v>
      </c>
      <c r="E238" s="3" t="s">
        <v>608</v>
      </c>
      <c r="F238" s="3" t="s">
        <v>578</v>
      </c>
      <c r="G238" s="3" t="s">
        <v>1080</v>
      </c>
      <c r="H238">
        <v>50000</v>
      </c>
      <c r="I238" s="3" t="s">
        <v>579</v>
      </c>
      <c r="J238" s="3" t="s">
        <v>829</v>
      </c>
      <c r="K238">
        <v>5.75</v>
      </c>
      <c r="L238" s="3" t="s">
        <v>580</v>
      </c>
      <c r="M238" s="3" t="s">
        <v>578</v>
      </c>
      <c r="N238" s="3" t="s">
        <v>578</v>
      </c>
      <c r="O238">
        <v>107.54</v>
      </c>
      <c r="P238">
        <v>107.58</v>
      </c>
      <c r="Q238">
        <v>-53</v>
      </c>
      <c r="R238">
        <v>23.04</v>
      </c>
      <c r="S238">
        <v>23.42</v>
      </c>
      <c r="T238" s="3" t="s">
        <v>30</v>
      </c>
      <c r="U238">
        <v>100.1</v>
      </c>
      <c r="V238" s="3" t="s">
        <v>563</v>
      </c>
      <c r="W238" s="3" t="s">
        <v>31</v>
      </c>
      <c r="X238" s="3" t="s">
        <v>1328</v>
      </c>
      <c r="Y238" s="3" t="s">
        <v>1328</v>
      </c>
      <c r="Z238" s="3" t="s">
        <v>1902</v>
      </c>
      <c r="AA238" t="s">
        <v>1583</v>
      </c>
      <c r="AB238" s="3" t="s">
        <v>1768</v>
      </c>
      <c r="AC238" s="3" t="s">
        <v>640</v>
      </c>
      <c r="AD238" s="3" t="s">
        <v>640</v>
      </c>
    </row>
    <row r="239" spans="1:30" x14ac:dyDescent="0.35">
      <c r="A239" s="3" t="s">
        <v>608</v>
      </c>
      <c r="B239" s="3" t="s">
        <v>608</v>
      </c>
      <c r="C239" s="3" t="s">
        <v>608</v>
      </c>
      <c r="D239" s="3" t="s">
        <v>608</v>
      </c>
      <c r="E239" s="3" t="s">
        <v>608</v>
      </c>
      <c r="F239" s="3" t="s">
        <v>1430</v>
      </c>
      <c r="G239" s="3" t="s">
        <v>1431</v>
      </c>
      <c r="H239">
        <v>7260000</v>
      </c>
      <c r="I239" s="3" t="s">
        <v>1432</v>
      </c>
      <c r="J239" s="3" t="s">
        <v>1433</v>
      </c>
      <c r="K239">
        <v>1</v>
      </c>
      <c r="L239" s="3" t="s">
        <v>1483</v>
      </c>
      <c r="M239" s="3" t="s">
        <v>1430</v>
      </c>
      <c r="N239" s="3" t="s">
        <v>1430</v>
      </c>
      <c r="O239">
        <v>105.74</v>
      </c>
      <c r="P239">
        <v>105.91</v>
      </c>
      <c r="Q239">
        <v>12640.9</v>
      </c>
      <c r="R239">
        <v>7069.81</v>
      </c>
      <c r="S239">
        <v>7155.71</v>
      </c>
      <c r="T239" s="3" t="s">
        <v>30</v>
      </c>
      <c r="U239">
        <v>105.55</v>
      </c>
      <c r="V239" s="3" t="s">
        <v>9</v>
      </c>
      <c r="W239" s="3" t="s">
        <v>31</v>
      </c>
      <c r="X239" s="3" t="s">
        <v>1328</v>
      </c>
      <c r="Y239" s="3" t="s">
        <v>1328</v>
      </c>
      <c r="Z239" s="3" t="s">
        <v>1903</v>
      </c>
      <c r="AA239" t="s">
        <v>1697</v>
      </c>
      <c r="AB239" s="3" t="s">
        <v>1765</v>
      </c>
      <c r="AC239" s="3" t="s">
        <v>640</v>
      </c>
      <c r="AD239" s="3" t="s">
        <v>640</v>
      </c>
    </row>
    <row r="240" spans="1:30" x14ac:dyDescent="0.35">
      <c r="A240" s="3" t="s">
        <v>608</v>
      </c>
      <c r="B240" s="3" t="s">
        <v>608</v>
      </c>
      <c r="C240" s="3" t="s">
        <v>608</v>
      </c>
      <c r="D240" s="3" t="s">
        <v>608</v>
      </c>
      <c r="E240" s="3" t="s">
        <v>608</v>
      </c>
      <c r="F240" s="3" t="s">
        <v>882</v>
      </c>
      <c r="G240" s="3" t="s">
        <v>1081</v>
      </c>
      <c r="H240">
        <v>200000</v>
      </c>
      <c r="I240" s="3" t="s">
        <v>883</v>
      </c>
      <c r="J240" s="3" t="s">
        <v>913</v>
      </c>
      <c r="K240">
        <v>7.75</v>
      </c>
      <c r="L240" s="3" t="s">
        <v>884</v>
      </c>
      <c r="M240" s="3" t="s">
        <v>882</v>
      </c>
      <c r="N240" s="3" t="s">
        <v>882</v>
      </c>
      <c r="O240">
        <v>117.58</v>
      </c>
      <c r="P240">
        <v>117.28</v>
      </c>
      <c r="Q240">
        <v>-567.88</v>
      </c>
      <c r="R240">
        <v>117.13</v>
      </c>
      <c r="S240">
        <v>118.58</v>
      </c>
      <c r="T240" s="3" t="s">
        <v>30</v>
      </c>
      <c r="U240">
        <v>112.1</v>
      </c>
      <c r="V240" s="3" t="s">
        <v>563</v>
      </c>
      <c r="W240" s="3" t="s">
        <v>31</v>
      </c>
      <c r="X240" s="3" t="s">
        <v>1328</v>
      </c>
      <c r="Y240" s="3" t="s">
        <v>1328</v>
      </c>
      <c r="Z240" s="3" t="s">
        <v>1904</v>
      </c>
      <c r="AA240" t="s">
        <v>1521</v>
      </c>
      <c r="AB240" s="3" t="s">
        <v>1765</v>
      </c>
      <c r="AC240" s="3" t="s">
        <v>640</v>
      </c>
      <c r="AD240" s="3" t="s">
        <v>640</v>
      </c>
    </row>
    <row r="241" spans="1:30" x14ac:dyDescent="0.35">
      <c r="A241" s="3" t="s">
        <v>608</v>
      </c>
      <c r="B241" s="3" t="s">
        <v>608</v>
      </c>
      <c r="C241" s="3" t="s">
        <v>608</v>
      </c>
      <c r="D241" s="3" t="s">
        <v>608</v>
      </c>
      <c r="E241" s="3" t="s">
        <v>608</v>
      </c>
      <c r="F241" s="3" t="s">
        <v>1434</v>
      </c>
      <c r="G241" s="3" t="s">
        <v>1435</v>
      </c>
      <c r="H241">
        <v>1000000</v>
      </c>
      <c r="I241" s="3" t="s">
        <v>1436</v>
      </c>
      <c r="J241" s="3" t="s">
        <v>1437</v>
      </c>
      <c r="K241">
        <v>2.375</v>
      </c>
      <c r="L241" s="3" t="s">
        <v>346</v>
      </c>
      <c r="M241" s="3" t="s">
        <v>1434</v>
      </c>
      <c r="N241" s="3" t="s">
        <v>1434</v>
      </c>
      <c r="O241">
        <v>105.3</v>
      </c>
      <c r="P241">
        <v>105.31</v>
      </c>
      <c r="Q241">
        <v>95.07</v>
      </c>
      <c r="R241">
        <v>509.1</v>
      </c>
      <c r="S241">
        <v>514.25</v>
      </c>
      <c r="T241" s="3" t="s">
        <v>30</v>
      </c>
      <c r="U241">
        <v>104.91</v>
      </c>
      <c r="V241" s="3" t="s">
        <v>256</v>
      </c>
      <c r="W241" s="3" t="s">
        <v>8</v>
      </c>
      <c r="X241" s="3" t="s">
        <v>1328</v>
      </c>
      <c r="Y241" s="3" t="s">
        <v>1328</v>
      </c>
      <c r="Z241" s="3" t="s">
        <v>1882</v>
      </c>
      <c r="AA241" t="s">
        <v>1517</v>
      </c>
      <c r="AB241" s="3" t="s">
        <v>1765</v>
      </c>
      <c r="AC241" s="3" t="s">
        <v>640</v>
      </c>
      <c r="AD241" s="3" t="s">
        <v>640</v>
      </c>
    </row>
    <row r="242" spans="1:30" x14ac:dyDescent="0.35">
      <c r="A242" s="3" t="s">
        <v>608</v>
      </c>
      <c r="B242" s="3" t="s">
        <v>608</v>
      </c>
      <c r="C242" s="3" t="s">
        <v>608</v>
      </c>
      <c r="D242" s="3" t="s">
        <v>608</v>
      </c>
      <c r="E242" s="3" t="s">
        <v>608</v>
      </c>
      <c r="F242" s="3" t="s">
        <v>344</v>
      </c>
      <c r="G242" s="3" t="s">
        <v>1086</v>
      </c>
      <c r="H242">
        <v>-1345000</v>
      </c>
      <c r="I242" s="3" t="s">
        <v>345</v>
      </c>
      <c r="J242" s="3" t="s">
        <v>778</v>
      </c>
      <c r="K242">
        <v>2.875</v>
      </c>
      <c r="L242" s="3" t="s">
        <v>346</v>
      </c>
      <c r="M242" s="3" t="s">
        <v>344</v>
      </c>
      <c r="N242" s="3" t="s">
        <v>344</v>
      </c>
      <c r="O242">
        <v>108.94</v>
      </c>
      <c r="P242">
        <v>109.14</v>
      </c>
      <c r="Q242">
        <v>-2768.75</v>
      </c>
      <c r="R242">
        <v>-1039.57</v>
      </c>
      <c r="S242">
        <v>-1051.8499999999999</v>
      </c>
      <c r="T242" s="3" t="s">
        <v>30</v>
      </c>
      <c r="U242">
        <v>108.1</v>
      </c>
      <c r="V242" s="3" t="s">
        <v>256</v>
      </c>
      <c r="W242" s="3" t="s">
        <v>31</v>
      </c>
      <c r="X242" s="3" t="s">
        <v>1328</v>
      </c>
      <c r="Y242" s="3" t="s">
        <v>1328</v>
      </c>
      <c r="Z242" s="3" t="s">
        <v>1905</v>
      </c>
      <c r="AA242" t="s">
        <v>1585</v>
      </c>
      <c r="AB242" s="3" t="s">
        <v>1765</v>
      </c>
      <c r="AC242" s="3" t="s">
        <v>640</v>
      </c>
      <c r="AD242" s="3" t="s">
        <v>640</v>
      </c>
    </row>
    <row r="243" spans="1:30" x14ac:dyDescent="0.35">
      <c r="A243" s="3" t="s">
        <v>608</v>
      </c>
      <c r="B243" s="3" t="s">
        <v>608</v>
      </c>
      <c r="C243" s="3" t="s">
        <v>608</v>
      </c>
      <c r="D243" s="3" t="s">
        <v>608</v>
      </c>
      <c r="E243" s="3" t="s">
        <v>608</v>
      </c>
      <c r="F243" s="3" t="s">
        <v>239</v>
      </c>
      <c r="G243" s="3" t="s">
        <v>1085</v>
      </c>
      <c r="H243">
        <v>1000000</v>
      </c>
      <c r="I243" s="3" t="s">
        <v>240</v>
      </c>
      <c r="J243" s="3" t="s">
        <v>737</v>
      </c>
      <c r="K243">
        <v>1.6379999999999999</v>
      </c>
      <c r="L243" s="3" t="s">
        <v>241</v>
      </c>
      <c r="M243" s="3" t="s">
        <v>239</v>
      </c>
      <c r="N243" s="3" t="s">
        <v>239</v>
      </c>
      <c r="O243">
        <v>108.86</v>
      </c>
      <c r="P243">
        <v>108.94</v>
      </c>
      <c r="Q243">
        <v>894.88</v>
      </c>
      <c r="R243">
        <v>676.89</v>
      </c>
      <c r="S243">
        <v>684.06</v>
      </c>
      <c r="T243" s="3" t="s">
        <v>30</v>
      </c>
      <c r="U243">
        <v>108.25</v>
      </c>
      <c r="V243" s="3" t="s">
        <v>230</v>
      </c>
      <c r="W243" s="3" t="s">
        <v>31</v>
      </c>
      <c r="X243" s="3" t="s">
        <v>1328</v>
      </c>
      <c r="Y243" s="3" t="s">
        <v>1328</v>
      </c>
      <c r="Z243" s="3" t="s">
        <v>1906</v>
      </c>
      <c r="AA243" t="s">
        <v>1517</v>
      </c>
      <c r="AB243" s="3" t="s">
        <v>1765</v>
      </c>
      <c r="AC243" s="3" t="s">
        <v>640</v>
      </c>
      <c r="AD243" s="3" t="s">
        <v>640</v>
      </c>
    </row>
    <row r="244" spans="1:30" x14ac:dyDescent="0.35">
      <c r="A244" s="3" t="s">
        <v>608</v>
      </c>
      <c r="B244" s="3" t="s">
        <v>608</v>
      </c>
      <c r="C244" s="3" t="s">
        <v>608</v>
      </c>
      <c r="D244" s="3" t="s">
        <v>608</v>
      </c>
      <c r="E244" s="3" t="s">
        <v>608</v>
      </c>
      <c r="F244" s="3" t="s">
        <v>837</v>
      </c>
      <c r="G244" s="3" t="s">
        <v>1087</v>
      </c>
      <c r="H244">
        <v>2100000</v>
      </c>
      <c r="I244" s="3" t="s">
        <v>838</v>
      </c>
      <c r="J244" s="3" t="s">
        <v>840</v>
      </c>
      <c r="K244">
        <v>2</v>
      </c>
      <c r="L244" s="3" t="s">
        <v>839</v>
      </c>
      <c r="M244" s="3" t="s">
        <v>837</v>
      </c>
      <c r="N244" s="3" t="s">
        <v>837</v>
      </c>
      <c r="O244">
        <v>99.71</v>
      </c>
      <c r="P244">
        <v>99.74</v>
      </c>
      <c r="Q244">
        <v>666.22</v>
      </c>
      <c r="R244">
        <v>791.22</v>
      </c>
      <c r="S244">
        <v>799</v>
      </c>
      <c r="T244" s="3" t="s">
        <v>30</v>
      </c>
      <c r="U244">
        <v>99.51</v>
      </c>
      <c r="V244" s="3" t="s">
        <v>256</v>
      </c>
      <c r="W244" s="3" t="s">
        <v>31</v>
      </c>
      <c r="X244" s="3" t="s">
        <v>1328</v>
      </c>
      <c r="Y244" s="3" t="s">
        <v>1328</v>
      </c>
      <c r="Z244" s="3" t="s">
        <v>1907</v>
      </c>
      <c r="AA244" t="s">
        <v>1698</v>
      </c>
      <c r="AB244" s="3" t="s">
        <v>1765</v>
      </c>
      <c r="AC244" s="3" t="s">
        <v>640</v>
      </c>
      <c r="AD244" s="3" t="s">
        <v>640</v>
      </c>
    </row>
    <row r="245" spans="1:30" x14ac:dyDescent="0.35">
      <c r="A245" s="3" t="s">
        <v>608</v>
      </c>
      <c r="B245" s="3" t="s">
        <v>608</v>
      </c>
      <c r="C245" s="3" t="s">
        <v>608</v>
      </c>
      <c r="D245" s="3" t="s">
        <v>608</v>
      </c>
      <c r="E245" s="3" t="s">
        <v>608</v>
      </c>
      <c r="F245" s="3" t="s">
        <v>347</v>
      </c>
      <c r="G245" s="3" t="s">
        <v>1088</v>
      </c>
      <c r="H245">
        <v>416000</v>
      </c>
      <c r="I245" s="3" t="s">
        <v>348</v>
      </c>
      <c r="J245" s="3" t="s">
        <v>779</v>
      </c>
      <c r="K245">
        <v>4.5</v>
      </c>
      <c r="L245" s="3" t="s">
        <v>349</v>
      </c>
      <c r="M245" s="3" t="s">
        <v>347</v>
      </c>
      <c r="N245" s="3" t="s">
        <v>347</v>
      </c>
      <c r="O245">
        <v>106.88</v>
      </c>
      <c r="P245">
        <v>106.88</v>
      </c>
      <c r="Q245">
        <v>66.33</v>
      </c>
      <c r="R245">
        <v>107.95</v>
      </c>
      <c r="S245">
        <v>108.91</v>
      </c>
      <c r="T245" s="3" t="s">
        <v>30</v>
      </c>
      <c r="U245">
        <v>106.25</v>
      </c>
      <c r="V245" s="3" t="s">
        <v>256</v>
      </c>
      <c r="W245" s="3" t="s">
        <v>31</v>
      </c>
      <c r="X245" s="3" t="s">
        <v>1328</v>
      </c>
      <c r="Y245" s="3" t="s">
        <v>1328</v>
      </c>
      <c r="Z245" s="3" t="s">
        <v>1328</v>
      </c>
      <c r="AA245" t="s">
        <v>1699</v>
      </c>
      <c r="AB245" s="3" t="s">
        <v>1765</v>
      </c>
      <c r="AC245" s="3" t="s">
        <v>640</v>
      </c>
      <c r="AD245" s="3" t="s">
        <v>640</v>
      </c>
    </row>
    <row r="246" spans="1:30" x14ac:dyDescent="0.35">
      <c r="A246" s="3" t="s">
        <v>608</v>
      </c>
      <c r="B246" s="3" t="s">
        <v>608</v>
      </c>
      <c r="C246" s="3" t="s">
        <v>608</v>
      </c>
      <c r="D246" s="3" t="s">
        <v>608</v>
      </c>
      <c r="E246" s="3" t="s">
        <v>608</v>
      </c>
      <c r="F246" s="3" t="s">
        <v>131</v>
      </c>
      <c r="G246" s="3" t="s">
        <v>1089</v>
      </c>
      <c r="H246">
        <v>1859000</v>
      </c>
      <c r="I246" s="3" t="s">
        <v>132</v>
      </c>
      <c r="J246" s="3" t="s">
        <v>687</v>
      </c>
      <c r="K246">
        <v>1.375</v>
      </c>
      <c r="L246" s="3" t="s">
        <v>130</v>
      </c>
      <c r="M246" s="3" t="s">
        <v>131</v>
      </c>
      <c r="N246" s="3" t="s">
        <v>131</v>
      </c>
      <c r="O246">
        <v>103.51</v>
      </c>
      <c r="P246">
        <v>103.55</v>
      </c>
      <c r="Q246">
        <v>869.4</v>
      </c>
      <c r="R246">
        <v>822.3</v>
      </c>
      <c r="S246">
        <v>830.5</v>
      </c>
      <c r="T246" s="3" t="s">
        <v>30</v>
      </c>
      <c r="U246">
        <v>103.53</v>
      </c>
      <c r="V246" s="3" t="s">
        <v>9</v>
      </c>
      <c r="W246" s="3" t="s">
        <v>31</v>
      </c>
      <c r="X246" s="3" t="s">
        <v>1328</v>
      </c>
      <c r="Y246" s="3" t="s">
        <v>1328</v>
      </c>
      <c r="Z246" s="3" t="s">
        <v>1908</v>
      </c>
      <c r="AA246" t="s">
        <v>1587</v>
      </c>
      <c r="AB246" s="3" t="s">
        <v>1765</v>
      </c>
      <c r="AC246" s="3" t="s">
        <v>640</v>
      </c>
      <c r="AD246" s="3" t="s">
        <v>640</v>
      </c>
    </row>
    <row r="247" spans="1:30" x14ac:dyDescent="0.35">
      <c r="A247" s="3" t="s">
        <v>608</v>
      </c>
      <c r="B247" s="3" t="s">
        <v>608</v>
      </c>
      <c r="C247" s="3" t="s">
        <v>608</v>
      </c>
      <c r="D247" s="3" t="s">
        <v>608</v>
      </c>
      <c r="E247" s="3" t="s">
        <v>608</v>
      </c>
      <c r="F247" s="3" t="s">
        <v>351</v>
      </c>
      <c r="G247" s="3" t="s">
        <v>1094</v>
      </c>
      <c r="H247">
        <v>-2000000</v>
      </c>
      <c r="I247" s="3" t="s">
        <v>352</v>
      </c>
      <c r="J247" s="3" t="s">
        <v>780</v>
      </c>
      <c r="K247">
        <v>3.375</v>
      </c>
      <c r="L247" s="3" t="s">
        <v>350</v>
      </c>
      <c r="M247" s="3" t="s">
        <v>351</v>
      </c>
      <c r="N247" s="3" t="s">
        <v>351</v>
      </c>
      <c r="O247">
        <v>109.77</v>
      </c>
      <c r="P247">
        <v>109.8</v>
      </c>
      <c r="Q247">
        <v>-764.43</v>
      </c>
      <c r="R247">
        <v>-843.4</v>
      </c>
      <c r="S247">
        <v>-851.8</v>
      </c>
      <c r="T247" s="3" t="s">
        <v>30</v>
      </c>
      <c r="U247">
        <v>109.25</v>
      </c>
      <c r="V247" s="3" t="s">
        <v>256</v>
      </c>
      <c r="W247" s="3" t="s">
        <v>31</v>
      </c>
      <c r="X247" s="3" t="s">
        <v>1328</v>
      </c>
      <c r="Y247" s="3" t="s">
        <v>1328</v>
      </c>
      <c r="Z247" s="3" t="s">
        <v>1909</v>
      </c>
      <c r="AA247" t="s">
        <v>1542</v>
      </c>
      <c r="AB247" s="3" t="s">
        <v>1765</v>
      </c>
      <c r="AC247" s="3" t="s">
        <v>640</v>
      </c>
      <c r="AD247" s="3" t="s">
        <v>640</v>
      </c>
    </row>
    <row r="248" spans="1:30" x14ac:dyDescent="0.35">
      <c r="A248" s="3" t="s">
        <v>608</v>
      </c>
      <c r="B248" s="3" t="s">
        <v>608</v>
      </c>
      <c r="C248" s="3" t="s">
        <v>608</v>
      </c>
      <c r="D248" s="3" t="s">
        <v>608</v>
      </c>
      <c r="E248" s="3" t="s">
        <v>608</v>
      </c>
      <c r="F248" s="3" t="s">
        <v>353</v>
      </c>
      <c r="G248" s="3" t="s">
        <v>1098</v>
      </c>
      <c r="H248">
        <v>-2381000</v>
      </c>
      <c r="I248" s="3" t="s">
        <v>354</v>
      </c>
      <c r="J248" s="3" t="s">
        <v>781</v>
      </c>
      <c r="K248">
        <v>2.125</v>
      </c>
      <c r="L248" s="3" t="s">
        <v>355</v>
      </c>
      <c r="M248" s="3" t="s">
        <v>353</v>
      </c>
      <c r="N248" s="3" t="s">
        <v>353</v>
      </c>
      <c r="O248">
        <v>102.25</v>
      </c>
      <c r="P248">
        <v>102.4</v>
      </c>
      <c r="Q248">
        <v>-3686.31</v>
      </c>
      <c r="R248">
        <v>-1482.26</v>
      </c>
      <c r="S248">
        <v>-1499.12</v>
      </c>
      <c r="T248" s="3" t="s">
        <v>30</v>
      </c>
      <c r="U248">
        <v>99.32</v>
      </c>
      <c r="V248" s="3" t="s">
        <v>256</v>
      </c>
      <c r="W248" s="3" t="s">
        <v>31</v>
      </c>
      <c r="X248" s="3" t="s">
        <v>1328</v>
      </c>
      <c r="Y248" s="3" t="s">
        <v>1328</v>
      </c>
      <c r="Z248" s="3" t="s">
        <v>1910</v>
      </c>
      <c r="AA248" t="s">
        <v>1589</v>
      </c>
      <c r="AB248" s="3" t="s">
        <v>1765</v>
      </c>
      <c r="AC248" s="3" t="s">
        <v>640</v>
      </c>
      <c r="AD248" s="3" t="s">
        <v>640</v>
      </c>
    </row>
    <row r="249" spans="1:30" x14ac:dyDescent="0.35">
      <c r="A249" s="3" t="s">
        <v>608</v>
      </c>
      <c r="B249" s="3" t="s">
        <v>608</v>
      </c>
      <c r="C249" s="3" t="s">
        <v>608</v>
      </c>
      <c r="D249" s="3" t="s">
        <v>608</v>
      </c>
      <c r="E249" s="3" t="s">
        <v>608</v>
      </c>
      <c r="F249" s="3" t="s">
        <v>356</v>
      </c>
      <c r="G249" s="3" t="s">
        <v>1097</v>
      </c>
      <c r="H249">
        <v>1000000</v>
      </c>
      <c r="I249" s="3" t="s">
        <v>357</v>
      </c>
      <c r="J249" s="3" t="s">
        <v>782</v>
      </c>
      <c r="K249">
        <v>5.625</v>
      </c>
      <c r="L249" s="3" t="s">
        <v>355</v>
      </c>
      <c r="M249" s="3" t="s">
        <v>356</v>
      </c>
      <c r="N249" s="3" t="s">
        <v>356</v>
      </c>
      <c r="O249">
        <v>114.3</v>
      </c>
      <c r="P249">
        <v>114.41</v>
      </c>
      <c r="Q249">
        <v>4562.13</v>
      </c>
      <c r="R249">
        <v>524.54</v>
      </c>
      <c r="S249">
        <v>533.4</v>
      </c>
      <c r="T249" s="3" t="s">
        <v>30</v>
      </c>
      <c r="U249">
        <v>114</v>
      </c>
      <c r="V249" s="3" t="s">
        <v>256</v>
      </c>
      <c r="W249" s="3" t="s">
        <v>31</v>
      </c>
      <c r="X249" s="3" t="s">
        <v>1328</v>
      </c>
      <c r="Y249" s="3" t="s">
        <v>1328</v>
      </c>
      <c r="Z249" s="3" t="s">
        <v>1911</v>
      </c>
      <c r="AA249" t="s">
        <v>1517</v>
      </c>
      <c r="AB249" s="3" t="s">
        <v>1766</v>
      </c>
      <c r="AC249" s="3" t="s">
        <v>640</v>
      </c>
      <c r="AD249" s="3" t="s">
        <v>640</v>
      </c>
    </row>
    <row r="250" spans="1:30" x14ac:dyDescent="0.35">
      <c r="A250" s="3" t="s">
        <v>608</v>
      </c>
      <c r="B250" s="3" t="s">
        <v>608</v>
      </c>
      <c r="C250" s="3" t="s">
        <v>608</v>
      </c>
      <c r="D250" s="3" t="s">
        <v>608</v>
      </c>
      <c r="E250" s="3" t="s">
        <v>608</v>
      </c>
      <c r="F250" s="3" t="s">
        <v>136</v>
      </c>
      <c r="G250" s="3" t="s">
        <v>1095</v>
      </c>
      <c r="H250">
        <v>-3000000</v>
      </c>
      <c r="I250" s="3" t="s">
        <v>137</v>
      </c>
      <c r="J250" s="3" t="s">
        <v>697</v>
      </c>
      <c r="K250">
        <v>1.25</v>
      </c>
      <c r="L250" s="3" t="s">
        <v>135</v>
      </c>
      <c r="M250" s="3" t="s">
        <v>136</v>
      </c>
      <c r="N250" s="3" t="s">
        <v>136</v>
      </c>
      <c r="O250">
        <v>106.25</v>
      </c>
      <c r="P250">
        <v>106.3</v>
      </c>
      <c r="Q250">
        <v>-1482.46</v>
      </c>
      <c r="R250">
        <v>-1603.59</v>
      </c>
      <c r="S250">
        <v>-1620.04</v>
      </c>
      <c r="T250" s="3" t="s">
        <v>30</v>
      </c>
      <c r="U250">
        <v>102.78</v>
      </c>
      <c r="V250" s="3" t="s">
        <v>9</v>
      </c>
      <c r="W250" s="3" t="s">
        <v>31</v>
      </c>
      <c r="X250" s="3" t="s">
        <v>1328</v>
      </c>
      <c r="Y250" s="3" t="s">
        <v>1328</v>
      </c>
      <c r="Z250" s="3" t="s">
        <v>1912</v>
      </c>
      <c r="AA250" t="s">
        <v>1546</v>
      </c>
      <c r="AB250" s="3" t="s">
        <v>1765</v>
      </c>
      <c r="AC250" s="3" t="s">
        <v>640</v>
      </c>
      <c r="AD250" s="3" t="s">
        <v>640</v>
      </c>
    </row>
    <row r="251" spans="1:30" x14ac:dyDescent="0.35">
      <c r="A251" s="3" t="s">
        <v>608</v>
      </c>
      <c r="B251" s="3" t="s">
        <v>608</v>
      </c>
      <c r="C251" s="3" t="s">
        <v>608</v>
      </c>
      <c r="D251" s="3" t="s">
        <v>608</v>
      </c>
      <c r="E251" s="3" t="s">
        <v>608</v>
      </c>
      <c r="F251" s="3" t="s">
        <v>133</v>
      </c>
      <c r="G251" s="3" t="s">
        <v>1096</v>
      </c>
      <c r="H251">
        <v>2300000</v>
      </c>
      <c r="I251" s="3" t="s">
        <v>134</v>
      </c>
      <c r="J251" s="3" t="s">
        <v>696</v>
      </c>
      <c r="K251">
        <v>1.25</v>
      </c>
      <c r="L251" s="3" t="s">
        <v>135</v>
      </c>
      <c r="M251" s="3" t="s">
        <v>133</v>
      </c>
      <c r="N251" s="3" t="s">
        <v>133</v>
      </c>
      <c r="O251">
        <v>106.26</v>
      </c>
      <c r="P251">
        <v>106.34</v>
      </c>
      <c r="Q251">
        <v>1826.77</v>
      </c>
      <c r="R251">
        <v>1289.1300000000001</v>
      </c>
      <c r="S251">
        <v>1302.99</v>
      </c>
      <c r="T251" s="3" t="s">
        <v>30</v>
      </c>
      <c r="U251">
        <v>104.27</v>
      </c>
      <c r="V251" s="3" t="s">
        <v>9</v>
      </c>
      <c r="W251" s="3" t="s">
        <v>31</v>
      </c>
      <c r="X251" s="3" t="s">
        <v>1328</v>
      </c>
      <c r="Y251" s="3" t="s">
        <v>1328</v>
      </c>
      <c r="Z251" s="3" t="s">
        <v>1913</v>
      </c>
      <c r="AA251" t="s">
        <v>1588</v>
      </c>
      <c r="AB251" s="3" t="s">
        <v>1765</v>
      </c>
      <c r="AC251" s="3" t="s">
        <v>640</v>
      </c>
      <c r="AD251" s="3" t="s">
        <v>640</v>
      </c>
    </row>
    <row r="252" spans="1:30" x14ac:dyDescent="0.35">
      <c r="A252" s="3" t="s">
        <v>608</v>
      </c>
      <c r="B252" s="3" t="s">
        <v>608</v>
      </c>
      <c r="C252" s="3" t="s">
        <v>608</v>
      </c>
      <c r="D252" s="3" t="s">
        <v>608</v>
      </c>
      <c r="E252" s="3" t="s">
        <v>608</v>
      </c>
      <c r="F252" s="3" t="s">
        <v>1108</v>
      </c>
      <c r="G252" s="3" t="s">
        <v>1109</v>
      </c>
      <c r="H252">
        <v>1750000</v>
      </c>
      <c r="I252" s="3" t="s">
        <v>243</v>
      </c>
      <c r="J252" s="3" t="s">
        <v>652</v>
      </c>
      <c r="K252">
        <v>1</v>
      </c>
      <c r="L252" s="3" t="s">
        <v>244</v>
      </c>
      <c r="M252" s="3" t="s">
        <v>242</v>
      </c>
      <c r="N252" s="3" t="s">
        <v>1110</v>
      </c>
      <c r="O252">
        <v>-1.94</v>
      </c>
      <c r="P252">
        <v>-1.94</v>
      </c>
      <c r="Q252">
        <v>-31</v>
      </c>
      <c r="R252">
        <v>-9.0299999999999994</v>
      </c>
      <c r="S252">
        <v>-905.5</v>
      </c>
      <c r="T252" s="3" t="s">
        <v>245</v>
      </c>
      <c r="U252">
        <v>-0.77</v>
      </c>
      <c r="V252" s="3" t="s">
        <v>230</v>
      </c>
      <c r="W252" s="3" t="s">
        <v>640</v>
      </c>
      <c r="X252" s="3" t="s">
        <v>1328</v>
      </c>
      <c r="Y252" s="3" t="s">
        <v>1328</v>
      </c>
      <c r="Z252" s="3" t="s">
        <v>1914</v>
      </c>
      <c r="AA252" t="s">
        <v>1595</v>
      </c>
      <c r="AB252" s="3" t="s">
        <v>1765</v>
      </c>
      <c r="AC252" s="3" t="s">
        <v>640</v>
      </c>
      <c r="AD252" s="3" t="s">
        <v>640</v>
      </c>
    </row>
    <row r="253" spans="1:30" x14ac:dyDescent="0.35">
      <c r="A253" s="3" t="s">
        <v>608</v>
      </c>
      <c r="B253" s="3" t="s">
        <v>608</v>
      </c>
      <c r="C253" s="3" t="s">
        <v>608</v>
      </c>
      <c r="D253" s="3" t="s">
        <v>608</v>
      </c>
      <c r="E253" s="3" t="s">
        <v>608</v>
      </c>
      <c r="F253" s="3" t="s">
        <v>991</v>
      </c>
      <c r="G253" s="3" t="s">
        <v>1102</v>
      </c>
      <c r="H253">
        <v>-800000</v>
      </c>
      <c r="I253" s="3" t="s">
        <v>992</v>
      </c>
      <c r="J253" s="3" t="s">
        <v>993</v>
      </c>
      <c r="K253">
        <v>6.25</v>
      </c>
      <c r="L253" s="3" t="s">
        <v>140</v>
      </c>
      <c r="M253" s="3" t="s">
        <v>991</v>
      </c>
      <c r="N253" s="3" t="s">
        <v>991</v>
      </c>
      <c r="O253">
        <v>121.14</v>
      </c>
      <c r="P253">
        <v>121.33</v>
      </c>
      <c r="Q253">
        <v>-1664.61</v>
      </c>
      <c r="R253">
        <v>-433.53</v>
      </c>
      <c r="S253">
        <v>-437.89</v>
      </c>
      <c r="T253" s="3" t="s">
        <v>30</v>
      </c>
      <c r="U253">
        <v>118.45</v>
      </c>
      <c r="V253" s="3" t="s">
        <v>256</v>
      </c>
      <c r="W253" s="3" t="s">
        <v>31</v>
      </c>
      <c r="X253" s="3" t="s">
        <v>1328</v>
      </c>
      <c r="Y253" s="3" t="s">
        <v>1328</v>
      </c>
      <c r="Z253" s="3" t="s">
        <v>1915</v>
      </c>
      <c r="AA253" t="s">
        <v>1590</v>
      </c>
      <c r="AB253" s="3" t="s">
        <v>1765</v>
      </c>
      <c r="AC253" s="3" t="s">
        <v>640</v>
      </c>
      <c r="AD253" s="3" t="s">
        <v>640</v>
      </c>
    </row>
    <row r="254" spans="1:30" x14ac:dyDescent="0.35">
      <c r="A254" s="3" t="s">
        <v>608</v>
      </c>
      <c r="B254" s="3" t="s">
        <v>608</v>
      </c>
      <c r="C254" s="3" t="s">
        <v>608</v>
      </c>
      <c r="D254" s="3" t="s">
        <v>608</v>
      </c>
      <c r="E254" s="3" t="s">
        <v>608</v>
      </c>
      <c r="F254" s="3" t="s">
        <v>360</v>
      </c>
      <c r="G254" s="3" t="s">
        <v>1101</v>
      </c>
      <c r="H254">
        <v>500000</v>
      </c>
      <c r="I254" s="3" t="s">
        <v>361</v>
      </c>
      <c r="J254" s="3" t="s">
        <v>785</v>
      </c>
      <c r="K254">
        <v>2.875</v>
      </c>
      <c r="L254" s="3" t="s">
        <v>140</v>
      </c>
      <c r="M254" s="3" t="s">
        <v>360</v>
      </c>
      <c r="N254" s="3" t="s">
        <v>360</v>
      </c>
      <c r="O254">
        <v>103.61</v>
      </c>
      <c r="P254">
        <v>103.72</v>
      </c>
      <c r="Q254">
        <v>1658.15</v>
      </c>
      <c r="R254">
        <v>164.55</v>
      </c>
      <c r="S254">
        <v>166.17</v>
      </c>
      <c r="T254" s="3" t="s">
        <v>30</v>
      </c>
      <c r="U254">
        <v>101.85</v>
      </c>
      <c r="V254" s="3" t="s">
        <v>256</v>
      </c>
      <c r="W254" s="3" t="s">
        <v>31</v>
      </c>
      <c r="X254" s="3" t="s">
        <v>1771</v>
      </c>
      <c r="Y254" s="3" t="s">
        <v>1771</v>
      </c>
      <c r="Z254" s="3" t="s">
        <v>1916</v>
      </c>
      <c r="AA254" t="s">
        <v>1547</v>
      </c>
      <c r="AB254" s="3" t="s">
        <v>1765</v>
      </c>
      <c r="AC254" s="3" t="s">
        <v>640</v>
      </c>
      <c r="AD254" s="3" t="s">
        <v>640</v>
      </c>
    </row>
    <row r="255" spans="1:30" x14ac:dyDescent="0.35">
      <c r="A255" s="3" t="s">
        <v>608</v>
      </c>
      <c r="B255" s="3" t="s">
        <v>608</v>
      </c>
      <c r="C255" s="3" t="s">
        <v>608</v>
      </c>
      <c r="D255" s="3" t="s">
        <v>608</v>
      </c>
      <c r="E255" s="3" t="s">
        <v>608</v>
      </c>
      <c r="F255" s="3" t="s">
        <v>138</v>
      </c>
      <c r="G255" s="3" t="s">
        <v>1100</v>
      </c>
      <c r="H255">
        <v>-1000000</v>
      </c>
      <c r="I255" s="3" t="s">
        <v>139</v>
      </c>
      <c r="J255" s="3" t="s">
        <v>698</v>
      </c>
      <c r="K255">
        <v>1.875</v>
      </c>
      <c r="L255" s="3" t="s">
        <v>140</v>
      </c>
      <c r="M255" s="3" t="s">
        <v>138</v>
      </c>
      <c r="N255" s="3" t="s">
        <v>138</v>
      </c>
      <c r="O255">
        <v>114.5</v>
      </c>
      <c r="P255">
        <v>114.68</v>
      </c>
      <c r="Q255">
        <v>-1831.23</v>
      </c>
      <c r="R255">
        <v>-868.75</v>
      </c>
      <c r="S255">
        <v>-878.68</v>
      </c>
      <c r="T255" s="3" t="s">
        <v>30</v>
      </c>
      <c r="U255">
        <v>110.58</v>
      </c>
      <c r="V255" s="3" t="s">
        <v>9</v>
      </c>
      <c r="W255" s="3" t="s">
        <v>31</v>
      </c>
      <c r="X255" s="3" t="s">
        <v>1328</v>
      </c>
      <c r="Y255" s="3" t="s">
        <v>1328</v>
      </c>
      <c r="Z255" s="3" t="s">
        <v>1917</v>
      </c>
      <c r="AA255" t="s">
        <v>1519</v>
      </c>
      <c r="AB255" s="3" t="s">
        <v>1765</v>
      </c>
      <c r="AC255" s="3" t="s">
        <v>640</v>
      </c>
      <c r="AD255" s="3" t="s">
        <v>640</v>
      </c>
    </row>
    <row r="256" spans="1:30" x14ac:dyDescent="0.35">
      <c r="A256" s="3" t="s">
        <v>608</v>
      </c>
      <c r="B256" s="3" t="s">
        <v>608</v>
      </c>
      <c r="C256" s="3" t="s">
        <v>608</v>
      </c>
      <c r="D256" s="3" t="s">
        <v>608</v>
      </c>
      <c r="E256" s="3" t="s">
        <v>608</v>
      </c>
      <c r="F256" s="3" t="s">
        <v>587</v>
      </c>
      <c r="G256" s="3" t="s">
        <v>1102</v>
      </c>
      <c r="H256">
        <v>-400000</v>
      </c>
      <c r="I256" s="3" t="s">
        <v>361</v>
      </c>
      <c r="J256" s="3" t="s">
        <v>784</v>
      </c>
      <c r="K256">
        <v>2.875</v>
      </c>
      <c r="L256" s="3" t="s">
        <v>140</v>
      </c>
      <c r="M256" s="3" t="s">
        <v>587</v>
      </c>
      <c r="N256" s="3" t="s">
        <v>587</v>
      </c>
      <c r="O256">
        <v>101.73</v>
      </c>
      <c r="P256">
        <v>101.87</v>
      </c>
      <c r="Q256">
        <v>1931.63</v>
      </c>
      <c r="R256">
        <v>-305.55</v>
      </c>
      <c r="S256">
        <v>-309.01</v>
      </c>
      <c r="T256" s="3" t="s">
        <v>30</v>
      </c>
      <c r="U256">
        <v>102.35</v>
      </c>
      <c r="V256" s="3" t="s">
        <v>256</v>
      </c>
      <c r="W256" s="3" t="s">
        <v>31</v>
      </c>
      <c r="X256" s="3" t="s">
        <v>1328</v>
      </c>
      <c r="Y256" s="3" t="s">
        <v>1328</v>
      </c>
      <c r="Z256" s="3" t="s">
        <v>1918</v>
      </c>
      <c r="AA256" t="s">
        <v>1616</v>
      </c>
      <c r="AB256" s="3" t="s">
        <v>1765</v>
      </c>
      <c r="AC256" s="3" t="s">
        <v>640</v>
      </c>
      <c r="AD256" s="3" t="s">
        <v>640</v>
      </c>
    </row>
    <row r="257" spans="1:30" x14ac:dyDescent="0.35">
      <c r="A257" s="3" t="s">
        <v>608</v>
      </c>
      <c r="B257" s="3" t="s">
        <v>608</v>
      </c>
      <c r="C257" s="3" t="s">
        <v>608</v>
      </c>
      <c r="D257" s="3" t="s">
        <v>608</v>
      </c>
      <c r="E257" s="3" t="s">
        <v>608</v>
      </c>
      <c r="F257" s="3" t="s">
        <v>141</v>
      </c>
      <c r="G257" s="3" t="s">
        <v>1099</v>
      </c>
      <c r="H257">
        <v>719000</v>
      </c>
      <c r="I257" s="3" t="s">
        <v>142</v>
      </c>
      <c r="J257" s="3" t="s">
        <v>699</v>
      </c>
      <c r="K257">
        <v>1.5</v>
      </c>
      <c r="L257" s="3" t="s">
        <v>140</v>
      </c>
      <c r="M257" s="3" t="s">
        <v>141</v>
      </c>
      <c r="N257" s="3" t="s">
        <v>141</v>
      </c>
      <c r="O257">
        <v>105.68</v>
      </c>
      <c r="P257">
        <v>105.7</v>
      </c>
      <c r="Q257">
        <v>199.28</v>
      </c>
      <c r="R257">
        <v>253.55</v>
      </c>
      <c r="S257">
        <v>256.06</v>
      </c>
      <c r="T257" s="3" t="s">
        <v>30</v>
      </c>
      <c r="U257">
        <v>105.46</v>
      </c>
      <c r="V257" s="3" t="s">
        <v>9</v>
      </c>
      <c r="W257" s="3" t="s">
        <v>31</v>
      </c>
      <c r="X257" s="3" t="s">
        <v>1328</v>
      </c>
      <c r="Y257" s="3" t="s">
        <v>1328</v>
      </c>
      <c r="Z257" s="3" t="s">
        <v>1919</v>
      </c>
      <c r="AA257" t="s">
        <v>1700</v>
      </c>
      <c r="AB257" s="3" t="s">
        <v>1765</v>
      </c>
      <c r="AC257" s="3" t="s">
        <v>640</v>
      </c>
      <c r="AD257" s="3" t="s">
        <v>640</v>
      </c>
    </row>
    <row r="258" spans="1:30" x14ac:dyDescent="0.35">
      <c r="A258" s="3" t="s">
        <v>608</v>
      </c>
      <c r="B258" s="3" t="s">
        <v>608</v>
      </c>
      <c r="C258" s="3" t="s">
        <v>608</v>
      </c>
      <c r="D258" s="3" t="s">
        <v>608</v>
      </c>
      <c r="E258" s="3" t="s">
        <v>608</v>
      </c>
      <c r="F258" s="3" t="s">
        <v>1340</v>
      </c>
      <c r="G258" s="3" t="s">
        <v>1343</v>
      </c>
      <c r="H258">
        <v>3181000</v>
      </c>
      <c r="I258" s="3" t="s">
        <v>1341</v>
      </c>
      <c r="J258" s="3" t="s">
        <v>1342</v>
      </c>
      <c r="K258">
        <v>5.75</v>
      </c>
      <c r="L258" s="3" t="s">
        <v>364</v>
      </c>
      <c r="M258" s="3" t="s">
        <v>1340</v>
      </c>
      <c r="N258" s="3" t="s">
        <v>1340</v>
      </c>
      <c r="O258">
        <v>109.86</v>
      </c>
      <c r="P258">
        <v>109.94</v>
      </c>
      <c r="Q258">
        <v>13119.85</v>
      </c>
      <c r="R258">
        <v>880.78</v>
      </c>
      <c r="S258">
        <v>896.06</v>
      </c>
      <c r="T258" s="3" t="s">
        <v>30</v>
      </c>
      <c r="U258">
        <v>109.68</v>
      </c>
      <c r="V258" s="3" t="s">
        <v>256</v>
      </c>
      <c r="W258" s="3" t="s">
        <v>31</v>
      </c>
      <c r="X258" s="3" t="s">
        <v>1328</v>
      </c>
      <c r="Y258" s="3" t="s">
        <v>1328</v>
      </c>
      <c r="Z258" s="3" t="s">
        <v>1920</v>
      </c>
      <c r="AA258" t="s">
        <v>1591</v>
      </c>
      <c r="AB258" s="3" t="s">
        <v>1766</v>
      </c>
      <c r="AC258" s="3" t="s">
        <v>640</v>
      </c>
      <c r="AD258" s="3" t="s">
        <v>640</v>
      </c>
    </row>
    <row r="259" spans="1:30" x14ac:dyDescent="0.35">
      <c r="A259" s="3" t="s">
        <v>608</v>
      </c>
      <c r="B259" s="3" t="s">
        <v>608</v>
      </c>
      <c r="C259" s="3" t="s">
        <v>608</v>
      </c>
      <c r="D259" s="3" t="s">
        <v>608</v>
      </c>
      <c r="E259" s="3" t="s">
        <v>608</v>
      </c>
      <c r="F259" s="3" t="s">
        <v>968</v>
      </c>
      <c r="G259" s="3" t="s">
        <v>1103</v>
      </c>
      <c r="H259">
        <v>-1400000</v>
      </c>
      <c r="I259" s="3" t="s">
        <v>969</v>
      </c>
      <c r="J259" s="3" t="s">
        <v>1188</v>
      </c>
      <c r="K259">
        <v>1.125</v>
      </c>
      <c r="L259" s="3" t="s">
        <v>364</v>
      </c>
      <c r="M259" s="3" t="s">
        <v>968</v>
      </c>
      <c r="N259" s="3" t="s">
        <v>968</v>
      </c>
      <c r="O259">
        <v>104.69</v>
      </c>
      <c r="P259">
        <v>104.69</v>
      </c>
      <c r="Q259">
        <v>-113.15</v>
      </c>
      <c r="R259">
        <v>-528.64</v>
      </c>
      <c r="S259">
        <v>-533.85</v>
      </c>
      <c r="T259" s="3" t="s">
        <v>30</v>
      </c>
      <c r="U259">
        <v>104.7</v>
      </c>
      <c r="V259" s="3" t="s">
        <v>9</v>
      </c>
      <c r="W259" s="3" t="s">
        <v>31</v>
      </c>
      <c r="X259" s="3" t="s">
        <v>1328</v>
      </c>
      <c r="Y259" s="3" t="s">
        <v>1328</v>
      </c>
      <c r="Z259" s="3" t="s">
        <v>1921</v>
      </c>
      <c r="AA259" t="s">
        <v>1565</v>
      </c>
      <c r="AB259" s="3" t="s">
        <v>1765</v>
      </c>
      <c r="AC259" s="3" t="s">
        <v>640</v>
      </c>
      <c r="AD259" s="3" t="s">
        <v>640</v>
      </c>
    </row>
    <row r="260" spans="1:30" x14ac:dyDescent="0.35">
      <c r="A260" s="3" t="s">
        <v>608</v>
      </c>
      <c r="B260" s="3" t="s">
        <v>608</v>
      </c>
      <c r="C260" s="3" t="s">
        <v>608</v>
      </c>
      <c r="D260" s="3" t="s">
        <v>608</v>
      </c>
      <c r="E260" s="3" t="s">
        <v>608</v>
      </c>
      <c r="F260" s="3" t="s">
        <v>369</v>
      </c>
      <c r="G260" s="3" t="s">
        <v>1440</v>
      </c>
      <c r="H260">
        <v>2000000</v>
      </c>
      <c r="I260" s="3" t="s">
        <v>370</v>
      </c>
      <c r="J260" s="3" t="s">
        <v>790</v>
      </c>
      <c r="K260">
        <v>1.75</v>
      </c>
      <c r="L260" s="3" t="s">
        <v>371</v>
      </c>
      <c r="M260" s="3" t="s">
        <v>369</v>
      </c>
      <c r="N260" s="3" t="s">
        <v>369</v>
      </c>
      <c r="O260">
        <v>101.74</v>
      </c>
      <c r="P260">
        <v>101.87</v>
      </c>
      <c r="Q260">
        <v>2835.63</v>
      </c>
      <c r="R260">
        <v>1332.4</v>
      </c>
      <c r="S260">
        <v>1345.04</v>
      </c>
      <c r="T260" s="3" t="s">
        <v>30</v>
      </c>
      <c r="U260">
        <v>101.26</v>
      </c>
      <c r="V260" s="3" t="s">
        <v>256</v>
      </c>
      <c r="W260" s="3" t="s">
        <v>31</v>
      </c>
      <c r="X260" s="3" t="s">
        <v>1328</v>
      </c>
      <c r="Y260" s="3" t="s">
        <v>1328</v>
      </c>
      <c r="Z260" s="3" t="s">
        <v>1922</v>
      </c>
      <c r="AA260" t="s">
        <v>1535</v>
      </c>
      <c r="AB260" s="3" t="s">
        <v>1765</v>
      </c>
      <c r="AC260" s="3" t="s">
        <v>640</v>
      </c>
      <c r="AD260" s="3" t="s">
        <v>640</v>
      </c>
    </row>
    <row r="261" spans="1:30" x14ac:dyDescent="0.35">
      <c r="A261" s="3" t="s">
        <v>608</v>
      </c>
      <c r="B261" s="3" t="s">
        <v>608</v>
      </c>
      <c r="C261" s="3" t="s">
        <v>608</v>
      </c>
      <c r="D261" s="3" t="s">
        <v>608</v>
      </c>
      <c r="E261" s="3" t="s">
        <v>608</v>
      </c>
      <c r="F261" s="3" t="s">
        <v>148</v>
      </c>
      <c r="G261" s="3" t="s">
        <v>1116</v>
      </c>
      <c r="H261">
        <v>3000000</v>
      </c>
      <c r="I261" s="3" t="s">
        <v>149</v>
      </c>
      <c r="J261" s="3" t="s">
        <v>702</v>
      </c>
      <c r="K261">
        <v>2.5</v>
      </c>
      <c r="L261" s="3" t="s">
        <v>145</v>
      </c>
      <c r="M261" s="3" t="s">
        <v>148</v>
      </c>
      <c r="N261" s="3" t="s">
        <v>148</v>
      </c>
      <c r="O261">
        <v>114.75</v>
      </c>
      <c r="P261">
        <v>114.78</v>
      </c>
      <c r="Q261">
        <v>1225.48</v>
      </c>
      <c r="R261">
        <v>1757.33</v>
      </c>
      <c r="S261">
        <v>1775.22</v>
      </c>
      <c r="T261" s="3" t="s">
        <v>30</v>
      </c>
      <c r="U261">
        <v>114.57</v>
      </c>
      <c r="V261" s="3" t="s">
        <v>9</v>
      </c>
      <c r="W261" s="3" t="s">
        <v>31</v>
      </c>
      <c r="X261" s="3" t="s">
        <v>1328</v>
      </c>
      <c r="Y261" s="3" t="s">
        <v>1328</v>
      </c>
      <c r="Z261" s="3" t="s">
        <v>1923</v>
      </c>
      <c r="AA261" t="s">
        <v>1515</v>
      </c>
      <c r="AB261" s="3" t="s">
        <v>1765</v>
      </c>
      <c r="AC261" s="3" t="s">
        <v>640</v>
      </c>
      <c r="AD261" s="3" t="s">
        <v>640</v>
      </c>
    </row>
    <row r="262" spans="1:30" x14ac:dyDescent="0.35">
      <c r="A262" s="3" t="s">
        <v>608</v>
      </c>
      <c r="B262" s="3" t="s">
        <v>608</v>
      </c>
      <c r="C262" s="3" t="s">
        <v>608</v>
      </c>
      <c r="D262" s="3" t="s">
        <v>608</v>
      </c>
      <c r="E262" s="3" t="s">
        <v>608</v>
      </c>
      <c r="F262" s="3" t="s">
        <v>143</v>
      </c>
      <c r="G262" s="3" t="s">
        <v>1115</v>
      </c>
      <c r="H262">
        <v>-3000000</v>
      </c>
      <c r="I262" s="3" t="s">
        <v>144</v>
      </c>
      <c r="J262" s="3" t="s">
        <v>700</v>
      </c>
      <c r="K262">
        <v>1.875</v>
      </c>
      <c r="L262" s="3" t="s">
        <v>145</v>
      </c>
      <c r="M262" s="3" t="s">
        <v>143</v>
      </c>
      <c r="N262" s="3" t="s">
        <v>143</v>
      </c>
      <c r="O262">
        <v>117.1</v>
      </c>
      <c r="P262">
        <v>117.42</v>
      </c>
      <c r="Q262">
        <v>-9754.11</v>
      </c>
      <c r="R262">
        <v>-3670.26</v>
      </c>
      <c r="S262">
        <v>-3716.34</v>
      </c>
      <c r="T262" s="3" t="s">
        <v>30</v>
      </c>
      <c r="U262">
        <v>115.81</v>
      </c>
      <c r="V262" s="3" t="s">
        <v>9</v>
      </c>
      <c r="W262" s="3" t="s">
        <v>31</v>
      </c>
      <c r="X262" s="3" t="s">
        <v>1328</v>
      </c>
      <c r="Y262" s="3" t="s">
        <v>1328</v>
      </c>
      <c r="Z262" s="3" t="s">
        <v>1924</v>
      </c>
      <c r="AA262" t="s">
        <v>1546</v>
      </c>
      <c r="AB262" s="3" t="s">
        <v>1765</v>
      </c>
      <c r="AC262" s="3" t="s">
        <v>640</v>
      </c>
      <c r="AD262" s="3" t="s">
        <v>640</v>
      </c>
    </row>
    <row r="263" spans="1:30" x14ac:dyDescent="0.35">
      <c r="A263" s="3" t="s">
        <v>608</v>
      </c>
      <c r="B263" s="3" t="s">
        <v>608</v>
      </c>
      <c r="C263" s="3" t="s">
        <v>608</v>
      </c>
      <c r="D263" s="3" t="s">
        <v>608</v>
      </c>
      <c r="E263" s="3" t="s">
        <v>608</v>
      </c>
      <c r="F263" s="3" t="s">
        <v>146</v>
      </c>
      <c r="G263" s="3" t="s">
        <v>1114</v>
      </c>
      <c r="H263">
        <v>-1535000</v>
      </c>
      <c r="I263" s="3" t="s">
        <v>147</v>
      </c>
      <c r="J263" s="3" t="s">
        <v>701</v>
      </c>
      <c r="K263">
        <v>1.25</v>
      </c>
      <c r="L263" s="3" t="s">
        <v>145</v>
      </c>
      <c r="M263" s="3" t="s">
        <v>146</v>
      </c>
      <c r="N263" s="3" t="s">
        <v>146</v>
      </c>
      <c r="O263">
        <v>109.35</v>
      </c>
      <c r="P263">
        <v>109.42</v>
      </c>
      <c r="Q263">
        <v>-1234.52</v>
      </c>
      <c r="R263">
        <v>-1209.71</v>
      </c>
      <c r="S263">
        <v>-1223.4100000000001</v>
      </c>
      <c r="T263" s="3" t="s">
        <v>30</v>
      </c>
      <c r="U263">
        <v>107.03</v>
      </c>
      <c r="V263" s="3" t="s">
        <v>9</v>
      </c>
      <c r="W263" s="3" t="s">
        <v>31</v>
      </c>
      <c r="X263" s="3" t="s">
        <v>1328</v>
      </c>
      <c r="Y263" s="3" t="s">
        <v>1328</v>
      </c>
      <c r="Z263" s="3" t="s">
        <v>1925</v>
      </c>
      <c r="AA263" t="s">
        <v>1598</v>
      </c>
      <c r="AB263" s="3" t="s">
        <v>1765</v>
      </c>
      <c r="AC263" s="3" t="s">
        <v>640</v>
      </c>
      <c r="AD263" s="3" t="s">
        <v>640</v>
      </c>
    </row>
    <row r="264" spans="1:30" x14ac:dyDescent="0.35">
      <c r="A264" s="3" t="s">
        <v>608</v>
      </c>
      <c r="B264" s="3" t="s">
        <v>608</v>
      </c>
      <c r="C264" s="3" t="s">
        <v>608</v>
      </c>
      <c r="D264" s="3" t="s">
        <v>608</v>
      </c>
      <c r="E264" s="3" t="s">
        <v>608</v>
      </c>
      <c r="F264" s="3" t="s">
        <v>888</v>
      </c>
      <c r="G264" s="3" t="s">
        <v>1104</v>
      </c>
      <c r="H264">
        <v>-1000000</v>
      </c>
      <c r="I264" s="3" t="s">
        <v>889</v>
      </c>
      <c r="J264" s="3" t="s">
        <v>770</v>
      </c>
      <c r="K264">
        <v>1.875</v>
      </c>
      <c r="L264" s="3" t="s">
        <v>890</v>
      </c>
      <c r="M264" s="3" t="s">
        <v>888</v>
      </c>
      <c r="N264" s="3" t="s">
        <v>888</v>
      </c>
      <c r="O264">
        <v>106.46</v>
      </c>
      <c r="P264">
        <v>106.53</v>
      </c>
      <c r="Q264">
        <v>-721.37</v>
      </c>
      <c r="R264">
        <v>-465.08</v>
      </c>
      <c r="S264">
        <v>-469.73</v>
      </c>
      <c r="T264" s="3" t="s">
        <v>30</v>
      </c>
      <c r="U264">
        <v>105.98</v>
      </c>
      <c r="V264" s="3" t="s">
        <v>9</v>
      </c>
      <c r="W264" s="3" t="s">
        <v>31</v>
      </c>
      <c r="X264" s="3" t="s">
        <v>1328</v>
      </c>
      <c r="Y264" s="3" t="s">
        <v>1328</v>
      </c>
      <c r="Z264" s="3" t="s">
        <v>1926</v>
      </c>
      <c r="AA264" t="s">
        <v>1519</v>
      </c>
      <c r="AB264" s="3" t="s">
        <v>1765</v>
      </c>
      <c r="AC264" s="3" t="s">
        <v>640</v>
      </c>
      <c r="AD264" s="3" t="s">
        <v>640</v>
      </c>
    </row>
    <row r="265" spans="1:30" x14ac:dyDescent="0.35">
      <c r="A265" s="3" t="s">
        <v>608</v>
      </c>
      <c r="B265" s="3" t="s">
        <v>608</v>
      </c>
      <c r="C265" s="3" t="s">
        <v>608</v>
      </c>
      <c r="D265" s="3" t="s">
        <v>608</v>
      </c>
      <c r="E265" s="3" t="s">
        <v>608</v>
      </c>
      <c r="F265" s="3" t="s">
        <v>372</v>
      </c>
      <c r="G265" s="3" t="s">
        <v>1107</v>
      </c>
      <c r="H265">
        <v>-325000</v>
      </c>
      <c r="I265" s="3" t="s">
        <v>373</v>
      </c>
      <c r="J265" s="3" t="s">
        <v>791</v>
      </c>
      <c r="K265">
        <v>4.2469999999999999</v>
      </c>
      <c r="L265" s="3" t="s">
        <v>152</v>
      </c>
      <c r="M265" s="3" t="s">
        <v>372</v>
      </c>
      <c r="N265" s="3" t="s">
        <v>372</v>
      </c>
      <c r="O265">
        <v>106.21</v>
      </c>
      <c r="P265">
        <v>106.8</v>
      </c>
      <c r="Q265">
        <v>118.5</v>
      </c>
      <c r="R265">
        <v>-230.09</v>
      </c>
      <c r="S265">
        <v>-232.61</v>
      </c>
      <c r="T265" s="3" t="s">
        <v>30</v>
      </c>
      <c r="U265">
        <v>105</v>
      </c>
      <c r="V265" s="3" t="s">
        <v>256</v>
      </c>
      <c r="W265" s="3" t="s">
        <v>31</v>
      </c>
      <c r="X265" s="3" t="s">
        <v>1749</v>
      </c>
      <c r="Y265" s="3" t="s">
        <v>1749</v>
      </c>
      <c r="Z265" s="3" t="s">
        <v>1927</v>
      </c>
      <c r="AA265" t="s">
        <v>1594</v>
      </c>
      <c r="AB265" s="3" t="s">
        <v>1765</v>
      </c>
      <c r="AC265" s="3" t="s">
        <v>640</v>
      </c>
      <c r="AD265" s="3" t="s">
        <v>640</v>
      </c>
    </row>
    <row r="266" spans="1:30" x14ac:dyDescent="0.35">
      <c r="A266" s="3" t="s">
        <v>608</v>
      </c>
      <c r="B266" s="3" t="s">
        <v>608</v>
      </c>
      <c r="C266" s="3" t="s">
        <v>608</v>
      </c>
      <c r="D266" s="3" t="s">
        <v>608</v>
      </c>
      <c r="E266" s="3" t="s">
        <v>608</v>
      </c>
      <c r="F266" s="3" t="s">
        <v>155</v>
      </c>
      <c r="G266" s="3" t="s">
        <v>1111</v>
      </c>
      <c r="H266">
        <v>5000000</v>
      </c>
      <c r="I266" s="3" t="s">
        <v>156</v>
      </c>
      <c r="J266" s="3" t="s">
        <v>705</v>
      </c>
      <c r="K266">
        <v>1</v>
      </c>
      <c r="L266" s="3" t="s">
        <v>157</v>
      </c>
      <c r="M266" s="3" t="s">
        <v>155</v>
      </c>
      <c r="N266" s="3" t="s">
        <v>155</v>
      </c>
      <c r="O266">
        <v>106.69</v>
      </c>
      <c r="P266">
        <v>106.75</v>
      </c>
      <c r="Q266">
        <v>3136.99</v>
      </c>
      <c r="R266">
        <v>3088.78</v>
      </c>
      <c r="S266">
        <v>3120.95</v>
      </c>
      <c r="T266" s="3" t="s">
        <v>30</v>
      </c>
      <c r="U266">
        <v>105.46</v>
      </c>
      <c r="V266" s="3" t="s">
        <v>9</v>
      </c>
      <c r="W266" s="3" t="s">
        <v>31</v>
      </c>
      <c r="X266" s="3" t="s">
        <v>1328</v>
      </c>
      <c r="Y266" s="3" t="s">
        <v>1328</v>
      </c>
      <c r="Z266" s="3" t="s">
        <v>1928</v>
      </c>
      <c r="AA266" t="s">
        <v>1560</v>
      </c>
      <c r="AB266" s="3" t="s">
        <v>1765</v>
      </c>
      <c r="AC266" s="3" t="s">
        <v>640</v>
      </c>
      <c r="AD266" s="3" t="s">
        <v>640</v>
      </c>
    </row>
    <row r="267" spans="1:30" x14ac:dyDescent="0.35">
      <c r="A267" s="3" t="s">
        <v>608</v>
      </c>
      <c r="B267" s="3" t="s">
        <v>608</v>
      </c>
      <c r="C267" s="3" t="s">
        <v>608</v>
      </c>
      <c r="D267" s="3" t="s">
        <v>608</v>
      </c>
      <c r="E267" s="3" t="s">
        <v>608</v>
      </c>
      <c r="F267" s="3" t="s">
        <v>376</v>
      </c>
      <c r="G267" s="3" t="s">
        <v>1112</v>
      </c>
      <c r="H267">
        <v>3398000</v>
      </c>
      <c r="I267" s="3" t="s">
        <v>377</v>
      </c>
      <c r="J267" s="3" t="s">
        <v>793</v>
      </c>
      <c r="K267">
        <v>3.5</v>
      </c>
      <c r="L267" s="3" t="s">
        <v>378</v>
      </c>
      <c r="M267" s="3" t="s">
        <v>376</v>
      </c>
      <c r="N267" s="3" t="s">
        <v>376</v>
      </c>
      <c r="O267">
        <v>108.35</v>
      </c>
      <c r="P267">
        <v>108.36</v>
      </c>
      <c r="Q267">
        <v>665.64</v>
      </c>
      <c r="R267">
        <v>1518.17</v>
      </c>
      <c r="S267">
        <v>1533.26</v>
      </c>
      <c r="T267" s="3" t="s">
        <v>30</v>
      </c>
      <c r="U267">
        <v>107.5</v>
      </c>
      <c r="V267" s="3" t="s">
        <v>256</v>
      </c>
      <c r="W267" s="3" t="s">
        <v>31</v>
      </c>
      <c r="X267" s="3" t="s">
        <v>1328</v>
      </c>
      <c r="Y267" s="3" t="s">
        <v>1328</v>
      </c>
      <c r="Z267" s="3" t="s">
        <v>1929</v>
      </c>
      <c r="AA267" t="s">
        <v>1596</v>
      </c>
      <c r="AB267" s="3" t="s">
        <v>1765</v>
      </c>
      <c r="AC267" s="3" t="s">
        <v>640</v>
      </c>
      <c r="AD267" s="3" t="s">
        <v>640</v>
      </c>
    </row>
    <row r="268" spans="1:30" x14ac:dyDescent="0.35">
      <c r="A268" s="3" t="s">
        <v>608</v>
      </c>
      <c r="B268" s="3" t="s">
        <v>608</v>
      </c>
      <c r="C268" s="3" t="s">
        <v>608</v>
      </c>
      <c r="D268" s="3" t="s">
        <v>608</v>
      </c>
      <c r="E268" s="3" t="s">
        <v>608</v>
      </c>
      <c r="F268" s="3" t="s">
        <v>160</v>
      </c>
      <c r="G268" s="3" t="s">
        <v>1113</v>
      </c>
      <c r="H268">
        <v>-2600000</v>
      </c>
      <c r="I268" s="3" t="s">
        <v>161</v>
      </c>
      <c r="J268" s="3" t="s">
        <v>707</v>
      </c>
      <c r="K268">
        <v>2</v>
      </c>
      <c r="L268" s="3" t="s">
        <v>162</v>
      </c>
      <c r="M268" s="3" t="s">
        <v>160</v>
      </c>
      <c r="N268" s="3" t="s">
        <v>160</v>
      </c>
      <c r="O268">
        <v>106.35</v>
      </c>
      <c r="P268">
        <v>106.47</v>
      </c>
      <c r="Q268">
        <v>-3314.47</v>
      </c>
      <c r="R268">
        <v>-1960.32</v>
      </c>
      <c r="S268">
        <v>-1983.07</v>
      </c>
      <c r="T268" s="3" t="s">
        <v>30</v>
      </c>
      <c r="U268">
        <v>104.28</v>
      </c>
      <c r="V268" s="3" t="s">
        <v>9</v>
      </c>
      <c r="W268" s="3" t="s">
        <v>31</v>
      </c>
      <c r="X268" s="3" t="s">
        <v>1328</v>
      </c>
      <c r="Y268" s="3" t="s">
        <v>1328</v>
      </c>
      <c r="Z268" s="3" t="s">
        <v>1930</v>
      </c>
      <c r="AA268" t="s">
        <v>1597</v>
      </c>
      <c r="AB268" s="3" t="s">
        <v>1765</v>
      </c>
      <c r="AC268" s="3" t="s">
        <v>640</v>
      </c>
      <c r="AD268" s="3" t="s">
        <v>640</v>
      </c>
    </row>
    <row r="269" spans="1:30" x14ac:dyDescent="0.35">
      <c r="A269" s="3" t="s">
        <v>608</v>
      </c>
      <c r="B269" s="3" t="s">
        <v>608</v>
      </c>
      <c r="C269" s="3" t="s">
        <v>608</v>
      </c>
      <c r="D269" s="3" t="s">
        <v>608</v>
      </c>
      <c r="E269" s="3" t="s">
        <v>608</v>
      </c>
      <c r="F269" s="3" t="s">
        <v>166</v>
      </c>
      <c r="G269" s="3" t="s">
        <v>1127</v>
      </c>
      <c r="H269">
        <v>-2000000</v>
      </c>
      <c r="I269" s="3" t="s">
        <v>167</v>
      </c>
      <c r="J269" s="3" t="s">
        <v>709</v>
      </c>
      <c r="K269">
        <v>1.75</v>
      </c>
      <c r="L269" s="3" t="s">
        <v>165</v>
      </c>
      <c r="M269" s="3" t="s">
        <v>166</v>
      </c>
      <c r="N269" s="3" t="s">
        <v>166</v>
      </c>
      <c r="O269">
        <v>108.23</v>
      </c>
      <c r="P269">
        <v>108.29</v>
      </c>
      <c r="Q269">
        <v>-1375.89</v>
      </c>
      <c r="R269">
        <v>-1009.4</v>
      </c>
      <c r="S269">
        <v>-1019.57</v>
      </c>
      <c r="T269" s="3" t="s">
        <v>30</v>
      </c>
      <c r="U269">
        <v>108.08</v>
      </c>
      <c r="V269" s="3" t="s">
        <v>9</v>
      </c>
      <c r="W269" s="3" t="s">
        <v>31</v>
      </c>
      <c r="X269" s="3" t="s">
        <v>1328</v>
      </c>
      <c r="Y269" s="3" t="s">
        <v>1328</v>
      </c>
      <c r="Z269" s="3" t="s">
        <v>1931</v>
      </c>
      <c r="AA269" t="s">
        <v>1542</v>
      </c>
      <c r="AB269" s="3" t="s">
        <v>1765</v>
      </c>
      <c r="AC269" s="3" t="s">
        <v>640</v>
      </c>
      <c r="AD269" s="3" t="s">
        <v>640</v>
      </c>
    </row>
    <row r="270" spans="1:30" x14ac:dyDescent="0.35">
      <c r="A270" s="3" t="s">
        <v>608</v>
      </c>
      <c r="B270" s="3" t="s">
        <v>608</v>
      </c>
      <c r="C270" s="3" t="s">
        <v>608</v>
      </c>
      <c r="D270" s="3" t="s">
        <v>608</v>
      </c>
      <c r="E270" s="3" t="s">
        <v>608</v>
      </c>
      <c r="F270" s="3" t="s">
        <v>1350</v>
      </c>
      <c r="G270" s="3" t="s">
        <v>1361</v>
      </c>
      <c r="H270">
        <v>-700000</v>
      </c>
      <c r="I270" s="3" t="s">
        <v>1351</v>
      </c>
      <c r="J270" s="3" t="s">
        <v>1352</v>
      </c>
      <c r="K270">
        <v>1.625</v>
      </c>
      <c r="L270" s="3" t="s">
        <v>165</v>
      </c>
      <c r="M270" s="3" t="s">
        <v>1350</v>
      </c>
      <c r="N270" s="3" t="s">
        <v>1350</v>
      </c>
      <c r="O270">
        <v>113.45</v>
      </c>
      <c r="P270">
        <v>113.63</v>
      </c>
      <c r="Q270">
        <v>-1319.16</v>
      </c>
      <c r="R270">
        <v>-866.3</v>
      </c>
      <c r="S270">
        <v>-877.35</v>
      </c>
      <c r="T270" s="3" t="s">
        <v>30</v>
      </c>
      <c r="U270">
        <v>113.93</v>
      </c>
      <c r="V270" s="3" t="s">
        <v>9</v>
      </c>
      <c r="W270" s="3" t="s">
        <v>31</v>
      </c>
      <c r="X270" s="3" t="s">
        <v>1328</v>
      </c>
      <c r="Y270" s="3" t="s">
        <v>1328</v>
      </c>
      <c r="Z270" s="3" t="s">
        <v>1932</v>
      </c>
      <c r="AA270" t="s">
        <v>1513</v>
      </c>
      <c r="AB270" s="3" t="s">
        <v>1765</v>
      </c>
      <c r="AC270" s="3" t="s">
        <v>640</v>
      </c>
      <c r="AD270" s="3" t="s">
        <v>640</v>
      </c>
    </row>
    <row r="271" spans="1:30" x14ac:dyDescent="0.35">
      <c r="A271" s="3" t="s">
        <v>608</v>
      </c>
      <c r="B271" s="3" t="s">
        <v>608</v>
      </c>
      <c r="C271" s="3" t="s">
        <v>608</v>
      </c>
      <c r="D271" s="3" t="s">
        <v>608</v>
      </c>
      <c r="E271" s="3" t="s">
        <v>608</v>
      </c>
      <c r="F271" s="3" t="s">
        <v>384</v>
      </c>
      <c r="G271" s="3" t="s">
        <v>1128</v>
      </c>
      <c r="H271">
        <v>-3300000</v>
      </c>
      <c r="I271" s="3" t="s">
        <v>385</v>
      </c>
      <c r="J271" s="3" t="s">
        <v>796</v>
      </c>
      <c r="K271">
        <v>2.875</v>
      </c>
      <c r="L271" s="3" t="s">
        <v>165</v>
      </c>
      <c r="M271" s="3" t="s">
        <v>384</v>
      </c>
      <c r="N271" s="3" t="s">
        <v>384</v>
      </c>
      <c r="O271">
        <v>104.04</v>
      </c>
      <c r="P271">
        <v>104.11</v>
      </c>
      <c r="Q271">
        <v>-2338.9299999999998</v>
      </c>
      <c r="R271">
        <v>-1040.76</v>
      </c>
      <c r="S271">
        <v>-1050.24</v>
      </c>
      <c r="T271" s="3" t="s">
        <v>30</v>
      </c>
      <c r="U271">
        <v>102.67</v>
      </c>
      <c r="V271" s="3" t="s">
        <v>256</v>
      </c>
      <c r="W271" s="3" t="s">
        <v>31</v>
      </c>
      <c r="X271" s="3" t="s">
        <v>1328</v>
      </c>
      <c r="Y271" s="3" t="s">
        <v>1328</v>
      </c>
      <c r="Z271" s="3" t="s">
        <v>1933</v>
      </c>
      <c r="AA271" t="s">
        <v>1608</v>
      </c>
      <c r="AB271" s="3" t="s">
        <v>1765</v>
      </c>
      <c r="AC271" s="3" t="s">
        <v>640</v>
      </c>
      <c r="AD271" s="3" t="s">
        <v>640</v>
      </c>
    </row>
    <row r="272" spans="1:30" x14ac:dyDescent="0.35">
      <c r="A272" s="3" t="s">
        <v>608</v>
      </c>
      <c r="B272" s="3" t="s">
        <v>608</v>
      </c>
      <c r="C272" s="3" t="s">
        <v>608</v>
      </c>
      <c r="D272" s="3" t="s">
        <v>608</v>
      </c>
      <c r="E272" s="3" t="s">
        <v>608</v>
      </c>
      <c r="F272" s="3" t="s">
        <v>168</v>
      </c>
      <c r="G272" s="3" t="s">
        <v>1125</v>
      </c>
      <c r="H272">
        <v>-5300000</v>
      </c>
      <c r="I272" s="3" t="s">
        <v>169</v>
      </c>
      <c r="J272" s="3" t="s">
        <v>710</v>
      </c>
      <c r="K272">
        <v>1</v>
      </c>
      <c r="L272" s="3" t="s">
        <v>165</v>
      </c>
      <c r="M272" s="3" t="s">
        <v>168</v>
      </c>
      <c r="N272" s="3" t="s">
        <v>168</v>
      </c>
      <c r="O272">
        <v>104.36</v>
      </c>
      <c r="P272">
        <v>104.41</v>
      </c>
      <c r="Q272">
        <v>-2901.21</v>
      </c>
      <c r="R272">
        <v>-2379.91</v>
      </c>
      <c r="S272">
        <v>-2403.69</v>
      </c>
      <c r="T272" s="3" t="s">
        <v>30</v>
      </c>
      <c r="U272">
        <v>104</v>
      </c>
      <c r="V272" s="3" t="s">
        <v>9</v>
      </c>
      <c r="W272" s="3" t="s">
        <v>31</v>
      </c>
      <c r="X272" s="3" t="s">
        <v>1328</v>
      </c>
      <c r="Y272" s="3" t="s">
        <v>1328</v>
      </c>
      <c r="Z272" s="3" t="s">
        <v>1934</v>
      </c>
      <c r="AA272" t="s">
        <v>1607</v>
      </c>
      <c r="AB272" s="3" t="s">
        <v>1765</v>
      </c>
      <c r="AC272" s="3" t="s">
        <v>640</v>
      </c>
      <c r="AD272" s="3" t="s">
        <v>640</v>
      </c>
    </row>
    <row r="273" spans="1:30" x14ac:dyDescent="0.35">
      <c r="A273" s="3" t="s">
        <v>608</v>
      </c>
      <c r="B273" s="3" t="s">
        <v>608</v>
      </c>
      <c r="C273" s="3" t="s">
        <v>608</v>
      </c>
      <c r="D273" s="3" t="s">
        <v>608</v>
      </c>
      <c r="E273" s="3" t="s">
        <v>608</v>
      </c>
      <c r="F273" s="3" t="s">
        <v>163</v>
      </c>
      <c r="G273" s="3" t="s">
        <v>1126</v>
      </c>
      <c r="H273">
        <v>3000000</v>
      </c>
      <c r="I273" s="3" t="s">
        <v>164</v>
      </c>
      <c r="J273" s="3" t="s">
        <v>708</v>
      </c>
      <c r="K273">
        <v>1.5</v>
      </c>
      <c r="L273" s="3" t="s">
        <v>165</v>
      </c>
      <c r="M273" s="3" t="s">
        <v>163</v>
      </c>
      <c r="N273" s="3" t="s">
        <v>163</v>
      </c>
      <c r="O273">
        <v>110.42</v>
      </c>
      <c r="P273">
        <v>110.57</v>
      </c>
      <c r="Q273">
        <v>4503.29</v>
      </c>
      <c r="R273">
        <v>2633.15</v>
      </c>
      <c r="S273">
        <v>2663.69</v>
      </c>
      <c r="T273" s="3" t="s">
        <v>30</v>
      </c>
      <c r="U273">
        <v>108.92</v>
      </c>
      <c r="V273" s="3" t="s">
        <v>9</v>
      </c>
      <c r="W273" s="3" t="s">
        <v>31</v>
      </c>
      <c r="X273" s="3" t="s">
        <v>1328</v>
      </c>
      <c r="Y273" s="3" t="s">
        <v>1328</v>
      </c>
      <c r="Z273" s="3" t="s">
        <v>1935</v>
      </c>
      <c r="AA273" t="s">
        <v>1515</v>
      </c>
      <c r="AB273" s="3" t="s">
        <v>1765</v>
      </c>
      <c r="AC273" s="3" t="s">
        <v>640</v>
      </c>
      <c r="AD273" s="3" t="s">
        <v>640</v>
      </c>
    </row>
    <row r="274" spans="1:30" x14ac:dyDescent="0.35">
      <c r="A274" s="3" t="s">
        <v>608</v>
      </c>
      <c r="B274" s="3" t="s">
        <v>608</v>
      </c>
      <c r="C274" s="3" t="s">
        <v>608</v>
      </c>
      <c r="D274" s="3" t="s">
        <v>608</v>
      </c>
      <c r="E274" s="3" t="s">
        <v>608</v>
      </c>
      <c r="F274" s="3" t="s">
        <v>604</v>
      </c>
      <c r="G274" s="3" t="s">
        <v>1124</v>
      </c>
      <c r="H274">
        <v>2200000</v>
      </c>
      <c r="I274" s="3" t="s">
        <v>605</v>
      </c>
      <c r="J274" s="3" t="s">
        <v>863</v>
      </c>
      <c r="K274">
        <v>0.5</v>
      </c>
      <c r="L274" s="3" t="s">
        <v>165</v>
      </c>
      <c r="M274" s="3" t="s">
        <v>604</v>
      </c>
      <c r="N274" s="3" t="s">
        <v>604</v>
      </c>
      <c r="O274">
        <v>101.21</v>
      </c>
      <c r="P274">
        <v>101.39</v>
      </c>
      <c r="Q274">
        <v>3968.14</v>
      </c>
      <c r="R274">
        <v>2364.36</v>
      </c>
      <c r="S274">
        <v>2394.79</v>
      </c>
      <c r="T274" s="3" t="s">
        <v>30</v>
      </c>
      <c r="U274">
        <v>100.21</v>
      </c>
      <c r="V274" s="3" t="s">
        <v>9</v>
      </c>
      <c r="W274" s="3" t="s">
        <v>31</v>
      </c>
      <c r="X274" s="3" t="s">
        <v>1328</v>
      </c>
      <c r="Y274" s="3" t="s">
        <v>1328</v>
      </c>
      <c r="Z274" s="3" t="s">
        <v>1936</v>
      </c>
      <c r="AA274" t="s">
        <v>1586</v>
      </c>
      <c r="AB274" s="3" t="s">
        <v>1765</v>
      </c>
      <c r="AC274" s="3" t="s">
        <v>640</v>
      </c>
      <c r="AD274" s="3" t="s">
        <v>640</v>
      </c>
    </row>
    <row r="275" spans="1:30" x14ac:dyDescent="0.35">
      <c r="A275" s="3" t="s">
        <v>608</v>
      </c>
      <c r="B275" s="3" t="s">
        <v>608</v>
      </c>
      <c r="C275" s="3" t="s">
        <v>608</v>
      </c>
      <c r="D275" s="3" t="s">
        <v>608</v>
      </c>
      <c r="E275" s="3" t="s">
        <v>608</v>
      </c>
      <c r="F275" s="3" t="s">
        <v>170</v>
      </c>
      <c r="G275" s="3" t="s">
        <v>1117</v>
      </c>
      <c r="H275">
        <v>9019000</v>
      </c>
      <c r="I275" s="3" t="s">
        <v>171</v>
      </c>
      <c r="J275" s="3" t="s">
        <v>711</v>
      </c>
      <c r="K275">
        <v>1</v>
      </c>
      <c r="L275" s="3" t="s">
        <v>172</v>
      </c>
      <c r="M275" s="3" t="s">
        <v>170</v>
      </c>
      <c r="N275" s="3" t="s">
        <v>170</v>
      </c>
      <c r="O275">
        <v>108.1</v>
      </c>
      <c r="P275">
        <v>108.35</v>
      </c>
      <c r="Q275">
        <v>23155.360000000001</v>
      </c>
      <c r="R275">
        <v>12668.66</v>
      </c>
      <c r="S275">
        <v>12840.6</v>
      </c>
      <c r="T275" s="3" t="s">
        <v>30</v>
      </c>
      <c r="U275">
        <v>107.08</v>
      </c>
      <c r="V275" s="3" t="s">
        <v>9</v>
      </c>
      <c r="W275" s="3" t="s">
        <v>31</v>
      </c>
      <c r="X275" s="3" t="s">
        <v>1328</v>
      </c>
      <c r="Y275" s="3" t="s">
        <v>1328</v>
      </c>
      <c r="Z275" s="3" t="s">
        <v>1937</v>
      </c>
      <c r="AA275" t="s">
        <v>1599</v>
      </c>
      <c r="AB275" s="3" t="s">
        <v>1765</v>
      </c>
      <c r="AC275" s="3" t="s">
        <v>640</v>
      </c>
      <c r="AD275" s="3" t="s">
        <v>640</v>
      </c>
    </row>
    <row r="276" spans="1:30" x14ac:dyDescent="0.35">
      <c r="A276" s="3" t="s">
        <v>608</v>
      </c>
      <c r="B276" s="3" t="s">
        <v>608</v>
      </c>
      <c r="C276" s="3" t="s">
        <v>608</v>
      </c>
      <c r="D276" s="3" t="s">
        <v>608</v>
      </c>
      <c r="E276" s="3" t="s">
        <v>608</v>
      </c>
      <c r="F276" s="3" t="s">
        <v>173</v>
      </c>
      <c r="G276" s="3" t="s">
        <v>1118</v>
      </c>
      <c r="H276">
        <v>-5651000</v>
      </c>
      <c r="I276" s="3" t="s">
        <v>174</v>
      </c>
      <c r="J276" s="3" t="s">
        <v>712</v>
      </c>
      <c r="K276">
        <v>1.25</v>
      </c>
      <c r="L276" s="3" t="s">
        <v>172</v>
      </c>
      <c r="M276" s="3" t="s">
        <v>173</v>
      </c>
      <c r="N276" s="3" t="s">
        <v>173</v>
      </c>
      <c r="O276">
        <v>106.61</v>
      </c>
      <c r="P276">
        <v>106.66</v>
      </c>
      <c r="Q276">
        <v>-2906.01</v>
      </c>
      <c r="R276">
        <v>-2817.41</v>
      </c>
      <c r="S276">
        <v>-2845.79</v>
      </c>
      <c r="T276" s="3" t="s">
        <v>30</v>
      </c>
      <c r="U276">
        <v>106.72</v>
      </c>
      <c r="V276" s="3" t="s">
        <v>9</v>
      </c>
      <c r="W276" s="3" t="s">
        <v>31</v>
      </c>
      <c r="X276" s="3" t="s">
        <v>1328</v>
      </c>
      <c r="Y276" s="3" t="s">
        <v>1328</v>
      </c>
      <c r="Z276" s="3" t="s">
        <v>1938</v>
      </c>
      <c r="AA276" t="s">
        <v>1600</v>
      </c>
      <c r="AB276" s="3" t="s">
        <v>1765</v>
      </c>
      <c r="AC276" s="3" t="s">
        <v>640</v>
      </c>
      <c r="AD276" s="3" t="s">
        <v>640</v>
      </c>
    </row>
    <row r="277" spans="1:30" x14ac:dyDescent="0.35">
      <c r="A277" s="3" t="s">
        <v>608</v>
      </c>
      <c r="B277" s="3" t="s">
        <v>608</v>
      </c>
      <c r="C277" s="3" t="s">
        <v>608</v>
      </c>
      <c r="D277" s="3" t="s">
        <v>608</v>
      </c>
      <c r="E277" s="3" t="s">
        <v>608</v>
      </c>
      <c r="F277" s="3" t="s">
        <v>386</v>
      </c>
      <c r="G277" s="3" t="s">
        <v>1119</v>
      </c>
      <c r="H277">
        <v>3615000</v>
      </c>
      <c r="I277" s="3" t="s">
        <v>387</v>
      </c>
      <c r="J277" s="3" t="s">
        <v>797</v>
      </c>
      <c r="K277">
        <v>4.75</v>
      </c>
      <c r="L277" s="3" t="s">
        <v>388</v>
      </c>
      <c r="M277" s="3" t="s">
        <v>386</v>
      </c>
      <c r="N277" s="3" t="s">
        <v>386</v>
      </c>
      <c r="O277">
        <v>104.02</v>
      </c>
      <c r="P277">
        <v>104</v>
      </c>
      <c r="Q277">
        <v>-5634.88</v>
      </c>
      <c r="R277">
        <v>482.21</v>
      </c>
      <c r="S277">
        <v>488.79</v>
      </c>
      <c r="T277" s="3" t="s">
        <v>30</v>
      </c>
      <c r="U277">
        <v>103.61</v>
      </c>
      <c r="V277" s="3" t="s">
        <v>256</v>
      </c>
      <c r="W277" s="3" t="s">
        <v>31</v>
      </c>
      <c r="X277" s="3" t="s">
        <v>1328</v>
      </c>
      <c r="Y277" s="3" t="s">
        <v>1328</v>
      </c>
      <c r="Z277" s="3" t="s">
        <v>1939</v>
      </c>
      <c r="AA277" t="s">
        <v>1601</v>
      </c>
      <c r="AB277" s="3" t="s">
        <v>1768</v>
      </c>
      <c r="AC277" s="3" t="s">
        <v>640</v>
      </c>
      <c r="AD277" s="3" t="s">
        <v>640</v>
      </c>
    </row>
    <row r="278" spans="1:30" x14ac:dyDescent="0.35">
      <c r="A278" s="3" t="s">
        <v>608</v>
      </c>
      <c r="B278" s="3" t="s">
        <v>608</v>
      </c>
      <c r="C278" s="3" t="s">
        <v>608</v>
      </c>
      <c r="D278" s="3" t="s">
        <v>608</v>
      </c>
      <c r="E278" s="3" t="s">
        <v>608</v>
      </c>
      <c r="F278" s="3" t="s">
        <v>391</v>
      </c>
      <c r="G278" s="3" t="s">
        <v>1121</v>
      </c>
      <c r="H278">
        <v>-354000</v>
      </c>
      <c r="I278" s="3" t="s">
        <v>392</v>
      </c>
      <c r="J278" s="3" t="s">
        <v>798</v>
      </c>
      <c r="K278">
        <v>2.375</v>
      </c>
      <c r="L278" s="3" t="s">
        <v>388</v>
      </c>
      <c r="M278" s="3" t="s">
        <v>391</v>
      </c>
      <c r="N278" s="3" t="s">
        <v>391</v>
      </c>
      <c r="O278">
        <v>100.76</v>
      </c>
      <c r="P278">
        <v>100.77</v>
      </c>
      <c r="Q278">
        <v>-69.05</v>
      </c>
      <c r="R278">
        <v>-13.18</v>
      </c>
      <c r="S278">
        <v>-13.27</v>
      </c>
      <c r="T278" s="3" t="s">
        <v>30</v>
      </c>
      <c r="U278">
        <v>100.75</v>
      </c>
      <c r="V278" s="3" t="s">
        <v>256</v>
      </c>
      <c r="W278" s="3" t="s">
        <v>31</v>
      </c>
      <c r="X278" s="3" t="s">
        <v>1328</v>
      </c>
      <c r="Y278" s="3" t="s">
        <v>1328</v>
      </c>
      <c r="Z278" s="3" t="s">
        <v>1940</v>
      </c>
      <c r="AA278" t="s">
        <v>1603</v>
      </c>
      <c r="AB278" s="3" t="s">
        <v>1765</v>
      </c>
      <c r="AC278" s="3" t="s">
        <v>640</v>
      </c>
      <c r="AD278" s="3" t="s">
        <v>640</v>
      </c>
    </row>
    <row r="279" spans="1:30" x14ac:dyDescent="0.35">
      <c r="A279" s="3" t="s">
        <v>608</v>
      </c>
      <c r="B279" s="3" t="s">
        <v>608</v>
      </c>
      <c r="C279" s="3" t="s">
        <v>608</v>
      </c>
      <c r="D279" s="3" t="s">
        <v>608</v>
      </c>
      <c r="E279" s="3" t="s">
        <v>608</v>
      </c>
      <c r="F279" s="3" t="s">
        <v>996</v>
      </c>
      <c r="G279" s="3" t="s">
        <v>1121</v>
      </c>
      <c r="H279">
        <v>-3500000</v>
      </c>
      <c r="I279" s="3" t="s">
        <v>997</v>
      </c>
      <c r="J279" s="3" t="s">
        <v>998</v>
      </c>
      <c r="K279">
        <v>3.125</v>
      </c>
      <c r="L279" s="3" t="s">
        <v>388</v>
      </c>
      <c r="M279" s="3" t="s">
        <v>996</v>
      </c>
      <c r="N279" s="3" t="s">
        <v>996</v>
      </c>
      <c r="O279">
        <v>104.96</v>
      </c>
      <c r="P279">
        <v>105.07</v>
      </c>
      <c r="Q279">
        <v>-3686.58</v>
      </c>
      <c r="R279">
        <v>-2126.79</v>
      </c>
      <c r="S279">
        <v>-2148.9699999999998</v>
      </c>
      <c r="T279" s="3" t="s">
        <v>30</v>
      </c>
      <c r="U279">
        <v>105.25</v>
      </c>
      <c r="V279" s="3" t="s">
        <v>256</v>
      </c>
      <c r="W279" s="3" t="s">
        <v>31</v>
      </c>
      <c r="X279" s="3" t="s">
        <v>1328</v>
      </c>
      <c r="Y279" s="3" t="s">
        <v>1328</v>
      </c>
      <c r="Z279" s="3" t="s">
        <v>1941</v>
      </c>
      <c r="AA279" t="s">
        <v>1702</v>
      </c>
      <c r="AB279" s="3" t="s">
        <v>1765</v>
      </c>
      <c r="AC279" s="3" t="s">
        <v>640</v>
      </c>
      <c r="AD279" s="3" t="s">
        <v>640</v>
      </c>
    </row>
    <row r="280" spans="1:30" x14ac:dyDescent="0.35">
      <c r="A280" s="3" t="s">
        <v>608</v>
      </c>
      <c r="B280" s="3" t="s">
        <v>608</v>
      </c>
      <c r="C280" s="3" t="s">
        <v>608</v>
      </c>
      <c r="D280" s="3" t="s">
        <v>608</v>
      </c>
      <c r="E280" s="3" t="s">
        <v>608</v>
      </c>
      <c r="F280" s="3" t="s">
        <v>1444</v>
      </c>
      <c r="G280" s="3" t="s">
        <v>1445</v>
      </c>
      <c r="H280">
        <v>2300000</v>
      </c>
      <c r="I280" s="3" t="s">
        <v>1446</v>
      </c>
      <c r="J280" s="3" t="s">
        <v>1447</v>
      </c>
      <c r="K280">
        <v>3.74</v>
      </c>
      <c r="L280" s="3" t="s">
        <v>388</v>
      </c>
      <c r="M280" s="3" t="s">
        <v>1444</v>
      </c>
      <c r="N280" s="3" t="s">
        <v>1444</v>
      </c>
      <c r="O280">
        <v>104.44</v>
      </c>
      <c r="P280">
        <v>104.51</v>
      </c>
      <c r="Q280">
        <v>8484.9699999999993</v>
      </c>
      <c r="R280">
        <v>1250.75</v>
      </c>
      <c r="S280">
        <v>1272.21</v>
      </c>
      <c r="T280" s="3" t="s">
        <v>30</v>
      </c>
      <c r="U280">
        <v>104.5</v>
      </c>
      <c r="V280" s="3" t="s">
        <v>256</v>
      </c>
      <c r="W280" s="3" t="s">
        <v>31</v>
      </c>
      <c r="X280" s="3" t="s">
        <v>1328</v>
      </c>
      <c r="Y280" s="3" t="s">
        <v>1328</v>
      </c>
      <c r="Z280" s="3" t="s">
        <v>1942</v>
      </c>
      <c r="AA280" t="s">
        <v>1588</v>
      </c>
      <c r="AB280" s="3" t="s">
        <v>1766</v>
      </c>
      <c r="AC280" s="3" t="s">
        <v>640</v>
      </c>
      <c r="AD280" s="3" t="s">
        <v>640</v>
      </c>
    </row>
    <row r="281" spans="1:30" x14ac:dyDescent="0.35">
      <c r="A281" s="3" t="s">
        <v>608</v>
      </c>
      <c r="B281" s="3" t="s">
        <v>608</v>
      </c>
      <c r="C281" s="3" t="s">
        <v>608</v>
      </c>
      <c r="D281" s="3" t="s">
        <v>608</v>
      </c>
      <c r="E281" s="3" t="s">
        <v>608</v>
      </c>
      <c r="F281" s="3" t="s">
        <v>389</v>
      </c>
      <c r="G281" s="3" t="s">
        <v>1120</v>
      </c>
      <c r="H281">
        <v>1650000</v>
      </c>
      <c r="I281" s="3" t="s">
        <v>390</v>
      </c>
      <c r="J281" s="3" t="s">
        <v>797</v>
      </c>
      <c r="K281">
        <v>3.625</v>
      </c>
      <c r="L281" s="3" t="s">
        <v>388</v>
      </c>
      <c r="M281" s="3" t="s">
        <v>389</v>
      </c>
      <c r="N281" s="3" t="s">
        <v>389</v>
      </c>
      <c r="O281">
        <v>102.97</v>
      </c>
      <c r="P281">
        <v>102.95</v>
      </c>
      <c r="Q281">
        <v>4383.67</v>
      </c>
      <c r="R281">
        <v>290.27999999999997</v>
      </c>
      <c r="S281">
        <v>294.45999999999998</v>
      </c>
      <c r="T281" s="3" t="s">
        <v>30</v>
      </c>
      <c r="U281">
        <v>102.51</v>
      </c>
      <c r="V281" s="3" t="s">
        <v>256</v>
      </c>
      <c r="W281" s="3" t="s">
        <v>31</v>
      </c>
      <c r="X281" s="3" t="s">
        <v>1328</v>
      </c>
      <c r="Y281" s="3" t="s">
        <v>1328</v>
      </c>
      <c r="Z281" s="3" t="s">
        <v>1943</v>
      </c>
      <c r="AA281" t="s">
        <v>1602</v>
      </c>
      <c r="AB281" s="3" t="s">
        <v>1766</v>
      </c>
      <c r="AC281" s="3" t="s">
        <v>640</v>
      </c>
      <c r="AD281" s="3" t="s">
        <v>640</v>
      </c>
    </row>
    <row r="282" spans="1:30" x14ac:dyDescent="0.35">
      <c r="A282" s="3" t="s">
        <v>608</v>
      </c>
      <c r="B282" s="3" t="s">
        <v>608</v>
      </c>
      <c r="C282" s="3" t="s">
        <v>608</v>
      </c>
      <c r="D282" s="3" t="s">
        <v>608</v>
      </c>
      <c r="E282" s="3" t="s">
        <v>608</v>
      </c>
      <c r="F282" s="3" t="s">
        <v>1379</v>
      </c>
      <c r="G282" s="3" t="s">
        <v>1381</v>
      </c>
      <c r="H282">
        <v>-1400000</v>
      </c>
      <c r="I282" s="3" t="s">
        <v>1380</v>
      </c>
      <c r="J282" s="3" t="s">
        <v>1398</v>
      </c>
      <c r="K282">
        <v>1.25</v>
      </c>
      <c r="L282" s="3" t="s">
        <v>388</v>
      </c>
      <c r="M282" s="3" t="s">
        <v>1379</v>
      </c>
      <c r="N282" s="3" t="s">
        <v>1379</v>
      </c>
      <c r="O282">
        <v>105.47</v>
      </c>
      <c r="P282">
        <v>105.54</v>
      </c>
      <c r="Q282">
        <v>-1083.95</v>
      </c>
      <c r="R282">
        <v>-638.09</v>
      </c>
      <c r="S282">
        <v>-644.47</v>
      </c>
      <c r="T282" s="3" t="s">
        <v>30</v>
      </c>
      <c r="U282">
        <v>105.73</v>
      </c>
      <c r="V282" s="3" t="s">
        <v>9</v>
      </c>
      <c r="W282" s="3" t="s">
        <v>31</v>
      </c>
      <c r="X282" s="3" t="s">
        <v>1328</v>
      </c>
      <c r="Y282" s="3" t="s">
        <v>1328</v>
      </c>
      <c r="Z282" s="3" t="s">
        <v>1944</v>
      </c>
      <c r="AA282" t="s">
        <v>1565</v>
      </c>
      <c r="AB282" s="3" t="s">
        <v>1765</v>
      </c>
      <c r="AC282" s="3" t="s">
        <v>640</v>
      </c>
      <c r="AD282" s="3" t="s">
        <v>640</v>
      </c>
    </row>
    <row r="283" spans="1:30" x14ac:dyDescent="0.35">
      <c r="A283" s="3" t="s">
        <v>608</v>
      </c>
      <c r="B283" s="3" t="s">
        <v>608</v>
      </c>
      <c r="C283" s="3" t="s">
        <v>608</v>
      </c>
      <c r="D283" s="3" t="s">
        <v>608</v>
      </c>
      <c r="E283" s="3" t="s">
        <v>608</v>
      </c>
      <c r="F283" s="3" t="s">
        <v>175</v>
      </c>
      <c r="G283" s="3" t="s">
        <v>1122</v>
      </c>
      <c r="H283">
        <v>-174000</v>
      </c>
      <c r="I283" s="3" t="s">
        <v>176</v>
      </c>
      <c r="J283" s="3" t="s">
        <v>713</v>
      </c>
      <c r="K283">
        <v>1.5</v>
      </c>
      <c r="L283" s="3" t="s">
        <v>177</v>
      </c>
      <c r="M283" s="3" t="s">
        <v>175</v>
      </c>
      <c r="N283" s="3" t="s">
        <v>175</v>
      </c>
      <c r="O283">
        <v>104.36</v>
      </c>
      <c r="P283">
        <v>104.37</v>
      </c>
      <c r="Q283">
        <v>-24.55</v>
      </c>
      <c r="R283">
        <v>-50.9</v>
      </c>
      <c r="S283">
        <v>-51.36</v>
      </c>
      <c r="T283" s="3" t="s">
        <v>30</v>
      </c>
      <c r="U283">
        <v>104.35</v>
      </c>
      <c r="V283" s="3" t="s">
        <v>9</v>
      </c>
      <c r="W283" s="3" t="s">
        <v>31</v>
      </c>
      <c r="X283" s="3" t="s">
        <v>1328</v>
      </c>
      <c r="Y283" s="3" t="s">
        <v>1328</v>
      </c>
      <c r="Z283" s="3" t="s">
        <v>1945</v>
      </c>
      <c r="AA283" t="s">
        <v>1605</v>
      </c>
      <c r="AB283" s="3" t="s">
        <v>1765</v>
      </c>
      <c r="AC283" s="3" t="s">
        <v>640</v>
      </c>
      <c r="AD283" s="3" t="s">
        <v>640</v>
      </c>
    </row>
    <row r="284" spans="1:30" x14ac:dyDescent="0.35">
      <c r="A284" s="3" t="s">
        <v>608</v>
      </c>
      <c r="B284" s="3" t="s">
        <v>608</v>
      </c>
      <c r="C284" s="3" t="s">
        <v>608</v>
      </c>
      <c r="D284" s="3" t="s">
        <v>608</v>
      </c>
      <c r="E284" s="3" t="s">
        <v>608</v>
      </c>
      <c r="F284" s="3" t="s">
        <v>178</v>
      </c>
      <c r="G284" s="3" t="s">
        <v>1123</v>
      </c>
      <c r="H284">
        <v>-1285000</v>
      </c>
      <c r="I284" s="3" t="s">
        <v>179</v>
      </c>
      <c r="J284" s="3" t="s">
        <v>714</v>
      </c>
      <c r="K284">
        <v>0.875</v>
      </c>
      <c r="L284" s="3" t="s">
        <v>180</v>
      </c>
      <c r="M284" s="3" t="s">
        <v>178</v>
      </c>
      <c r="N284" s="3" t="s">
        <v>178</v>
      </c>
      <c r="O284">
        <v>104.77</v>
      </c>
      <c r="P284">
        <v>104.82</v>
      </c>
      <c r="Q284">
        <v>-660.45</v>
      </c>
      <c r="R284">
        <v>-653.62</v>
      </c>
      <c r="S284">
        <v>-660.22</v>
      </c>
      <c r="T284" s="3" t="s">
        <v>30</v>
      </c>
      <c r="U284">
        <v>104.78</v>
      </c>
      <c r="V284" s="3" t="s">
        <v>9</v>
      </c>
      <c r="W284" s="3" t="s">
        <v>31</v>
      </c>
      <c r="X284" s="3" t="s">
        <v>1328</v>
      </c>
      <c r="Y284" s="3" t="s">
        <v>1328</v>
      </c>
      <c r="Z284" s="3" t="s">
        <v>1946</v>
      </c>
      <c r="AA284" t="s">
        <v>1606</v>
      </c>
      <c r="AB284" s="3" t="s">
        <v>1765</v>
      </c>
      <c r="AC284" s="3" t="s">
        <v>640</v>
      </c>
      <c r="AD284" s="3" t="s">
        <v>640</v>
      </c>
    </row>
    <row r="285" spans="1:30" x14ac:dyDescent="0.35">
      <c r="A285" s="3" t="s">
        <v>608</v>
      </c>
      <c r="B285" s="3" t="s">
        <v>608</v>
      </c>
      <c r="C285" s="3" t="s">
        <v>608</v>
      </c>
      <c r="D285" s="3" t="s">
        <v>608</v>
      </c>
      <c r="E285" s="3" t="s">
        <v>608</v>
      </c>
      <c r="F285" s="3" t="s">
        <v>1372</v>
      </c>
      <c r="G285" s="3" t="s">
        <v>1373</v>
      </c>
      <c r="H285">
        <v>5000000</v>
      </c>
      <c r="I285" s="3" t="s">
        <v>1374</v>
      </c>
      <c r="J285" s="3" t="s">
        <v>1375</v>
      </c>
      <c r="K285">
        <v>3.25</v>
      </c>
      <c r="L285" s="3" t="s">
        <v>180</v>
      </c>
      <c r="M285" s="3" t="s">
        <v>1372</v>
      </c>
      <c r="N285" s="3" t="s">
        <v>1372</v>
      </c>
      <c r="O285">
        <v>102.74</v>
      </c>
      <c r="P285">
        <v>102.75</v>
      </c>
      <c r="Q285">
        <v>893.99</v>
      </c>
      <c r="R285">
        <v>527.54</v>
      </c>
      <c r="S285">
        <v>532.35</v>
      </c>
      <c r="T285" s="3" t="s">
        <v>30</v>
      </c>
      <c r="U285">
        <v>102.67</v>
      </c>
      <c r="V285" s="3" t="s">
        <v>256</v>
      </c>
      <c r="W285" s="3" t="s">
        <v>31</v>
      </c>
      <c r="X285" s="3" t="s">
        <v>1328</v>
      </c>
      <c r="Y285" s="3" t="s">
        <v>1328</v>
      </c>
      <c r="Z285" s="3" t="s">
        <v>1947</v>
      </c>
      <c r="AA285" t="s">
        <v>1560</v>
      </c>
      <c r="AB285" s="3" t="s">
        <v>1765</v>
      </c>
      <c r="AC285" s="3" t="s">
        <v>640</v>
      </c>
      <c r="AD285" s="3" t="s">
        <v>640</v>
      </c>
    </row>
    <row r="286" spans="1:30" x14ac:dyDescent="0.35">
      <c r="A286" s="3" t="s">
        <v>608</v>
      </c>
      <c r="B286" s="3" t="s">
        <v>608</v>
      </c>
      <c r="C286" s="3" t="s">
        <v>608</v>
      </c>
      <c r="D286" s="3" t="s">
        <v>608</v>
      </c>
      <c r="E286" s="3" t="s">
        <v>608</v>
      </c>
      <c r="F286" s="3" t="s">
        <v>1318</v>
      </c>
      <c r="G286" s="3" t="s">
        <v>1319</v>
      </c>
      <c r="H286">
        <v>1400000</v>
      </c>
      <c r="I286" s="3" t="s">
        <v>1320</v>
      </c>
      <c r="J286" s="3" t="s">
        <v>1321</v>
      </c>
      <c r="K286">
        <v>2.875</v>
      </c>
      <c r="L286" s="3" t="s">
        <v>1322</v>
      </c>
      <c r="M286" s="3" t="s">
        <v>1318</v>
      </c>
      <c r="N286" s="3" t="s">
        <v>1318</v>
      </c>
      <c r="O286">
        <v>99.44</v>
      </c>
      <c r="P286">
        <v>99.4</v>
      </c>
      <c r="Q286">
        <v>-829.56</v>
      </c>
      <c r="R286">
        <v>553.03</v>
      </c>
      <c r="S286">
        <v>558.89</v>
      </c>
      <c r="T286" s="3" t="s">
        <v>30</v>
      </c>
      <c r="U286">
        <v>99.38</v>
      </c>
      <c r="V286" s="3" t="s">
        <v>256</v>
      </c>
      <c r="W286" s="3" t="s">
        <v>31</v>
      </c>
      <c r="X286" s="3" t="s">
        <v>1328</v>
      </c>
      <c r="Y286" s="3" t="s">
        <v>1328</v>
      </c>
      <c r="Z286" s="3" t="s">
        <v>1948</v>
      </c>
      <c r="AA286" t="s">
        <v>1559</v>
      </c>
      <c r="AB286" s="3" t="s">
        <v>1765</v>
      </c>
      <c r="AC286" s="3" t="s">
        <v>640</v>
      </c>
      <c r="AD286" s="3" t="s">
        <v>640</v>
      </c>
    </row>
    <row r="287" spans="1:30" x14ac:dyDescent="0.35">
      <c r="A287" s="3" t="s">
        <v>608</v>
      </c>
      <c r="B287" s="3" t="s">
        <v>608</v>
      </c>
      <c r="C287" s="3" t="s">
        <v>608</v>
      </c>
      <c r="D287" s="3" t="s">
        <v>608</v>
      </c>
      <c r="E287" s="3" t="s">
        <v>608</v>
      </c>
      <c r="F287" s="3" t="s">
        <v>402</v>
      </c>
      <c r="G287" s="3" t="s">
        <v>1131</v>
      </c>
      <c r="H287">
        <v>-1800000</v>
      </c>
      <c r="I287" s="3" t="s">
        <v>403</v>
      </c>
      <c r="J287" s="3" t="s">
        <v>803</v>
      </c>
      <c r="K287">
        <v>3</v>
      </c>
      <c r="L287" s="3" t="s">
        <v>395</v>
      </c>
      <c r="M287" s="3" t="s">
        <v>402</v>
      </c>
      <c r="N287" s="3" t="s">
        <v>402</v>
      </c>
      <c r="O287">
        <v>101.91</v>
      </c>
      <c r="P287">
        <v>101.98</v>
      </c>
      <c r="Q287">
        <v>-1515.54</v>
      </c>
      <c r="R287">
        <v>-487.94</v>
      </c>
      <c r="S287">
        <v>-492.33</v>
      </c>
      <c r="T287" s="3" t="s">
        <v>30</v>
      </c>
      <c r="U287">
        <v>99.2</v>
      </c>
      <c r="V287" s="3" t="s">
        <v>256</v>
      </c>
      <c r="W287" s="3" t="s">
        <v>31</v>
      </c>
      <c r="X287" s="3" t="s">
        <v>1328</v>
      </c>
      <c r="Y287" s="3" t="s">
        <v>1328</v>
      </c>
      <c r="Z287" s="3" t="s">
        <v>1949</v>
      </c>
      <c r="AA287" t="s">
        <v>1613</v>
      </c>
      <c r="AB287" s="3" t="s">
        <v>1765</v>
      </c>
      <c r="AC287" s="3" t="s">
        <v>640</v>
      </c>
      <c r="AD287" s="3" t="s">
        <v>640</v>
      </c>
    </row>
    <row r="288" spans="1:30" x14ac:dyDescent="0.35">
      <c r="A288" s="3" t="s">
        <v>608</v>
      </c>
      <c r="B288" s="3" t="s">
        <v>608</v>
      </c>
      <c r="C288" s="3" t="s">
        <v>608</v>
      </c>
      <c r="D288" s="3" t="s">
        <v>608</v>
      </c>
      <c r="E288" s="3" t="s">
        <v>608</v>
      </c>
      <c r="F288" s="3" t="s">
        <v>400</v>
      </c>
      <c r="G288" s="3" t="s">
        <v>1130</v>
      </c>
      <c r="H288">
        <v>1300000</v>
      </c>
      <c r="I288" s="3" t="s">
        <v>401</v>
      </c>
      <c r="J288" s="3" t="s">
        <v>802</v>
      </c>
      <c r="K288">
        <v>5.875</v>
      </c>
      <c r="L288" s="3" t="s">
        <v>395</v>
      </c>
      <c r="M288" s="3" t="s">
        <v>400</v>
      </c>
      <c r="N288" s="3" t="s">
        <v>400</v>
      </c>
      <c r="O288">
        <v>111.5</v>
      </c>
      <c r="P288">
        <v>111.56</v>
      </c>
      <c r="Q288">
        <v>13006.04</v>
      </c>
      <c r="R288">
        <v>448.99</v>
      </c>
      <c r="S288">
        <v>453.73</v>
      </c>
      <c r="T288" s="3" t="s">
        <v>30</v>
      </c>
      <c r="U288">
        <v>110.46</v>
      </c>
      <c r="V288" s="3" t="s">
        <v>256</v>
      </c>
      <c r="W288" s="3" t="s">
        <v>31</v>
      </c>
      <c r="X288" s="3" t="s">
        <v>1718</v>
      </c>
      <c r="Y288" s="3" t="s">
        <v>1718</v>
      </c>
      <c r="Z288" s="3" t="s">
        <v>1950</v>
      </c>
      <c r="AA288" t="s">
        <v>1703</v>
      </c>
      <c r="AB288" s="3" t="s">
        <v>1765</v>
      </c>
      <c r="AC288" s="3" t="s">
        <v>640</v>
      </c>
      <c r="AD288" s="3" t="s">
        <v>640</v>
      </c>
    </row>
    <row r="289" spans="1:30" x14ac:dyDescent="0.35">
      <c r="A289" s="3" t="s">
        <v>608</v>
      </c>
      <c r="B289" s="3" t="s">
        <v>608</v>
      </c>
      <c r="C289" s="3" t="s">
        <v>608</v>
      </c>
      <c r="D289" s="3" t="s">
        <v>608</v>
      </c>
      <c r="E289" s="3" t="s">
        <v>608</v>
      </c>
      <c r="F289" s="3" t="s">
        <v>393</v>
      </c>
      <c r="G289" s="3" t="s">
        <v>1130</v>
      </c>
      <c r="H289">
        <v>-2600000</v>
      </c>
      <c r="I289" s="3" t="s">
        <v>394</v>
      </c>
      <c r="J289" s="3" t="s">
        <v>799</v>
      </c>
      <c r="K289">
        <v>2.875</v>
      </c>
      <c r="L289" s="3" t="s">
        <v>395</v>
      </c>
      <c r="M289" s="3" t="s">
        <v>393</v>
      </c>
      <c r="N289" s="3" t="s">
        <v>393</v>
      </c>
      <c r="O289">
        <v>99.39</v>
      </c>
      <c r="P289">
        <v>99.62</v>
      </c>
      <c r="Q289">
        <v>-6158.79</v>
      </c>
      <c r="R289">
        <v>-1535.71</v>
      </c>
      <c r="S289">
        <v>-1551.84</v>
      </c>
      <c r="T289" s="3" t="s">
        <v>30</v>
      </c>
      <c r="U289">
        <v>98.6</v>
      </c>
      <c r="V289" s="3" t="s">
        <v>256</v>
      </c>
      <c r="W289" s="3" t="s">
        <v>31</v>
      </c>
      <c r="X289" s="3" t="s">
        <v>1328</v>
      </c>
      <c r="Y289" s="3" t="s">
        <v>1328</v>
      </c>
      <c r="Z289" s="3" t="s">
        <v>1951</v>
      </c>
      <c r="AA289" t="s">
        <v>1597</v>
      </c>
      <c r="AB289" s="3" t="s">
        <v>1765</v>
      </c>
      <c r="AC289" s="3" t="s">
        <v>640</v>
      </c>
      <c r="AD289" s="3" t="s">
        <v>640</v>
      </c>
    </row>
    <row r="290" spans="1:30" x14ac:dyDescent="0.35">
      <c r="A290" s="3" t="s">
        <v>608</v>
      </c>
      <c r="B290" s="3" t="s">
        <v>608</v>
      </c>
      <c r="C290" s="3" t="s">
        <v>608</v>
      </c>
      <c r="D290" s="3" t="s">
        <v>608</v>
      </c>
      <c r="E290" s="3" t="s">
        <v>608</v>
      </c>
      <c r="F290" s="3" t="s">
        <v>406</v>
      </c>
      <c r="G290" s="3" t="s">
        <v>1130</v>
      </c>
      <c r="H290">
        <v>4000000</v>
      </c>
      <c r="I290" s="3" t="s">
        <v>407</v>
      </c>
      <c r="J290" s="3" t="s">
        <v>805</v>
      </c>
      <c r="K290">
        <v>3.75</v>
      </c>
      <c r="L290" s="3" t="s">
        <v>395</v>
      </c>
      <c r="M290" s="3" t="s">
        <v>406</v>
      </c>
      <c r="N290" s="3" t="s">
        <v>406</v>
      </c>
      <c r="O290">
        <v>103.02</v>
      </c>
      <c r="P290">
        <v>103.01</v>
      </c>
      <c r="Q290">
        <v>-29.04</v>
      </c>
      <c r="R290">
        <v>533.94000000000005</v>
      </c>
      <c r="S290">
        <v>538.69000000000005</v>
      </c>
      <c r="T290" s="3" t="s">
        <v>30</v>
      </c>
      <c r="U290">
        <v>102.08</v>
      </c>
      <c r="V290" s="3" t="s">
        <v>256</v>
      </c>
      <c r="W290" s="3" t="s">
        <v>31</v>
      </c>
      <c r="X290" s="3" t="s">
        <v>1328</v>
      </c>
      <c r="Y290" s="3" t="s">
        <v>1328</v>
      </c>
      <c r="Z290" s="3" t="s">
        <v>1952</v>
      </c>
      <c r="AA290" t="s">
        <v>1611</v>
      </c>
      <c r="AB290" s="3" t="s">
        <v>1765</v>
      </c>
      <c r="AC290" s="3" t="s">
        <v>640</v>
      </c>
      <c r="AD290" s="3" t="s">
        <v>640</v>
      </c>
    </row>
    <row r="291" spans="1:30" x14ac:dyDescent="0.35">
      <c r="A291" s="3" t="s">
        <v>608</v>
      </c>
      <c r="B291" s="3" t="s">
        <v>608</v>
      </c>
      <c r="C291" s="3" t="s">
        <v>608</v>
      </c>
      <c r="D291" s="3" t="s">
        <v>608</v>
      </c>
      <c r="E291" s="3" t="s">
        <v>608</v>
      </c>
      <c r="F291" s="3" t="s">
        <v>1449</v>
      </c>
      <c r="G291" s="3" t="s">
        <v>1450</v>
      </c>
      <c r="H291">
        <v>-2700000</v>
      </c>
      <c r="I291" s="3" t="s">
        <v>1451</v>
      </c>
      <c r="J291" s="3" t="s">
        <v>1452</v>
      </c>
      <c r="K291">
        <v>1.4470000000000001</v>
      </c>
      <c r="L291" s="3" t="s">
        <v>395</v>
      </c>
      <c r="M291" s="3" t="s">
        <v>1449</v>
      </c>
      <c r="N291" s="3" t="s">
        <v>1449</v>
      </c>
      <c r="O291">
        <v>108.04</v>
      </c>
      <c r="P291">
        <v>108.15</v>
      </c>
      <c r="Q291">
        <v>-2941.75</v>
      </c>
      <c r="R291">
        <v>-1738.97</v>
      </c>
      <c r="S291">
        <v>-1757.34</v>
      </c>
      <c r="T291" s="3" t="s">
        <v>30</v>
      </c>
      <c r="U291">
        <v>108.2</v>
      </c>
      <c r="V291" s="3" t="s">
        <v>9</v>
      </c>
      <c r="W291" s="3" t="s">
        <v>31</v>
      </c>
      <c r="X291" s="3" t="s">
        <v>1328</v>
      </c>
      <c r="Y291" s="3" t="s">
        <v>1328</v>
      </c>
      <c r="Z291" s="3" t="s">
        <v>1953</v>
      </c>
      <c r="AA291" t="s">
        <v>1610</v>
      </c>
      <c r="AB291" s="3" t="s">
        <v>1765</v>
      </c>
      <c r="AC291" s="3" t="s">
        <v>640</v>
      </c>
      <c r="AD291" s="3" t="s">
        <v>640</v>
      </c>
    </row>
    <row r="292" spans="1:30" x14ac:dyDescent="0.35">
      <c r="A292" s="3" t="s">
        <v>608</v>
      </c>
      <c r="B292" s="3" t="s">
        <v>608</v>
      </c>
      <c r="C292" s="3" t="s">
        <v>608</v>
      </c>
      <c r="D292" s="3" t="s">
        <v>608</v>
      </c>
      <c r="E292" s="3" t="s">
        <v>608</v>
      </c>
      <c r="F292" s="3" t="s">
        <v>1453</v>
      </c>
      <c r="G292" s="3" t="s">
        <v>1454</v>
      </c>
      <c r="H292">
        <v>3000000</v>
      </c>
      <c r="I292" s="3" t="s">
        <v>1455</v>
      </c>
      <c r="J292" s="3" t="s">
        <v>1456</v>
      </c>
      <c r="K292">
        <v>5.875</v>
      </c>
      <c r="L292" s="3" t="s">
        <v>395</v>
      </c>
      <c r="M292" s="3" t="s">
        <v>1453</v>
      </c>
      <c r="N292" s="3" t="s">
        <v>1453</v>
      </c>
      <c r="O292">
        <v>160.55000000000001</v>
      </c>
      <c r="P292">
        <v>160.82</v>
      </c>
      <c r="Q292">
        <v>8851.56</v>
      </c>
      <c r="R292">
        <v>4697.7</v>
      </c>
      <c r="S292">
        <v>4749.74</v>
      </c>
      <c r="T292" s="3" t="s">
        <v>30</v>
      </c>
      <c r="U292">
        <v>159.55000000000001</v>
      </c>
      <c r="V292" s="3" t="s">
        <v>9</v>
      </c>
      <c r="W292" s="3" t="s">
        <v>31</v>
      </c>
      <c r="X292" s="3" t="s">
        <v>1328</v>
      </c>
      <c r="Y292" s="3" t="s">
        <v>1328</v>
      </c>
      <c r="Z292" s="3" t="s">
        <v>1954</v>
      </c>
      <c r="AA292" t="s">
        <v>1515</v>
      </c>
      <c r="AB292" s="3" t="s">
        <v>1765</v>
      </c>
      <c r="AC292" s="3" t="s">
        <v>640</v>
      </c>
      <c r="AD292" s="3" t="s">
        <v>640</v>
      </c>
    </row>
    <row r="293" spans="1:30" x14ac:dyDescent="0.35">
      <c r="A293" s="3" t="s">
        <v>608</v>
      </c>
      <c r="B293" s="3" t="s">
        <v>608</v>
      </c>
      <c r="C293" s="3" t="s">
        <v>608</v>
      </c>
      <c r="D293" s="3" t="s">
        <v>608</v>
      </c>
      <c r="E293" s="3" t="s">
        <v>608</v>
      </c>
      <c r="F293" s="3" t="s">
        <v>408</v>
      </c>
      <c r="G293" s="3" t="s">
        <v>1133</v>
      </c>
      <c r="H293">
        <v>-1565000</v>
      </c>
      <c r="I293" s="3" t="s">
        <v>409</v>
      </c>
      <c r="J293" s="3" t="s">
        <v>806</v>
      </c>
      <c r="K293">
        <v>1.375</v>
      </c>
      <c r="L293" s="3" t="s">
        <v>410</v>
      </c>
      <c r="M293" s="3" t="s">
        <v>408</v>
      </c>
      <c r="N293" s="3" t="s">
        <v>408</v>
      </c>
      <c r="O293">
        <v>100.16</v>
      </c>
      <c r="P293">
        <v>100.27</v>
      </c>
      <c r="Q293">
        <v>-1874.36</v>
      </c>
      <c r="R293">
        <v>-787.3</v>
      </c>
      <c r="S293">
        <v>-795.32</v>
      </c>
      <c r="T293" s="3" t="s">
        <v>30</v>
      </c>
      <c r="U293">
        <v>98.89</v>
      </c>
      <c r="V293" s="3" t="s">
        <v>256</v>
      </c>
      <c r="W293" s="3" t="s">
        <v>31</v>
      </c>
      <c r="X293" s="3" t="s">
        <v>1328</v>
      </c>
      <c r="Y293" s="3" t="s">
        <v>1328</v>
      </c>
      <c r="Z293" s="3" t="s">
        <v>1955</v>
      </c>
      <c r="AA293" t="s">
        <v>1615</v>
      </c>
      <c r="AB293" s="3" t="s">
        <v>1765</v>
      </c>
      <c r="AC293" s="3" t="s">
        <v>640</v>
      </c>
      <c r="AD293" s="3" t="s">
        <v>640</v>
      </c>
    </row>
    <row r="294" spans="1:30" x14ac:dyDescent="0.35">
      <c r="A294" s="3" t="s">
        <v>608</v>
      </c>
      <c r="B294" s="3" t="s">
        <v>608</v>
      </c>
      <c r="C294" s="3" t="s">
        <v>608</v>
      </c>
      <c r="D294" s="3" t="s">
        <v>608</v>
      </c>
      <c r="E294" s="3" t="s">
        <v>608</v>
      </c>
      <c r="F294" s="3" t="s">
        <v>932</v>
      </c>
      <c r="G294" s="3" t="s">
        <v>1132</v>
      </c>
      <c r="H294">
        <v>-1840000</v>
      </c>
      <c r="I294" s="3" t="s">
        <v>933</v>
      </c>
      <c r="J294" s="3" t="s">
        <v>934</v>
      </c>
      <c r="K294">
        <v>3</v>
      </c>
      <c r="L294" s="3" t="s">
        <v>410</v>
      </c>
      <c r="M294" s="3" t="s">
        <v>932</v>
      </c>
      <c r="N294" s="3" t="s">
        <v>932</v>
      </c>
      <c r="O294">
        <v>105.25</v>
      </c>
      <c r="P294">
        <v>105.37</v>
      </c>
      <c r="Q294">
        <v>-2193.63</v>
      </c>
      <c r="R294">
        <v>-448.53</v>
      </c>
      <c r="S294">
        <v>-452.5</v>
      </c>
      <c r="T294" s="3" t="s">
        <v>30</v>
      </c>
      <c r="U294">
        <v>104.25</v>
      </c>
      <c r="V294" s="3" t="s">
        <v>256</v>
      </c>
      <c r="W294" s="3" t="s">
        <v>31</v>
      </c>
      <c r="X294" s="3" t="s">
        <v>1328</v>
      </c>
      <c r="Y294" s="3" t="s">
        <v>1328</v>
      </c>
      <c r="Z294" s="3" t="s">
        <v>1956</v>
      </c>
      <c r="AA294" t="s">
        <v>1614</v>
      </c>
      <c r="AB294" s="3" t="s">
        <v>1765</v>
      </c>
      <c r="AC294" s="3" t="s">
        <v>640</v>
      </c>
      <c r="AD294" s="3" t="s">
        <v>640</v>
      </c>
    </row>
    <row r="295" spans="1:30" x14ac:dyDescent="0.35">
      <c r="A295" s="3" t="s">
        <v>608</v>
      </c>
      <c r="B295" s="3" t="s">
        <v>608</v>
      </c>
      <c r="C295" s="3" t="s">
        <v>608</v>
      </c>
      <c r="D295" s="3" t="s">
        <v>608</v>
      </c>
      <c r="E295" s="3" t="s">
        <v>608</v>
      </c>
      <c r="F295" s="3" t="s">
        <v>1666</v>
      </c>
      <c r="G295" s="3" t="s">
        <v>1674</v>
      </c>
      <c r="H295">
        <v>1500000</v>
      </c>
      <c r="I295" s="3" t="s">
        <v>1667</v>
      </c>
      <c r="J295" s="3" t="s">
        <v>640</v>
      </c>
      <c r="K295">
        <v>0.125</v>
      </c>
      <c r="L295" s="3" t="s">
        <v>183</v>
      </c>
      <c r="M295" s="3" t="s">
        <v>1666</v>
      </c>
      <c r="N295" s="3" t="s">
        <v>1666</v>
      </c>
      <c r="O295">
        <v>99.24</v>
      </c>
      <c r="P295">
        <v>99.36</v>
      </c>
      <c r="Q295">
        <v>2085</v>
      </c>
      <c r="R295">
        <v>1773.03</v>
      </c>
      <c r="S295">
        <v>1797.47</v>
      </c>
      <c r="T295" s="3" t="s">
        <v>30</v>
      </c>
      <c r="U295">
        <v>99.24</v>
      </c>
      <c r="V295" s="3" t="s">
        <v>9</v>
      </c>
      <c r="W295" s="3" t="s">
        <v>31</v>
      </c>
      <c r="X295" s="3" t="s">
        <v>1734</v>
      </c>
      <c r="Y295" s="3" t="s">
        <v>1734</v>
      </c>
      <c r="Z295" s="3" t="s">
        <v>1957</v>
      </c>
      <c r="AA295" t="s">
        <v>1515</v>
      </c>
      <c r="AB295" s="3" t="s">
        <v>1765</v>
      </c>
      <c r="AC295" s="3" t="s">
        <v>640</v>
      </c>
      <c r="AD295" s="3" t="s">
        <v>640</v>
      </c>
    </row>
    <row r="296" spans="1:30" x14ac:dyDescent="0.35">
      <c r="A296" s="3" t="s">
        <v>608</v>
      </c>
      <c r="B296" s="3" t="s">
        <v>608</v>
      </c>
      <c r="C296" s="3" t="s">
        <v>608</v>
      </c>
      <c r="D296" s="3" t="s">
        <v>608</v>
      </c>
      <c r="E296" s="3" t="s">
        <v>608</v>
      </c>
      <c r="F296" s="3" t="s">
        <v>1668</v>
      </c>
      <c r="G296" s="3" t="s">
        <v>1675</v>
      </c>
      <c r="H296">
        <v>1000000</v>
      </c>
      <c r="I296" s="3" t="s">
        <v>1669</v>
      </c>
      <c r="J296" s="3" t="s">
        <v>640</v>
      </c>
      <c r="K296">
        <v>0.5</v>
      </c>
      <c r="L296" s="3" t="s">
        <v>183</v>
      </c>
      <c r="M296" s="3" t="s">
        <v>1668</v>
      </c>
      <c r="N296" s="3" t="s">
        <v>1668</v>
      </c>
      <c r="O296">
        <v>99.43</v>
      </c>
      <c r="P296">
        <v>99.73</v>
      </c>
      <c r="Q296">
        <v>4160</v>
      </c>
      <c r="R296">
        <v>1893.09</v>
      </c>
      <c r="S296">
        <v>1921.81</v>
      </c>
      <c r="T296" s="3" t="s">
        <v>30</v>
      </c>
      <c r="U296">
        <v>99.43</v>
      </c>
      <c r="V296" s="3" t="s">
        <v>9</v>
      </c>
      <c r="W296" s="3" t="s">
        <v>31</v>
      </c>
      <c r="X296" s="3" t="s">
        <v>1738</v>
      </c>
      <c r="Y296" s="3" t="s">
        <v>1738</v>
      </c>
      <c r="Z296" s="3" t="s">
        <v>1958</v>
      </c>
      <c r="AA296" t="s">
        <v>1535</v>
      </c>
      <c r="AB296" s="3" t="s">
        <v>1765</v>
      </c>
      <c r="AC296" s="3" t="s">
        <v>640</v>
      </c>
      <c r="AD296" s="3" t="s">
        <v>640</v>
      </c>
    </row>
    <row r="297" spans="1:30" x14ac:dyDescent="0.35">
      <c r="A297" s="3" t="s">
        <v>608</v>
      </c>
      <c r="B297" s="3" t="s">
        <v>608</v>
      </c>
      <c r="C297" s="3" t="s">
        <v>608</v>
      </c>
      <c r="D297" s="3" t="s">
        <v>608</v>
      </c>
      <c r="E297" s="3" t="s">
        <v>608</v>
      </c>
      <c r="F297" s="3" t="s">
        <v>417</v>
      </c>
      <c r="G297" s="3" t="s">
        <v>1137</v>
      </c>
      <c r="H297">
        <v>2589000</v>
      </c>
      <c r="I297" s="3" t="s">
        <v>418</v>
      </c>
      <c r="J297" s="3" t="s">
        <v>810</v>
      </c>
      <c r="K297">
        <v>1.75</v>
      </c>
      <c r="L297" s="3" t="s">
        <v>186</v>
      </c>
      <c r="M297" s="3" t="s">
        <v>417</v>
      </c>
      <c r="N297" s="3" t="s">
        <v>417</v>
      </c>
      <c r="O297">
        <v>102.04</v>
      </c>
      <c r="P297">
        <v>101.98</v>
      </c>
      <c r="Q297">
        <v>4119.95</v>
      </c>
      <c r="R297">
        <v>863.26</v>
      </c>
      <c r="S297">
        <v>871.76</v>
      </c>
      <c r="T297" s="3" t="s">
        <v>30</v>
      </c>
      <c r="U297">
        <v>101.3</v>
      </c>
      <c r="V297" s="3" t="s">
        <v>256</v>
      </c>
      <c r="W297" s="3" t="s">
        <v>31</v>
      </c>
      <c r="X297" s="3" t="s">
        <v>1328</v>
      </c>
      <c r="Y297" s="3" t="s">
        <v>1328</v>
      </c>
      <c r="Z297" s="3" t="s">
        <v>1959</v>
      </c>
      <c r="AA297" t="s">
        <v>1620</v>
      </c>
      <c r="AB297" s="3" t="s">
        <v>1765</v>
      </c>
      <c r="AC297" s="3" t="s">
        <v>640</v>
      </c>
      <c r="AD297" s="3" t="s">
        <v>640</v>
      </c>
    </row>
    <row r="298" spans="1:30" x14ac:dyDescent="0.35">
      <c r="A298" s="3" t="s">
        <v>608</v>
      </c>
      <c r="B298" s="3" t="s">
        <v>608</v>
      </c>
      <c r="C298" s="3" t="s">
        <v>608</v>
      </c>
      <c r="D298" s="3" t="s">
        <v>608</v>
      </c>
      <c r="E298" s="3" t="s">
        <v>608</v>
      </c>
      <c r="F298" s="3" t="s">
        <v>844</v>
      </c>
      <c r="G298" s="3" t="s">
        <v>1137</v>
      </c>
      <c r="H298">
        <v>-748000</v>
      </c>
      <c r="I298" s="3" t="s">
        <v>845</v>
      </c>
      <c r="J298" s="3" t="s">
        <v>846</v>
      </c>
      <c r="K298">
        <v>2.25</v>
      </c>
      <c r="L298" s="3" t="s">
        <v>186</v>
      </c>
      <c r="M298" s="3" t="s">
        <v>844</v>
      </c>
      <c r="N298" s="3" t="s">
        <v>844</v>
      </c>
      <c r="O298">
        <v>100.68</v>
      </c>
      <c r="P298">
        <v>100.52</v>
      </c>
      <c r="Q298">
        <v>1188.22</v>
      </c>
      <c r="R298">
        <v>-20.65</v>
      </c>
      <c r="S298">
        <v>-20.84</v>
      </c>
      <c r="T298" s="3" t="s">
        <v>30</v>
      </c>
      <c r="U298">
        <v>100.55</v>
      </c>
      <c r="V298" s="3" t="s">
        <v>256</v>
      </c>
      <c r="W298" s="3" t="s">
        <v>31</v>
      </c>
      <c r="X298" s="3" t="s">
        <v>1328</v>
      </c>
      <c r="Y298" s="3" t="s">
        <v>1328</v>
      </c>
      <c r="Z298" s="3" t="s">
        <v>1960</v>
      </c>
      <c r="AA298" t="s">
        <v>1621</v>
      </c>
      <c r="AB298" s="3" t="s">
        <v>1765</v>
      </c>
      <c r="AC298" s="3" t="s">
        <v>640</v>
      </c>
      <c r="AD298" s="3" t="s">
        <v>640</v>
      </c>
    </row>
    <row r="299" spans="1:30" x14ac:dyDescent="0.35">
      <c r="A299" s="3" t="s">
        <v>608</v>
      </c>
      <c r="B299" s="3" t="s">
        <v>608</v>
      </c>
      <c r="C299" s="3" t="s">
        <v>608</v>
      </c>
      <c r="D299" s="3" t="s">
        <v>608</v>
      </c>
      <c r="E299" s="3" t="s">
        <v>608</v>
      </c>
      <c r="F299" s="3" t="s">
        <v>1384</v>
      </c>
      <c r="G299" s="3" t="s">
        <v>1391</v>
      </c>
      <c r="H299">
        <v>1000000</v>
      </c>
      <c r="I299" s="3" t="s">
        <v>1385</v>
      </c>
      <c r="J299" s="3" t="s">
        <v>1386</v>
      </c>
      <c r="K299">
        <v>1.5349999999999999</v>
      </c>
      <c r="L299" s="3" t="s">
        <v>186</v>
      </c>
      <c r="M299" s="3" t="s">
        <v>1384</v>
      </c>
      <c r="N299" s="3" t="s">
        <v>1384</v>
      </c>
      <c r="O299">
        <v>116.29</v>
      </c>
      <c r="P299">
        <v>116.75</v>
      </c>
      <c r="Q299">
        <v>4590</v>
      </c>
      <c r="R299">
        <v>1912.26</v>
      </c>
      <c r="S299">
        <v>1937.7</v>
      </c>
      <c r="T299" s="3" t="s">
        <v>30</v>
      </c>
      <c r="U299">
        <v>115.95</v>
      </c>
      <c r="V299" s="3" t="s">
        <v>9</v>
      </c>
      <c r="W299" s="3" t="s">
        <v>31</v>
      </c>
      <c r="X299" s="3" t="s">
        <v>1328</v>
      </c>
      <c r="Y299" s="3" t="s">
        <v>1328</v>
      </c>
      <c r="Z299" s="3" t="s">
        <v>1961</v>
      </c>
      <c r="AA299" t="s">
        <v>1517</v>
      </c>
      <c r="AB299" s="3" t="s">
        <v>1765</v>
      </c>
      <c r="AC299" s="3" t="s">
        <v>640</v>
      </c>
      <c r="AD299" s="3" t="s">
        <v>640</v>
      </c>
    </row>
    <row r="300" spans="1:30" x14ac:dyDescent="0.35">
      <c r="A300" s="3" t="s">
        <v>608</v>
      </c>
      <c r="B300" s="3" t="s">
        <v>608</v>
      </c>
      <c r="C300" s="3" t="s">
        <v>608</v>
      </c>
      <c r="D300" s="3" t="s">
        <v>608</v>
      </c>
      <c r="E300" s="3" t="s">
        <v>608</v>
      </c>
      <c r="F300" s="3" t="s">
        <v>1462</v>
      </c>
      <c r="G300" s="3" t="s">
        <v>1137</v>
      </c>
      <c r="H300">
        <v>5950000</v>
      </c>
      <c r="I300" s="3" t="s">
        <v>1463</v>
      </c>
      <c r="J300" s="3" t="s">
        <v>1464</v>
      </c>
      <c r="K300">
        <v>3.875</v>
      </c>
      <c r="L300" s="3" t="s">
        <v>186</v>
      </c>
      <c r="M300" s="3" t="s">
        <v>1462</v>
      </c>
      <c r="N300" s="3" t="s">
        <v>1462</v>
      </c>
      <c r="O300">
        <v>105.09</v>
      </c>
      <c r="P300">
        <v>105.07</v>
      </c>
      <c r="Q300">
        <v>-796.32</v>
      </c>
      <c r="R300">
        <v>923.62</v>
      </c>
      <c r="S300">
        <v>931.78</v>
      </c>
      <c r="T300" s="3" t="s">
        <v>30</v>
      </c>
      <c r="U300">
        <v>105.01</v>
      </c>
      <c r="V300" s="3" t="s">
        <v>256</v>
      </c>
      <c r="W300" s="3" t="s">
        <v>31</v>
      </c>
      <c r="X300" s="3" t="s">
        <v>1328</v>
      </c>
      <c r="Y300" s="3" t="s">
        <v>1328</v>
      </c>
      <c r="Z300" s="3" t="s">
        <v>1962</v>
      </c>
      <c r="AA300" t="s">
        <v>1622</v>
      </c>
      <c r="AB300" s="3" t="s">
        <v>1765</v>
      </c>
      <c r="AC300" s="3" t="s">
        <v>640</v>
      </c>
      <c r="AD300" s="3" t="s">
        <v>640</v>
      </c>
    </row>
    <row r="301" spans="1:30" x14ac:dyDescent="0.35">
      <c r="A301" s="3" t="s">
        <v>608</v>
      </c>
      <c r="B301" s="3" t="s">
        <v>608</v>
      </c>
      <c r="C301" s="3" t="s">
        <v>608</v>
      </c>
      <c r="D301" s="3" t="s">
        <v>608</v>
      </c>
      <c r="E301" s="3" t="s">
        <v>608</v>
      </c>
      <c r="F301" s="3" t="s">
        <v>195</v>
      </c>
      <c r="G301" s="3" t="s">
        <v>1135</v>
      </c>
      <c r="H301">
        <v>5000000</v>
      </c>
      <c r="I301" s="3" t="s">
        <v>196</v>
      </c>
      <c r="J301" s="3" t="s">
        <v>721</v>
      </c>
      <c r="K301">
        <v>1.375</v>
      </c>
      <c r="L301" s="3" t="s">
        <v>186</v>
      </c>
      <c r="M301" s="3" t="s">
        <v>195</v>
      </c>
      <c r="N301" s="3" t="s">
        <v>195</v>
      </c>
      <c r="O301">
        <v>107.61</v>
      </c>
      <c r="P301">
        <v>107.59</v>
      </c>
      <c r="Q301">
        <v>-911.64</v>
      </c>
      <c r="R301">
        <v>2287.8200000000002</v>
      </c>
      <c r="S301">
        <v>2310.66</v>
      </c>
      <c r="T301" s="3" t="s">
        <v>30</v>
      </c>
      <c r="U301">
        <v>107.55</v>
      </c>
      <c r="V301" s="3" t="s">
        <v>9</v>
      </c>
      <c r="W301" s="3" t="s">
        <v>31</v>
      </c>
      <c r="X301" s="3" t="s">
        <v>1328</v>
      </c>
      <c r="Y301" s="3" t="s">
        <v>1328</v>
      </c>
      <c r="Z301" s="3" t="s">
        <v>1963</v>
      </c>
      <c r="AA301" t="s">
        <v>1560</v>
      </c>
      <c r="AB301" s="3" t="s">
        <v>1765</v>
      </c>
      <c r="AC301" s="3" t="s">
        <v>640</v>
      </c>
      <c r="AD301" s="3" t="s">
        <v>640</v>
      </c>
    </row>
    <row r="302" spans="1:30" x14ac:dyDescent="0.35">
      <c r="A302" s="3" t="s">
        <v>608</v>
      </c>
      <c r="B302" s="3" t="s">
        <v>608</v>
      </c>
      <c r="C302" s="3" t="s">
        <v>608</v>
      </c>
      <c r="D302" s="3" t="s">
        <v>608</v>
      </c>
      <c r="E302" s="3" t="s">
        <v>608</v>
      </c>
      <c r="F302" s="3" t="s">
        <v>193</v>
      </c>
      <c r="G302" s="3" t="s">
        <v>1136</v>
      </c>
      <c r="H302">
        <v>-900000</v>
      </c>
      <c r="I302" s="3" t="s">
        <v>194</v>
      </c>
      <c r="J302" s="3" t="s">
        <v>720</v>
      </c>
      <c r="K302">
        <v>2.5</v>
      </c>
      <c r="L302" s="3" t="s">
        <v>186</v>
      </c>
      <c r="M302" s="3" t="s">
        <v>193</v>
      </c>
      <c r="N302" s="3" t="s">
        <v>193</v>
      </c>
      <c r="O302">
        <v>115.2</v>
      </c>
      <c r="P302">
        <v>115.23</v>
      </c>
      <c r="Q302">
        <v>-367.64</v>
      </c>
      <c r="R302">
        <v>-529.98</v>
      </c>
      <c r="S302">
        <v>-535.38</v>
      </c>
      <c r="T302" s="3" t="s">
        <v>30</v>
      </c>
      <c r="U302">
        <v>114.49</v>
      </c>
      <c r="V302" s="3" t="s">
        <v>9</v>
      </c>
      <c r="W302" s="3" t="s">
        <v>31</v>
      </c>
      <c r="X302" s="3" t="s">
        <v>1328</v>
      </c>
      <c r="Y302" s="3" t="s">
        <v>1328</v>
      </c>
      <c r="Z302" s="3" t="s">
        <v>1964</v>
      </c>
      <c r="AA302" t="s">
        <v>1619</v>
      </c>
      <c r="AB302" s="3" t="s">
        <v>1765</v>
      </c>
      <c r="AC302" s="3" t="s">
        <v>640</v>
      </c>
      <c r="AD302" s="3" t="s">
        <v>640</v>
      </c>
    </row>
    <row r="303" spans="1:30" x14ac:dyDescent="0.35">
      <c r="A303" s="3" t="s">
        <v>608</v>
      </c>
      <c r="B303" s="3" t="s">
        <v>608</v>
      </c>
      <c r="C303" s="3" t="s">
        <v>608</v>
      </c>
      <c r="D303" s="3" t="s">
        <v>608</v>
      </c>
      <c r="E303" s="3" t="s">
        <v>608</v>
      </c>
      <c r="F303" s="3" t="s">
        <v>1457</v>
      </c>
      <c r="G303" s="3" t="s">
        <v>1458</v>
      </c>
      <c r="H303">
        <v>1900000</v>
      </c>
      <c r="I303" s="3" t="s">
        <v>1459</v>
      </c>
      <c r="J303" s="3" t="s">
        <v>1460</v>
      </c>
      <c r="K303">
        <v>0.125</v>
      </c>
      <c r="L303" s="3" t="s">
        <v>199</v>
      </c>
      <c r="M303" s="3" t="s">
        <v>1457</v>
      </c>
      <c r="N303" s="3" t="s">
        <v>1457</v>
      </c>
      <c r="O303">
        <v>101.55</v>
      </c>
      <c r="P303">
        <v>101.59</v>
      </c>
      <c r="Q303">
        <v>842.51</v>
      </c>
      <c r="R303">
        <v>903.13</v>
      </c>
      <c r="S303">
        <v>912.22</v>
      </c>
      <c r="T303" s="3" t="s">
        <v>30</v>
      </c>
      <c r="U303">
        <v>101.43</v>
      </c>
      <c r="V303" s="3" t="s">
        <v>9</v>
      </c>
      <c r="W303" s="3" t="s">
        <v>31</v>
      </c>
      <c r="X303" s="3" t="s">
        <v>1328</v>
      </c>
      <c r="Y303" s="3" t="s">
        <v>1328</v>
      </c>
      <c r="Z303" s="3" t="s">
        <v>1965</v>
      </c>
      <c r="AA303" t="s">
        <v>1617</v>
      </c>
      <c r="AB303" s="3" t="s">
        <v>1765</v>
      </c>
      <c r="AC303" s="3" t="s">
        <v>640</v>
      </c>
      <c r="AD303" s="3" t="s">
        <v>640</v>
      </c>
    </row>
    <row r="304" spans="1:30" x14ac:dyDescent="0.35">
      <c r="A304" s="3" t="s">
        <v>608</v>
      </c>
      <c r="B304" s="3" t="s">
        <v>608</v>
      </c>
      <c r="C304" s="3" t="s">
        <v>608</v>
      </c>
      <c r="D304" s="3" t="s">
        <v>608</v>
      </c>
      <c r="E304" s="3" t="s">
        <v>608</v>
      </c>
      <c r="F304" s="3" t="s">
        <v>197</v>
      </c>
      <c r="G304" s="3" t="s">
        <v>1134</v>
      </c>
      <c r="H304">
        <v>-317000</v>
      </c>
      <c r="I304" s="3" t="s">
        <v>198</v>
      </c>
      <c r="J304" s="3" t="s">
        <v>722</v>
      </c>
      <c r="K304">
        <v>0.75</v>
      </c>
      <c r="L304" s="3" t="s">
        <v>199</v>
      </c>
      <c r="M304" s="3" t="s">
        <v>197</v>
      </c>
      <c r="N304" s="3" t="s">
        <v>197</v>
      </c>
      <c r="O304">
        <v>105.41</v>
      </c>
      <c r="P304">
        <v>105.7</v>
      </c>
      <c r="Q304">
        <v>-900.45</v>
      </c>
      <c r="R304">
        <v>-375.64</v>
      </c>
      <c r="S304">
        <v>-380.78</v>
      </c>
      <c r="T304" s="3" t="s">
        <v>30</v>
      </c>
      <c r="U304">
        <v>105.04</v>
      </c>
      <c r="V304" s="3" t="s">
        <v>9</v>
      </c>
      <c r="W304" s="3" t="s">
        <v>31</v>
      </c>
      <c r="X304" s="3" t="s">
        <v>1328</v>
      </c>
      <c r="Y304" s="3" t="s">
        <v>1328</v>
      </c>
      <c r="Z304" s="3" t="s">
        <v>1966</v>
      </c>
      <c r="AA304" t="s">
        <v>1618</v>
      </c>
      <c r="AB304" s="3" t="s">
        <v>1765</v>
      </c>
      <c r="AC304" s="3" t="s">
        <v>640</v>
      </c>
      <c r="AD304" s="3" t="s">
        <v>640</v>
      </c>
    </row>
    <row r="305" spans="1:30" x14ac:dyDescent="0.35">
      <c r="A305" s="3" t="s">
        <v>608</v>
      </c>
      <c r="B305" s="3" t="s">
        <v>608</v>
      </c>
      <c r="C305" s="3" t="s">
        <v>608</v>
      </c>
      <c r="D305" s="3" t="s">
        <v>608</v>
      </c>
      <c r="E305" s="3" t="s">
        <v>608</v>
      </c>
      <c r="F305" s="3" t="s">
        <v>885</v>
      </c>
      <c r="G305" s="3" t="s">
        <v>1138</v>
      </c>
      <c r="H305">
        <v>-200000</v>
      </c>
      <c r="I305" s="3" t="s">
        <v>886</v>
      </c>
      <c r="J305" s="3" t="s">
        <v>914</v>
      </c>
      <c r="K305">
        <v>5.875</v>
      </c>
      <c r="L305" s="3" t="s">
        <v>887</v>
      </c>
      <c r="M305" s="3" t="s">
        <v>885</v>
      </c>
      <c r="N305" s="3" t="s">
        <v>885</v>
      </c>
      <c r="O305">
        <v>103.07</v>
      </c>
      <c r="P305">
        <v>103.21</v>
      </c>
      <c r="Q305">
        <v>-306.10000000000002</v>
      </c>
      <c r="R305">
        <v>-75.849999999999994</v>
      </c>
      <c r="S305">
        <v>-76.78</v>
      </c>
      <c r="T305" s="3" t="s">
        <v>30</v>
      </c>
      <c r="U305">
        <v>97</v>
      </c>
      <c r="V305" s="3" t="s">
        <v>563</v>
      </c>
      <c r="W305" s="3" t="s">
        <v>31</v>
      </c>
      <c r="X305" s="3" t="s">
        <v>1328</v>
      </c>
      <c r="Y305" s="3" t="s">
        <v>1328</v>
      </c>
      <c r="Z305" s="3" t="s">
        <v>1967</v>
      </c>
      <c r="AA305" t="s">
        <v>1520</v>
      </c>
      <c r="AB305" s="3" t="s">
        <v>1765</v>
      </c>
      <c r="AC305" s="3" t="s">
        <v>640</v>
      </c>
      <c r="AD305" s="3" t="s">
        <v>640</v>
      </c>
    </row>
    <row r="306" spans="1:30" x14ac:dyDescent="0.35">
      <c r="A306" s="3" t="s">
        <v>608</v>
      </c>
      <c r="B306" s="3" t="s">
        <v>608</v>
      </c>
      <c r="C306" s="3" t="s">
        <v>608</v>
      </c>
      <c r="D306" s="3" t="s">
        <v>608</v>
      </c>
      <c r="E306" s="3" t="s">
        <v>608</v>
      </c>
      <c r="F306" s="3" t="s">
        <v>205</v>
      </c>
      <c r="G306" s="3" t="s">
        <v>1147</v>
      </c>
      <c r="H306">
        <v>-4000000</v>
      </c>
      <c r="I306" s="3" t="s">
        <v>206</v>
      </c>
      <c r="J306" s="3" t="s">
        <v>725</v>
      </c>
      <c r="K306">
        <v>1.5</v>
      </c>
      <c r="L306" s="3" t="s">
        <v>202</v>
      </c>
      <c r="M306" s="3" t="s">
        <v>205</v>
      </c>
      <c r="N306" s="3" t="s">
        <v>205</v>
      </c>
      <c r="O306">
        <v>111.96</v>
      </c>
      <c r="P306">
        <v>112.09</v>
      </c>
      <c r="Q306">
        <v>-5684.38</v>
      </c>
      <c r="R306">
        <v>-3359.61</v>
      </c>
      <c r="S306">
        <v>-3397.97</v>
      </c>
      <c r="T306" s="3" t="s">
        <v>30</v>
      </c>
      <c r="U306">
        <v>112.43</v>
      </c>
      <c r="V306" s="3" t="s">
        <v>9</v>
      </c>
      <c r="W306" s="3" t="s">
        <v>31</v>
      </c>
      <c r="X306" s="3" t="s">
        <v>1328</v>
      </c>
      <c r="Y306" s="3" t="s">
        <v>1328</v>
      </c>
      <c r="Z306" s="3" t="s">
        <v>1968</v>
      </c>
      <c r="AA306" t="s">
        <v>1627</v>
      </c>
      <c r="AB306" s="3" t="s">
        <v>1765</v>
      </c>
      <c r="AC306" s="3" t="s">
        <v>640</v>
      </c>
      <c r="AD306" s="3" t="s">
        <v>640</v>
      </c>
    </row>
    <row r="307" spans="1:30" x14ac:dyDescent="0.35">
      <c r="A307" s="3" t="s">
        <v>608</v>
      </c>
      <c r="B307" s="3" t="s">
        <v>608</v>
      </c>
      <c r="C307" s="3" t="s">
        <v>608</v>
      </c>
      <c r="D307" s="3" t="s">
        <v>608</v>
      </c>
      <c r="E307" s="3" t="s">
        <v>608</v>
      </c>
      <c r="F307" s="3" t="s">
        <v>1711</v>
      </c>
      <c r="G307" s="3" t="s">
        <v>1719</v>
      </c>
      <c r="H307">
        <v>1200000</v>
      </c>
      <c r="I307" s="3" t="s">
        <v>1712</v>
      </c>
      <c r="J307" s="3" t="s">
        <v>1716</v>
      </c>
      <c r="K307">
        <v>0.89200000000000002</v>
      </c>
      <c r="L307" s="3" t="s">
        <v>209</v>
      </c>
      <c r="M307" s="3" t="s">
        <v>1711</v>
      </c>
      <c r="N307" s="3" t="s">
        <v>1711</v>
      </c>
      <c r="O307">
        <v>0</v>
      </c>
      <c r="P307">
        <v>103.22</v>
      </c>
      <c r="Q307">
        <v>1596</v>
      </c>
      <c r="R307">
        <v>387.45</v>
      </c>
      <c r="S307">
        <v>391.32</v>
      </c>
      <c r="T307" s="3" t="s">
        <v>30</v>
      </c>
      <c r="U307">
        <v>103.09</v>
      </c>
      <c r="V307" s="3" t="s">
        <v>9</v>
      </c>
      <c r="W307" s="3" t="s">
        <v>31</v>
      </c>
      <c r="X307" s="3" t="s">
        <v>1328</v>
      </c>
      <c r="Y307" s="3" t="s">
        <v>1328</v>
      </c>
      <c r="Z307" s="3" t="s">
        <v>1969</v>
      </c>
      <c r="AA307" t="s">
        <v>1616</v>
      </c>
      <c r="AB307" s="3" t="s">
        <v>1765</v>
      </c>
      <c r="AC307" s="3" t="s">
        <v>640</v>
      </c>
      <c r="AD307" s="3" t="s">
        <v>640</v>
      </c>
    </row>
    <row r="308" spans="1:30" x14ac:dyDescent="0.35">
      <c r="A308" s="3" t="s">
        <v>608</v>
      </c>
      <c r="B308" s="3" t="s">
        <v>608</v>
      </c>
      <c r="C308" s="3" t="s">
        <v>608</v>
      </c>
      <c r="D308" s="3" t="s">
        <v>608</v>
      </c>
      <c r="E308" s="3" t="s">
        <v>608</v>
      </c>
      <c r="F308" s="3" t="s">
        <v>1465</v>
      </c>
      <c r="G308" s="3" t="s">
        <v>1466</v>
      </c>
      <c r="H308">
        <v>-4000000</v>
      </c>
      <c r="I308" s="3" t="s">
        <v>1467</v>
      </c>
      <c r="J308" s="3" t="s">
        <v>1468</v>
      </c>
      <c r="K308">
        <v>0.66400000000000003</v>
      </c>
      <c r="L308" s="3" t="s">
        <v>209</v>
      </c>
      <c r="M308" s="3" t="s">
        <v>1465</v>
      </c>
      <c r="N308" s="3" t="s">
        <v>1465</v>
      </c>
      <c r="O308">
        <v>103.61</v>
      </c>
      <c r="P308">
        <v>103.81</v>
      </c>
      <c r="Q308">
        <v>-7952.57</v>
      </c>
      <c r="R308">
        <v>-4083.41</v>
      </c>
      <c r="S308">
        <v>-4134.55</v>
      </c>
      <c r="T308" s="3" t="s">
        <v>30</v>
      </c>
      <c r="U308">
        <v>103.27</v>
      </c>
      <c r="V308" s="3" t="s">
        <v>9</v>
      </c>
      <c r="W308" s="3" t="s">
        <v>31</v>
      </c>
      <c r="X308" s="3" t="s">
        <v>1328</v>
      </c>
      <c r="Y308" s="3" t="s">
        <v>1328</v>
      </c>
      <c r="Z308" s="3" t="s">
        <v>1970</v>
      </c>
      <c r="AA308" t="s">
        <v>1627</v>
      </c>
      <c r="AB308" s="3" t="s">
        <v>1765</v>
      </c>
      <c r="AC308" s="3" t="s">
        <v>640</v>
      </c>
      <c r="AD308" s="3" t="s">
        <v>640</v>
      </c>
    </row>
    <row r="309" spans="1:30" x14ac:dyDescent="0.35">
      <c r="A309" s="3" t="s">
        <v>608</v>
      </c>
      <c r="B309" s="3" t="s">
        <v>608</v>
      </c>
      <c r="C309" s="3" t="s">
        <v>608</v>
      </c>
      <c r="D309" s="3" t="s">
        <v>608</v>
      </c>
      <c r="E309" s="3" t="s">
        <v>608</v>
      </c>
      <c r="F309" s="3" t="s">
        <v>207</v>
      </c>
      <c r="G309" s="3" t="s">
        <v>1141</v>
      </c>
      <c r="H309">
        <v>-2300000</v>
      </c>
      <c r="I309" s="3" t="s">
        <v>208</v>
      </c>
      <c r="J309" s="3" t="s">
        <v>727</v>
      </c>
      <c r="K309">
        <v>1.25</v>
      </c>
      <c r="L309" s="3" t="s">
        <v>209</v>
      </c>
      <c r="M309" s="3" t="s">
        <v>207</v>
      </c>
      <c r="N309" s="3" t="s">
        <v>207</v>
      </c>
      <c r="O309">
        <v>108.32</v>
      </c>
      <c r="P309">
        <v>108.46</v>
      </c>
      <c r="Q309">
        <v>-3298.77</v>
      </c>
      <c r="R309">
        <v>-1777.3</v>
      </c>
      <c r="S309">
        <v>-1798.67</v>
      </c>
      <c r="T309" s="3" t="s">
        <v>30</v>
      </c>
      <c r="U309">
        <v>104.17</v>
      </c>
      <c r="V309" s="3" t="s">
        <v>9</v>
      </c>
      <c r="W309" s="3" t="s">
        <v>31</v>
      </c>
      <c r="X309" s="3" t="s">
        <v>1328</v>
      </c>
      <c r="Y309" s="3" t="s">
        <v>1328</v>
      </c>
      <c r="Z309" s="3" t="s">
        <v>1971</v>
      </c>
      <c r="AA309" t="s">
        <v>1549</v>
      </c>
      <c r="AB309" s="3" t="s">
        <v>1765</v>
      </c>
      <c r="AC309" s="3" t="s">
        <v>640</v>
      </c>
      <c r="AD309" s="3" t="s">
        <v>640</v>
      </c>
    </row>
    <row r="310" spans="1:30" x14ac:dyDescent="0.35">
      <c r="A310" s="3" t="s">
        <v>608</v>
      </c>
      <c r="B310" s="3" t="s">
        <v>608</v>
      </c>
      <c r="C310" s="3" t="s">
        <v>608</v>
      </c>
      <c r="D310" s="3" t="s">
        <v>608</v>
      </c>
      <c r="E310" s="3" t="s">
        <v>608</v>
      </c>
      <c r="F310" s="3" t="s">
        <v>212</v>
      </c>
      <c r="G310" s="3" t="s">
        <v>1142</v>
      </c>
      <c r="H310">
        <v>-500000</v>
      </c>
      <c r="I310" s="3" t="s">
        <v>213</v>
      </c>
      <c r="J310" s="3" t="s">
        <v>729</v>
      </c>
      <c r="K310">
        <v>1.496</v>
      </c>
      <c r="L310" s="3" t="s">
        <v>209</v>
      </c>
      <c r="M310" s="3" t="s">
        <v>212</v>
      </c>
      <c r="N310" s="3" t="s">
        <v>212</v>
      </c>
      <c r="O310">
        <v>109.57</v>
      </c>
      <c r="P310">
        <v>109.64</v>
      </c>
      <c r="Q310">
        <v>-466.75</v>
      </c>
      <c r="R310">
        <v>-319.52999999999997</v>
      </c>
      <c r="S310">
        <v>-322.87</v>
      </c>
      <c r="T310" s="3" t="s">
        <v>30</v>
      </c>
      <c r="U310">
        <v>105.87</v>
      </c>
      <c r="V310" s="3" t="s">
        <v>9</v>
      </c>
      <c r="W310" s="3" t="s">
        <v>31</v>
      </c>
      <c r="X310" s="3" t="s">
        <v>1328</v>
      </c>
      <c r="Y310" s="3" t="s">
        <v>1328</v>
      </c>
      <c r="Z310" s="3" t="s">
        <v>1972</v>
      </c>
      <c r="AA310" t="s">
        <v>1512</v>
      </c>
      <c r="AB310" s="3" t="s">
        <v>1765</v>
      </c>
      <c r="AC310" s="3" t="s">
        <v>640</v>
      </c>
      <c r="AD310" s="3" t="s">
        <v>640</v>
      </c>
    </row>
    <row r="311" spans="1:30" x14ac:dyDescent="0.35">
      <c r="A311" s="3" t="s">
        <v>608</v>
      </c>
      <c r="B311" s="3" t="s">
        <v>608</v>
      </c>
      <c r="C311" s="3" t="s">
        <v>608</v>
      </c>
      <c r="D311" s="3" t="s">
        <v>608</v>
      </c>
      <c r="E311" s="3" t="s">
        <v>608</v>
      </c>
      <c r="F311" s="3" t="s">
        <v>214</v>
      </c>
      <c r="G311" s="3" t="s">
        <v>1140</v>
      </c>
      <c r="H311">
        <v>900000</v>
      </c>
      <c r="I311" s="3" t="s">
        <v>215</v>
      </c>
      <c r="J311" s="3" t="s">
        <v>730</v>
      </c>
      <c r="K311">
        <v>0.314</v>
      </c>
      <c r="L311" s="3" t="s">
        <v>209</v>
      </c>
      <c r="M311" s="3" t="s">
        <v>214</v>
      </c>
      <c r="N311" s="3" t="s">
        <v>214</v>
      </c>
      <c r="O311">
        <v>101.41</v>
      </c>
      <c r="P311">
        <v>101.43</v>
      </c>
      <c r="Q311">
        <v>196.74</v>
      </c>
      <c r="R311">
        <v>262.08999999999997</v>
      </c>
      <c r="S311">
        <v>264.42</v>
      </c>
      <c r="T311" s="3" t="s">
        <v>30</v>
      </c>
      <c r="U311">
        <v>100.86</v>
      </c>
      <c r="V311" s="3" t="s">
        <v>9</v>
      </c>
      <c r="W311" s="3" t="s">
        <v>31</v>
      </c>
      <c r="X311" s="3" t="s">
        <v>1328</v>
      </c>
      <c r="Y311" s="3" t="s">
        <v>1328</v>
      </c>
      <c r="Z311" s="3" t="s">
        <v>1973</v>
      </c>
      <c r="AA311" t="s">
        <v>1626</v>
      </c>
      <c r="AB311" s="3" t="s">
        <v>1765</v>
      </c>
      <c r="AC311" s="3" t="s">
        <v>640</v>
      </c>
      <c r="AD311" s="3" t="s">
        <v>640</v>
      </c>
    </row>
    <row r="312" spans="1:30" x14ac:dyDescent="0.35">
      <c r="A312" s="3" t="s">
        <v>608</v>
      </c>
      <c r="B312" s="3" t="s">
        <v>608</v>
      </c>
      <c r="C312" s="3" t="s">
        <v>608</v>
      </c>
      <c r="D312" s="3" t="s">
        <v>608</v>
      </c>
      <c r="E312" s="3" t="s">
        <v>608</v>
      </c>
      <c r="F312" s="3" t="s">
        <v>422</v>
      </c>
      <c r="G312" s="3" t="s">
        <v>1144</v>
      </c>
      <c r="H312">
        <v>7400000</v>
      </c>
      <c r="I312" s="3" t="s">
        <v>423</v>
      </c>
      <c r="J312" s="3" t="s">
        <v>811</v>
      </c>
      <c r="K312">
        <v>2.5</v>
      </c>
      <c r="L312" s="3" t="s">
        <v>209</v>
      </c>
      <c r="M312" s="3" t="s">
        <v>422</v>
      </c>
      <c r="N312" s="3" t="s">
        <v>422</v>
      </c>
      <c r="O312">
        <v>99.4</v>
      </c>
      <c r="P312">
        <v>99.27</v>
      </c>
      <c r="Q312">
        <v>-9039.15</v>
      </c>
      <c r="R312">
        <v>5357.31</v>
      </c>
      <c r="S312">
        <v>5421.3</v>
      </c>
      <c r="T312" s="3" t="s">
        <v>30</v>
      </c>
      <c r="U312">
        <v>98.88</v>
      </c>
      <c r="V312" s="3" t="s">
        <v>256</v>
      </c>
      <c r="W312" s="3" t="s">
        <v>31</v>
      </c>
      <c r="X312" s="3" t="s">
        <v>1328</v>
      </c>
      <c r="Y312" s="3" t="s">
        <v>1328</v>
      </c>
      <c r="Z312" s="3" t="s">
        <v>1974</v>
      </c>
      <c r="AA312" t="s">
        <v>1630</v>
      </c>
      <c r="AB312" s="3" t="s">
        <v>1765</v>
      </c>
      <c r="AC312" s="3" t="s">
        <v>640</v>
      </c>
      <c r="AD312" s="3" t="s">
        <v>640</v>
      </c>
    </row>
    <row r="313" spans="1:30" x14ac:dyDescent="0.35">
      <c r="A313" s="3" t="s">
        <v>608</v>
      </c>
      <c r="B313" s="3" t="s">
        <v>608</v>
      </c>
      <c r="C313" s="3" t="s">
        <v>608</v>
      </c>
      <c r="D313" s="3" t="s">
        <v>608</v>
      </c>
      <c r="E313" s="3" t="s">
        <v>608</v>
      </c>
      <c r="F313" s="3" t="s">
        <v>594</v>
      </c>
      <c r="G313" s="3" t="s">
        <v>1143</v>
      </c>
      <c r="H313">
        <v>600000</v>
      </c>
      <c r="I313" s="3" t="s">
        <v>595</v>
      </c>
      <c r="J313" s="3" t="s">
        <v>726</v>
      </c>
      <c r="K313">
        <v>6.125</v>
      </c>
      <c r="L313" s="3" t="s">
        <v>209</v>
      </c>
      <c r="M313" s="3" t="s">
        <v>594</v>
      </c>
      <c r="N313" s="3" t="s">
        <v>594</v>
      </c>
      <c r="O313">
        <v>170.71</v>
      </c>
      <c r="P313">
        <v>171.03</v>
      </c>
      <c r="Q313">
        <v>2056.41</v>
      </c>
      <c r="R313">
        <v>1049.6500000000001</v>
      </c>
      <c r="S313">
        <v>1061.01</v>
      </c>
      <c r="T313" s="3" t="s">
        <v>30</v>
      </c>
      <c r="U313">
        <v>168.71</v>
      </c>
      <c r="V313" s="3" t="s">
        <v>9</v>
      </c>
      <c r="W313" s="3" t="s">
        <v>31</v>
      </c>
      <c r="X313" s="3" t="s">
        <v>1328</v>
      </c>
      <c r="Y313" s="3" t="s">
        <v>1328</v>
      </c>
      <c r="Z313" s="3" t="s">
        <v>1975</v>
      </c>
      <c r="AA313" t="s">
        <v>1629</v>
      </c>
      <c r="AB313" s="3" t="s">
        <v>1765</v>
      </c>
      <c r="AC313" s="3" t="s">
        <v>640</v>
      </c>
      <c r="AD313" s="3" t="s">
        <v>640</v>
      </c>
    </row>
    <row r="314" spans="1:30" x14ac:dyDescent="0.35">
      <c r="A314" s="3" t="s">
        <v>608</v>
      </c>
      <c r="B314" s="3" t="s">
        <v>608</v>
      </c>
      <c r="C314" s="3" t="s">
        <v>608</v>
      </c>
      <c r="D314" s="3" t="s">
        <v>608</v>
      </c>
      <c r="E314" s="3" t="s">
        <v>608</v>
      </c>
      <c r="F314" s="3" t="s">
        <v>1470</v>
      </c>
      <c r="G314" s="3" t="s">
        <v>1471</v>
      </c>
      <c r="H314">
        <v>6200000</v>
      </c>
      <c r="I314" s="3" t="s">
        <v>1472</v>
      </c>
      <c r="J314" s="3" t="s">
        <v>1473</v>
      </c>
      <c r="K314">
        <v>1.59</v>
      </c>
      <c r="L314" s="3" t="s">
        <v>209</v>
      </c>
      <c r="M314" s="3" t="s">
        <v>1470</v>
      </c>
      <c r="N314" s="3" t="s">
        <v>1470</v>
      </c>
      <c r="O314">
        <v>110.71</v>
      </c>
      <c r="P314">
        <v>110.81</v>
      </c>
      <c r="Q314">
        <v>6469.34</v>
      </c>
      <c r="R314">
        <v>4687.99</v>
      </c>
      <c r="S314">
        <v>4738.95</v>
      </c>
      <c r="T314" s="3" t="s">
        <v>30</v>
      </c>
      <c r="U314">
        <v>110.35</v>
      </c>
      <c r="V314" s="3" t="s">
        <v>9</v>
      </c>
      <c r="W314" s="3" t="s">
        <v>31</v>
      </c>
      <c r="X314" s="3" t="s">
        <v>1328</v>
      </c>
      <c r="Y314" s="3" t="s">
        <v>1328</v>
      </c>
      <c r="Z314" s="3" t="s">
        <v>1976</v>
      </c>
      <c r="AA314" t="s">
        <v>1628</v>
      </c>
      <c r="AB314" s="3" t="s">
        <v>1765</v>
      </c>
      <c r="AC314" s="3" t="s">
        <v>640</v>
      </c>
      <c r="AD314" s="3" t="s">
        <v>640</v>
      </c>
    </row>
    <row r="315" spans="1:30" x14ac:dyDescent="0.35">
      <c r="A315" s="3" t="s">
        <v>608</v>
      </c>
      <c r="B315" s="3" t="s">
        <v>608</v>
      </c>
      <c r="C315" s="3" t="s">
        <v>608</v>
      </c>
      <c r="D315" s="3" t="s">
        <v>608</v>
      </c>
      <c r="E315" s="3" t="s">
        <v>608</v>
      </c>
      <c r="F315" s="3" t="s">
        <v>435</v>
      </c>
      <c r="G315" s="3" t="s">
        <v>1151</v>
      </c>
      <c r="H315">
        <v>-1000000</v>
      </c>
      <c r="I315" s="3" t="s">
        <v>436</v>
      </c>
      <c r="J315" s="3" t="s">
        <v>817</v>
      </c>
      <c r="K315">
        <v>4.875</v>
      </c>
      <c r="L315" s="3" t="s">
        <v>428</v>
      </c>
      <c r="M315" s="3" t="s">
        <v>435</v>
      </c>
      <c r="N315" s="3" t="s">
        <v>435</v>
      </c>
      <c r="O315">
        <v>108.23</v>
      </c>
      <c r="P315">
        <v>108.39</v>
      </c>
      <c r="Q315">
        <v>-4811.41</v>
      </c>
      <c r="R315">
        <v>-502.11</v>
      </c>
      <c r="S315">
        <v>-510.62</v>
      </c>
      <c r="T315" s="3" t="s">
        <v>30</v>
      </c>
      <c r="U315">
        <v>107.25</v>
      </c>
      <c r="V315" s="3" t="s">
        <v>256</v>
      </c>
      <c r="W315" s="3" t="s">
        <v>31</v>
      </c>
      <c r="X315" s="3" t="s">
        <v>1328</v>
      </c>
      <c r="Y315" s="3" t="s">
        <v>1328</v>
      </c>
      <c r="Z315" s="3" t="s">
        <v>1977</v>
      </c>
      <c r="AA315" t="s">
        <v>1519</v>
      </c>
      <c r="AB315" s="3" t="s">
        <v>1766</v>
      </c>
      <c r="AC315" s="3" t="s">
        <v>640</v>
      </c>
      <c r="AD315" s="3" t="s">
        <v>640</v>
      </c>
    </row>
    <row r="316" spans="1:30" x14ac:dyDescent="0.35">
      <c r="A316" s="3" t="s">
        <v>608</v>
      </c>
      <c r="B316" s="3" t="s">
        <v>608</v>
      </c>
      <c r="C316" s="3" t="s">
        <v>608</v>
      </c>
      <c r="D316" s="3" t="s">
        <v>608</v>
      </c>
      <c r="E316" s="3" t="s">
        <v>608</v>
      </c>
      <c r="F316" s="3" t="s">
        <v>431</v>
      </c>
      <c r="G316" s="3" t="s">
        <v>1151</v>
      </c>
      <c r="H316">
        <v>2000000</v>
      </c>
      <c r="I316" s="3" t="s">
        <v>432</v>
      </c>
      <c r="J316" s="3" t="s">
        <v>815</v>
      </c>
      <c r="K316">
        <v>4.2</v>
      </c>
      <c r="L316" s="3" t="s">
        <v>428</v>
      </c>
      <c r="M316" s="3" t="s">
        <v>431</v>
      </c>
      <c r="N316" s="3" t="s">
        <v>431</v>
      </c>
      <c r="O316">
        <v>112.98</v>
      </c>
      <c r="P316">
        <v>112.97</v>
      </c>
      <c r="Q316">
        <v>-220</v>
      </c>
      <c r="R316">
        <v>1489.55</v>
      </c>
      <c r="S316">
        <v>1505.95</v>
      </c>
      <c r="T316" s="3" t="s">
        <v>30</v>
      </c>
      <c r="U316">
        <v>112.63</v>
      </c>
      <c r="V316" s="3" t="s">
        <v>256</v>
      </c>
      <c r="W316" s="3" t="s">
        <v>31</v>
      </c>
      <c r="X316" s="3" t="s">
        <v>1328</v>
      </c>
      <c r="Y316" s="3" t="s">
        <v>1328</v>
      </c>
      <c r="Z316" s="3" t="s">
        <v>1978</v>
      </c>
      <c r="AA316" t="s">
        <v>1535</v>
      </c>
      <c r="AB316" s="3" t="s">
        <v>1765</v>
      </c>
      <c r="AC316" s="3" t="s">
        <v>640</v>
      </c>
      <c r="AD316" s="3" t="s">
        <v>640</v>
      </c>
    </row>
    <row r="317" spans="1:30" x14ac:dyDescent="0.35">
      <c r="A317" s="3" t="s">
        <v>608</v>
      </c>
      <c r="B317" s="3" t="s">
        <v>608</v>
      </c>
      <c r="C317" s="3" t="s">
        <v>608</v>
      </c>
      <c r="D317" s="3" t="s">
        <v>608</v>
      </c>
      <c r="E317" s="3" t="s">
        <v>608</v>
      </c>
      <c r="F317" s="3" t="s">
        <v>429</v>
      </c>
      <c r="G317" s="3" t="s">
        <v>1149</v>
      </c>
      <c r="H317">
        <v>-8000000</v>
      </c>
      <c r="I317" s="3" t="s">
        <v>430</v>
      </c>
      <c r="J317" s="3" t="s">
        <v>814</v>
      </c>
      <c r="K317">
        <v>7</v>
      </c>
      <c r="L317" s="3" t="s">
        <v>428</v>
      </c>
      <c r="M317" s="3" t="s">
        <v>429</v>
      </c>
      <c r="N317" s="3" t="s">
        <v>429</v>
      </c>
      <c r="O317">
        <v>121.6</v>
      </c>
      <c r="P317">
        <v>121.77</v>
      </c>
      <c r="Q317">
        <v>1441.71</v>
      </c>
      <c r="R317">
        <v>-5259.78</v>
      </c>
      <c r="S317">
        <v>-5346.66</v>
      </c>
      <c r="T317" s="3" t="s">
        <v>30</v>
      </c>
      <c r="U317">
        <v>120.01</v>
      </c>
      <c r="V317" s="3" t="s">
        <v>256</v>
      </c>
      <c r="W317" s="3" t="s">
        <v>31</v>
      </c>
      <c r="X317" s="3" t="s">
        <v>1328</v>
      </c>
      <c r="Y317" s="3" t="s">
        <v>1328</v>
      </c>
      <c r="Z317" s="3" t="s">
        <v>1979</v>
      </c>
      <c r="AA317" t="s">
        <v>1632</v>
      </c>
      <c r="AB317" s="3" t="s">
        <v>1768</v>
      </c>
      <c r="AC317" s="3" t="s">
        <v>640</v>
      </c>
      <c r="AD317" s="3" t="s">
        <v>640</v>
      </c>
    </row>
    <row r="318" spans="1:30" x14ac:dyDescent="0.35">
      <c r="A318" s="3" t="s">
        <v>608</v>
      </c>
      <c r="B318" s="3" t="s">
        <v>608</v>
      </c>
      <c r="C318" s="3" t="s">
        <v>608</v>
      </c>
      <c r="D318" s="3" t="s">
        <v>608</v>
      </c>
      <c r="E318" s="3" t="s">
        <v>608</v>
      </c>
      <c r="F318" s="3" t="s">
        <v>437</v>
      </c>
      <c r="G318" s="3" t="s">
        <v>1151</v>
      </c>
      <c r="H318">
        <v>-8689000</v>
      </c>
      <c r="I318" s="3" t="s">
        <v>438</v>
      </c>
      <c r="J318" s="3" t="s">
        <v>818</v>
      </c>
      <c r="K318">
        <v>6.25</v>
      </c>
      <c r="L318" s="3" t="s">
        <v>428</v>
      </c>
      <c r="M318" s="3" t="s">
        <v>437</v>
      </c>
      <c r="N318" s="3" t="s">
        <v>437</v>
      </c>
      <c r="O318">
        <v>109.96</v>
      </c>
      <c r="P318">
        <v>110.05</v>
      </c>
      <c r="Q318">
        <v>5396.87</v>
      </c>
      <c r="R318">
        <v>-2633.65</v>
      </c>
      <c r="S318">
        <v>-2679.29</v>
      </c>
      <c r="T318" s="3" t="s">
        <v>30</v>
      </c>
      <c r="U318">
        <v>108.76</v>
      </c>
      <c r="V318" s="3" t="s">
        <v>256</v>
      </c>
      <c r="W318" s="3" t="s">
        <v>31</v>
      </c>
      <c r="X318" s="3" t="s">
        <v>1328</v>
      </c>
      <c r="Y318" s="3" t="s">
        <v>1328</v>
      </c>
      <c r="Z318" s="3" t="s">
        <v>1980</v>
      </c>
      <c r="AA318" t="s">
        <v>1709</v>
      </c>
      <c r="AB318" s="3" t="s">
        <v>1768</v>
      </c>
      <c r="AC318" s="3" t="s">
        <v>640</v>
      </c>
      <c r="AD318" s="3" t="s">
        <v>640</v>
      </c>
    </row>
    <row r="319" spans="1:30" x14ac:dyDescent="0.35">
      <c r="A319" s="3" t="s">
        <v>608</v>
      </c>
      <c r="B319" s="3" t="s">
        <v>608</v>
      </c>
      <c r="C319" s="3" t="s">
        <v>608</v>
      </c>
      <c r="D319" s="3" t="s">
        <v>608</v>
      </c>
      <c r="E319" s="3" t="s">
        <v>608</v>
      </c>
      <c r="F319" s="3" t="s">
        <v>426</v>
      </c>
      <c r="G319" s="3" t="s">
        <v>1474</v>
      </c>
      <c r="H319">
        <v>-11500000</v>
      </c>
      <c r="I319" s="3" t="s">
        <v>427</v>
      </c>
      <c r="J319" s="3" t="s">
        <v>813</v>
      </c>
      <c r="K319">
        <v>3</v>
      </c>
      <c r="L319" s="3" t="s">
        <v>428</v>
      </c>
      <c r="M319" s="3" t="s">
        <v>426</v>
      </c>
      <c r="N319" s="3" t="s">
        <v>426</v>
      </c>
      <c r="O319">
        <v>102.2</v>
      </c>
      <c r="P319">
        <v>102.25</v>
      </c>
      <c r="Q319">
        <v>3014.04</v>
      </c>
      <c r="R319">
        <v>-9653.65</v>
      </c>
      <c r="S319">
        <v>-9764.7199999999993</v>
      </c>
      <c r="T319" s="3" t="s">
        <v>30</v>
      </c>
      <c r="U319">
        <v>101.82</v>
      </c>
      <c r="V319" s="3" t="s">
        <v>256</v>
      </c>
      <c r="W319" s="3" t="s">
        <v>31</v>
      </c>
      <c r="X319" s="3" t="s">
        <v>1328</v>
      </c>
      <c r="Y319" s="3" t="s">
        <v>1328</v>
      </c>
      <c r="Z319" s="3" t="s">
        <v>1981</v>
      </c>
      <c r="AA319" t="s">
        <v>1527</v>
      </c>
      <c r="AB319" s="3" t="s">
        <v>1765</v>
      </c>
      <c r="AC319" s="3" t="s">
        <v>640</v>
      </c>
      <c r="AD319" s="3" t="s">
        <v>640</v>
      </c>
    </row>
    <row r="320" spans="1:30" x14ac:dyDescent="0.35">
      <c r="A320" s="3" t="s">
        <v>608</v>
      </c>
      <c r="B320" s="3" t="s">
        <v>608</v>
      </c>
      <c r="C320" s="3" t="s">
        <v>608</v>
      </c>
      <c r="D320" s="3" t="s">
        <v>608</v>
      </c>
      <c r="E320" s="3" t="s">
        <v>608</v>
      </c>
      <c r="F320" s="3" t="s">
        <v>433</v>
      </c>
      <c r="G320" s="3" t="s">
        <v>1150</v>
      </c>
      <c r="H320">
        <v>18777000</v>
      </c>
      <c r="I320" s="3" t="s">
        <v>434</v>
      </c>
      <c r="J320" s="3" t="s">
        <v>816</v>
      </c>
      <c r="K320">
        <v>2.625</v>
      </c>
      <c r="L320" s="3" t="s">
        <v>428</v>
      </c>
      <c r="M320" s="3" t="s">
        <v>433</v>
      </c>
      <c r="N320" s="3" t="s">
        <v>433</v>
      </c>
      <c r="O320">
        <v>102.21</v>
      </c>
      <c r="P320">
        <v>102.16</v>
      </c>
      <c r="Q320">
        <v>-6231.49</v>
      </c>
      <c r="R320">
        <v>9782.66</v>
      </c>
      <c r="S320">
        <v>9882.73</v>
      </c>
      <c r="T320" s="3" t="s">
        <v>30</v>
      </c>
      <c r="U320">
        <v>101.07</v>
      </c>
      <c r="V320" s="3" t="s">
        <v>256</v>
      </c>
      <c r="W320" s="3" t="s">
        <v>31</v>
      </c>
      <c r="X320" s="3" t="s">
        <v>1777</v>
      </c>
      <c r="Y320" s="3" t="s">
        <v>1777</v>
      </c>
      <c r="Z320" s="3" t="s">
        <v>1982</v>
      </c>
      <c r="AA320" t="s">
        <v>1708</v>
      </c>
      <c r="AB320" s="3" t="s">
        <v>1765</v>
      </c>
      <c r="AC320" s="3" t="s">
        <v>640</v>
      </c>
      <c r="AD320" s="3" t="s">
        <v>640</v>
      </c>
    </row>
    <row r="321" spans="1:30" x14ac:dyDescent="0.35">
      <c r="A321" s="3" t="s">
        <v>608</v>
      </c>
      <c r="B321" s="3" t="s">
        <v>608</v>
      </c>
      <c r="C321" s="3" t="s">
        <v>608</v>
      </c>
      <c r="D321" s="3" t="s">
        <v>608</v>
      </c>
      <c r="E321" s="3" t="s">
        <v>608</v>
      </c>
      <c r="F321" s="3" t="s">
        <v>970</v>
      </c>
      <c r="G321" s="3" t="s">
        <v>1148</v>
      </c>
      <c r="H321">
        <v>-300000</v>
      </c>
      <c r="I321" s="3" t="s">
        <v>971</v>
      </c>
      <c r="J321" s="3" t="s">
        <v>1189</v>
      </c>
      <c r="K321">
        <v>2.875</v>
      </c>
      <c r="L321" s="3" t="s">
        <v>428</v>
      </c>
      <c r="M321" s="3" t="s">
        <v>970</v>
      </c>
      <c r="N321" s="3" t="s">
        <v>970</v>
      </c>
      <c r="O321">
        <v>127.34</v>
      </c>
      <c r="P321">
        <v>127.79</v>
      </c>
      <c r="Q321">
        <v>-1361.57</v>
      </c>
      <c r="R321">
        <v>-535.91999999999996</v>
      </c>
      <c r="S321">
        <v>-542.27</v>
      </c>
      <c r="T321" s="3" t="s">
        <v>30</v>
      </c>
      <c r="U321">
        <v>125.05</v>
      </c>
      <c r="V321" s="3" t="s">
        <v>9</v>
      </c>
      <c r="W321" s="3" t="s">
        <v>31</v>
      </c>
      <c r="X321" s="3" t="s">
        <v>1328</v>
      </c>
      <c r="Y321" s="3" t="s">
        <v>1328</v>
      </c>
      <c r="Z321" s="3" t="s">
        <v>1983</v>
      </c>
      <c r="AA321" t="s">
        <v>1631</v>
      </c>
      <c r="AB321" s="3" t="s">
        <v>1765</v>
      </c>
      <c r="AC321" s="3" t="s">
        <v>640</v>
      </c>
      <c r="AD321" s="3" t="s">
        <v>640</v>
      </c>
    </row>
    <row r="322" spans="1:30" x14ac:dyDescent="0.35">
      <c r="A322" s="3" t="s">
        <v>608</v>
      </c>
      <c r="B322" s="3" t="s">
        <v>608</v>
      </c>
      <c r="C322" s="3" t="s">
        <v>608</v>
      </c>
      <c r="D322" s="3" t="s">
        <v>608</v>
      </c>
      <c r="E322" s="3" t="s">
        <v>608</v>
      </c>
      <c r="F322" s="3" t="s">
        <v>1475</v>
      </c>
      <c r="G322" s="3" t="s">
        <v>1476</v>
      </c>
      <c r="H322">
        <v>1000000</v>
      </c>
      <c r="I322" s="3" t="s">
        <v>1477</v>
      </c>
      <c r="J322" s="3" t="s">
        <v>1478</v>
      </c>
      <c r="K322">
        <v>4.125</v>
      </c>
      <c r="L322" s="3" t="s">
        <v>216</v>
      </c>
      <c r="M322" s="3" t="s">
        <v>1475</v>
      </c>
      <c r="N322" s="3" t="s">
        <v>1475</v>
      </c>
      <c r="O322">
        <v>142.94999999999999</v>
      </c>
      <c r="P322">
        <v>143.31</v>
      </c>
      <c r="Q322">
        <v>3773.01</v>
      </c>
      <c r="R322">
        <v>1972.32</v>
      </c>
      <c r="S322">
        <v>1993.15</v>
      </c>
      <c r="T322" s="3" t="s">
        <v>30</v>
      </c>
      <c r="U322">
        <v>140.88999999999999</v>
      </c>
      <c r="V322" s="3" t="s">
        <v>9</v>
      </c>
      <c r="W322" s="3" t="s">
        <v>31</v>
      </c>
      <c r="X322" s="3" t="s">
        <v>1328</v>
      </c>
      <c r="Y322" s="3" t="s">
        <v>1328</v>
      </c>
      <c r="Z322" s="3" t="s">
        <v>1984</v>
      </c>
      <c r="AA322" t="s">
        <v>1517</v>
      </c>
      <c r="AB322" s="3" t="s">
        <v>1765</v>
      </c>
      <c r="AC322" s="3" t="s">
        <v>640</v>
      </c>
      <c r="AD322" s="3" t="s">
        <v>640</v>
      </c>
    </row>
    <row r="323" spans="1:30" x14ac:dyDescent="0.35">
      <c r="A323" s="3" t="s">
        <v>608</v>
      </c>
      <c r="B323" s="3" t="s">
        <v>608</v>
      </c>
      <c r="C323" s="3" t="s">
        <v>608</v>
      </c>
      <c r="D323" s="3" t="s">
        <v>608</v>
      </c>
      <c r="E323" s="3" t="s">
        <v>608</v>
      </c>
      <c r="F323" s="3" t="s">
        <v>994</v>
      </c>
      <c r="G323" s="3" t="s">
        <v>1152</v>
      </c>
      <c r="H323">
        <v>5300000</v>
      </c>
      <c r="I323" s="3" t="s">
        <v>995</v>
      </c>
      <c r="J323" s="3" t="s">
        <v>1190</v>
      </c>
      <c r="K323">
        <v>2.5</v>
      </c>
      <c r="L323" s="3" t="s">
        <v>216</v>
      </c>
      <c r="M323" s="3" t="s">
        <v>994</v>
      </c>
      <c r="N323" s="3" t="s">
        <v>994</v>
      </c>
      <c r="O323">
        <v>106</v>
      </c>
      <c r="P323">
        <v>105.99</v>
      </c>
      <c r="Q323">
        <v>204.01</v>
      </c>
      <c r="R323">
        <v>1316.03</v>
      </c>
      <c r="S323">
        <v>1327.64</v>
      </c>
      <c r="T323" s="3" t="s">
        <v>30</v>
      </c>
      <c r="U323">
        <v>105.56</v>
      </c>
      <c r="V323" s="3" t="s">
        <v>9</v>
      </c>
      <c r="W323" s="3" t="s">
        <v>31</v>
      </c>
      <c r="X323" s="3" t="s">
        <v>1328</v>
      </c>
      <c r="Y323" s="3" t="s">
        <v>1328</v>
      </c>
      <c r="Z323" s="3" t="s">
        <v>1656</v>
      </c>
      <c r="AA323" t="s">
        <v>1635</v>
      </c>
      <c r="AB323" s="3" t="s">
        <v>1765</v>
      </c>
      <c r="AC323" s="3" t="s">
        <v>640</v>
      </c>
      <c r="AD323" s="3" t="s">
        <v>640</v>
      </c>
    </row>
    <row r="324" spans="1:30" x14ac:dyDescent="0.35">
      <c r="A324" s="3" t="s">
        <v>608</v>
      </c>
      <c r="B324" s="3" t="s">
        <v>608</v>
      </c>
      <c r="C324" s="3" t="s">
        <v>608</v>
      </c>
      <c r="D324" s="3" t="s">
        <v>608</v>
      </c>
      <c r="E324" s="3" t="s">
        <v>608</v>
      </c>
      <c r="F324" s="3" t="s">
        <v>217</v>
      </c>
      <c r="G324" s="3" t="s">
        <v>1146</v>
      </c>
      <c r="H324">
        <v>-1300000</v>
      </c>
      <c r="I324" s="3" t="s">
        <v>218</v>
      </c>
      <c r="J324" s="3" t="s">
        <v>731</v>
      </c>
      <c r="K324">
        <v>1.5</v>
      </c>
      <c r="L324" s="3" t="s">
        <v>219</v>
      </c>
      <c r="M324" s="3" t="s">
        <v>217</v>
      </c>
      <c r="N324" s="3" t="s">
        <v>217</v>
      </c>
      <c r="O324">
        <v>108.33</v>
      </c>
      <c r="P324">
        <v>108.71</v>
      </c>
      <c r="Q324">
        <v>-4980.42</v>
      </c>
      <c r="R324">
        <v>-2331.4699999999998</v>
      </c>
      <c r="S324">
        <v>-2362.3200000000002</v>
      </c>
      <c r="T324" s="3" t="s">
        <v>30</v>
      </c>
      <c r="U324">
        <v>98.45</v>
      </c>
      <c r="V324" s="3" t="s">
        <v>9</v>
      </c>
      <c r="W324" s="3" t="s">
        <v>31</v>
      </c>
      <c r="X324" s="3" t="s">
        <v>1328</v>
      </c>
      <c r="Y324" s="3" t="s">
        <v>1328</v>
      </c>
      <c r="Z324" s="3" t="s">
        <v>1985</v>
      </c>
      <c r="AA324" t="s">
        <v>1538</v>
      </c>
      <c r="AB324" s="3" t="s">
        <v>1765</v>
      </c>
      <c r="AC324" s="3" t="s">
        <v>640</v>
      </c>
      <c r="AD324" s="3" t="s">
        <v>640</v>
      </c>
    </row>
    <row r="325" spans="1:30" x14ac:dyDescent="0.35">
      <c r="A325" s="3" t="s">
        <v>608</v>
      </c>
      <c r="B325" s="3" t="s">
        <v>608</v>
      </c>
      <c r="C325" s="3" t="s">
        <v>608</v>
      </c>
      <c r="D325" s="3" t="s">
        <v>608</v>
      </c>
      <c r="E325" s="3" t="s">
        <v>608</v>
      </c>
      <c r="F325" s="3" t="s">
        <v>220</v>
      </c>
      <c r="G325" s="3" t="s">
        <v>1145</v>
      </c>
      <c r="H325">
        <v>456000</v>
      </c>
      <c r="I325" s="3" t="s">
        <v>221</v>
      </c>
      <c r="J325" s="3" t="s">
        <v>732</v>
      </c>
      <c r="K325">
        <v>0.875</v>
      </c>
      <c r="L325" s="3" t="s">
        <v>219</v>
      </c>
      <c r="M325" s="3" t="s">
        <v>220</v>
      </c>
      <c r="N325" s="3" t="s">
        <v>220</v>
      </c>
      <c r="O325">
        <v>103.65</v>
      </c>
      <c r="P325">
        <v>103.86</v>
      </c>
      <c r="Q325">
        <v>975.96</v>
      </c>
      <c r="R325">
        <v>511.03</v>
      </c>
      <c r="S325">
        <v>517.70000000000005</v>
      </c>
      <c r="T325" s="3" t="s">
        <v>30</v>
      </c>
      <c r="U325">
        <v>101.4</v>
      </c>
      <c r="V325" s="3" t="s">
        <v>9</v>
      </c>
      <c r="W325" s="3" t="s">
        <v>31</v>
      </c>
      <c r="X325" s="3" t="s">
        <v>1328</v>
      </c>
      <c r="Y325" s="3" t="s">
        <v>1328</v>
      </c>
      <c r="Z325" s="3" t="s">
        <v>1986</v>
      </c>
      <c r="AA325" t="s">
        <v>1707</v>
      </c>
      <c r="AB325" s="3" t="s">
        <v>1765</v>
      </c>
      <c r="AC325" s="3" t="s">
        <v>640</v>
      </c>
      <c r="AD325" s="3" t="s">
        <v>640</v>
      </c>
    </row>
    <row r="376" spans="35:35" x14ac:dyDescent="0.35">
      <c r="AI376" s="9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E58BA-9C92-4D65-A055-2A1025A26891}">
  <sheetPr codeName="Sheet1">
    <tabColor theme="9" tint="-0.249977111117893"/>
  </sheetPr>
  <dimension ref="A1:AF368"/>
  <sheetViews>
    <sheetView topLeftCell="N30" workbookViewId="0">
      <selection activeCell="AA59" sqref="AA59"/>
    </sheetView>
  </sheetViews>
  <sheetFormatPr defaultRowHeight="14.5" x14ac:dyDescent="0.35"/>
  <cols>
    <col min="1" max="1" width="22.54296875" bestFit="1" customWidth="1"/>
    <col min="2" max="2" width="21.26953125" bestFit="1" customWidth="1"/>
    <col min="3" max="3" width="16.453125" bestFit="1" customWidth="1"/>
    <col min="4" max="4" width="18.54296875" bestFit="1" customWidth="1"/>
    <col min="5" max="5" width="20.1796875" bestFit="1" customWidth="1"/>
    <col min="6" max="6" width="21.1796875" bestFit="1" customWidth="1"/>
    <col min="7" max="7" width="25.81640625" bestFit="1" customWidth="1"/>
    <col min="8" max="8" width="21.81640625" bestFit="1" customWidth="1"/>
    <col min="9" max="9" width="21.26953125" bestFit="1" customWidth="1"/>
    <col min="10" max="10" width="6.36328125" bestFit="1" customWidth="1"/>
    <col min="11" max="11" width="22.90625" bestFit="1" customWidth="1"/>
    <col min="12" max="12" width="20.1796875" bestFit="1" customWidth="1"/>
    <col min="13" max="13" width="23.90625" bestFit="1" customWidth="1"/>
    <col min="14" max="14" width="10.36328125" bestFit="1" customWidth="1"/>
    <col min="15" max="15" width="14.26953125" bestFit="1" customWidth="1"/>
    <col min="16" max="16" width="30.54296875" bestFit="1" customWidth="1"/>
    <col min="17" max="17" width="18.26953125" bestFit="1" customWidth="1"/>
    <col min="18" max="18" width="20.08984375" bestFit="1" customWidth="1"/>
    <col min="19" max="19" width="17.81640625" bestFit="1" customWidth="1"/>
    <col min="20" max="20" width="14.90625" bestFit="1" customWidth="1"/>
    <col min="21" max="21" width="14.54296875" bestFit="1" customWidth="1"/>
    <col min="22" max="22" width="9.6328125" bestFit="1" customWidth="1"/>
    <col min="23" max="23" width="13.90625" bestFit="1" customWidth="1"/>
    <col min="24" max="24" width="15" bestFit="1" customWidth="1"/>
    <col min="25" max="25" width="25.54296875" bestFit="1" customWidth="1"/>
    <col min="26" max="26" width="16.7265625" bestFit="1" customWidth="1"/>
    <col min="27" max="27" width="19.54296875" bestFit="1" customWidth="1"/>
    <col min="28" max="28" width="20.36328125" bestFit="1" customWidth="1"/>
    <col min="29" max="29" width="31.36328125" bestFit="1" customWidth="1"/>
    <col min="30" max="30" width="26" bestFit="1" customWidth="1"/>
    <col min="31" max="31" width="19.54296875" bestFit="1" customWidth="1"/>
    <col min="32" max="32" width="18.90625" bestFit="1" customWidth="1"/>
  </cols>
  <sheetData>
    <row r="1" spans="1:32" x14ac:dyDescent="0.35">
      <c r="A1" t="s">
        <v>608</v>
      </c>
      <c r="B1" t="s">
        <v>609</v>
      </c>
      <c r="C1" t="s">
        <v>610</v>
      </c>
      <c r="D1" t="s">
        <v>611</v>
      </c>
      <c r="E1" t="s">
        <v>612</v>
      </c>
      <c r="F1" t="s">
        <v>613</v>
      </c>
      <c r="G1" t="s">
        <v>614</v>
      </c>
      <c r="H1" t="s">
        <v>615</v>
      </c>
      <c r="I1" t="s">
        <v>616</v>
      </c>
      <c r="J1" t="s">
        <v>617</v>
      </c>
      <c r="K1" t="s">
        <v>618</v>
      </c>
      <c r="L1" t="s">
        <v>619</v>
      </c>
      <c r="M1" t="s">
        <v>620</v>
      </c>
      <c r="N1" t="s">
        <v>621</v>
      </c>
      <c r="O1" t="s">
        <v>622</v>
      </c>
      <c r="P1" t="s">
        <v>623</v>
      </c>
      <c r="Q1" t="s">
        <v>624</v>
      </c>
      <c r="R1" t="s">
        <v>625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632</v>
      </c>
      <c r="Z1" t="s">
        <v>633</v>
      </c>
      <c r="AA1" t="s">
        <v>634</v>
      </c>
      <c r="AB1" t="s">
        <v>635</v>
      </c>
      <c r="AC1" t="s">
        <v>636</v>
      </c>
      <c r="AD1" t="s">
        <v>637</v>
      </c>
      <c r="AE1" t="s">
        <v>638</v>
      </c>
      <c r="AF1" t="s">
        <v>639</v>
      </c>
    </row>
    <row r="2" spans="1:32" x14ac:dyDescent="0.35">
      <c r="A2" s="3" t="s">
        <v>640</v>
      </c>
      <c r="B2" s="3" t="s">
        <v>641</v>
      </c>
      <c r="C2" s="3" t="s">
        <v>642</v>
      </c>
      <c r="D2" s="3" t="s">
        <v>643</v>
      </c>
      <c r="E2" s="3" t="s">
        <v>644</v>
      </c>
      <c r="F2" s="3" t="s">
        <v>640</v>
      </c>
      <c r="G2" s="3" t="s">
        <v>640</v>
      </c>
      <c r="H2" s="3" t="s">
        <v>640</v>
      </c>
      <c r="I2" s="3" t="s">
        <v>640</v>
      </c>
      <c r="J2" s="3" t="s">
        <v>640</v>
      </c>
      <c r="K2" s="3" t="s">
        <v>640</v>
      </c>
      <c r="L2" s="3" t="s">
        <v>640</v>
      </c>
      <c r="M2" s="3" t="s">
        <v>640</v>
      </c>
      <c r="S2" s="3" t="s">
        <v>640</v>
      </c>
      <c r="Y2" s="3" t="s">
        <v>640</v>
      </c>
      <c r="AB2" s="3" t="s">
        <v>640</v>
      </c>
      <c r="AC2" s="3" t="s">
        <v>640</v>
      </c>
      <c r="AF2" s="3" t="s">
        <v>640</v>
      </c>
    </row>
    <row r="3" spans="1:32" x14ac:dyDescent="0.35">
      <c r="A3" s="3" t="s">
        <v>645</v>
      </c>
      <c r="B3" s="3" t="s">
        <v>1987</v>
      </c>
      <c r="C3" s="3" t="s">
        <v>1988</v>
      </c>
      <c r="D3" s="3" t="s">
        <v>1989</v>
      </c>
      <c r="E3" s="3" t="s">
        <v>1778</v>
      </c>
      <c r="F3" s="3" t="s">
        <v>640</v>
      </c>
      <c r="G3" s="3" t="s">
        <v>640</v>
      </c>
      <c r="H3" s="3" t="s">
        <v>640</v>
      </c>
      <c r="I3" s="3" t="s">
        <v>640</v>
      </c>
      <c r="J3" s="3" t="s">
        <v>640</v>
      </c>
      <c r="K3" s="3" t="s">
        <v>640</v>
      </c>
      <c r="L3" s="3" t="s">
        <v>640</v>
      </c>
      <c r="M3" s="3" t="s">
        <v>640</v>
      </c>
      <c r="S3" s="3" t="s">
        <v>640</v>
      </c>
      <c r="Y3" s="3" t="s">
        <v>640</v>
      </c>
      <c r="AB3" s="3" t="s">
        <v>640</v>
      </c>
      <c r="AC3" s="3" t="s">
        <v>640</v>
      </c>
      <c r="AF3" s="3" t="s">
        <v>640</v>
      </c>
    </row>
    <row r="4" spans="1:32" x14ac:dyDescent="0.35">
      <c r="A4" s="3" t="s">
        <v>646</v>
      </c>
      <c r="B4" s="3" t="s">
        <v>1990</v>
      </c>
      <c r="C4" s="3" t="s">
        <v>1991</v>
      </c>
      <c r="D4" s="3" t="s">
        <v>1992</v>
      </c>
      <c r="E4" s="3" t="s">
        <v>1779</v>
      </c>
      <c r="F4" s="3" t="s">
        <v>640</v>
      </c>
      <c r="G4" s="3" t="s">
        <v>640</v>
      </c>
      <c r="H4" s="3" t="s">
        <v>640</v>
      </c>
      <c r="I4" s="3" t="s">
        <v>640</v>
      </c>
      <c r="J4" s="3" t="s">
        <v>640</v>
      </c>
      <c r="K4" s="3" t="s">
        <v>640</v>
      </c>
      <c r="L4" s="3" t="s">
        <v>640</v>
      </c>
      <c r="M4" s="3" t="s">
        <v>640</v>
      </c>
      <c r="S4" s="3" t="s">
        <v>640</v>
      </c>
      <c r="Y4" s="3" t="s">
        <v>640</v>
      </c>
      <c r="AB4" s="3" t="s">
        <v>640</v>
      </c>
      <c r="AC4" s="3" t="s">
        <v>640</v>
      </c>
      <c r="AF4" s="3" t="s">
        <v>640</v>
      </c>
    </row>
    <row r="5" spans="1:32" x14ac:dyDescent="0.35">
      <c r="A5" s="3" t="s">
        <v>1</v>
      </c>
      <c r="B5" s="3" t="s">
        <v>1993</v>
      </c>
      <c r="C5" s="3" t="s">
        <v>1994</v>
      </c>
      <c r="D5" s="3" t="s">
        <v>1995</v>
      </c>
      <c r="E5" s="3" t="s">
        <v>1780</v>
      </c>
      <c r="F5" s="3" t="s">
        <v>640</v>
      </c>
      <c r="G5" s="3" t="s">
        <v>640</v>
      </c>
      <c r="H5" s="3" t="s">
        <v>640</v>
      </c>
      <c r="I5" s="3" t="s">
        <v>640</v>
      </c>
      <c r="J5" s="3" t="s">
        <v>640</v>
      </c>
      <c r="K5" s="3" t="s">
        <v>640</v>
      </c>
      <c r="L5" s="3" t="s">
        <v>640</v>
      </c>
      <c r="M5" s="3" t="s">
        <v>640</v>
      </c>
      <c r="S5" s="3" t="s">
        <v>640</v>
      </c>
      <c r="Y5" s="3" t="s">
        <v>640</v>
      </c>
      <c r="AB5" s="3" t="s">
        <v>640</v>
      </c>
      <c r="AC5" s="3" t="s">
        <v>640</v>
      </c>
      <c r="AF5" s="3" t="s">
        <v>640</v>
      </c>
    </row>
    <row r="6" spans="1:32" x14ac:dyDescent="0.35">
      <c r="A6" s="3" t="s">
        <v>647</v>
      </c>
      <c r="B6" s="3" t="s">
        <v>1996</v>
      </c>
      <c r="C6" s="3" t="s">
        <v>1997</v>
      </c>
      <c r="D6" s="3" t="s">
        <v>1998</v>
      </c>
      <c r="E6" s="3" t="s">
        <v>1999</v>
      </c>
      <c r="F6" s="3" t="s">
        <v>640</v>
      </c>
      <c r="G6" s="3" t="s">
        <v>640</v>
      </c>
      <c r="H6" s="3" t="s">
        <v>640</v>
      </c>
      <c r="I6" s="3" t="s">
        <v>640</v>
      </c>
      <c r="J6" s="3" t="s">
        <v>640</v>
      </c>
      <c r="K6" s="3" t="s">
        <v>640</v>
      </c>
      <c r="L6" s="3" t="s">
        <v>640</v>
      </c>
      <c r="M6" s="3" t="s">
        <v>640</v>
      </c>
      <c r="S6" s="3" t="s">
        <v>640</v>
      </c>
      <c r="Y6" s="3" t="s">
        <v>640</v>
      </c>
      <c r="AB6" s="3" t="s">
        <v>640</v>
      </c>
      <c r="AC6" s="3" t="s">
        <v>640</v>
      </c>
      <c r="AF6" s="3" t="s">
        <v>640</v>
      </c>
    </row>
    <row r="7" spans="1:32" x14ac:dyDescent="0.35">
      <c r="A7" s="3" t="s">
        <v>648</v>
      </c>
      <c r="B7" s="3" t="s">
        <v>2000</v>
      </c>
      <c r="C7" s="3" t="s">
        <v>640</v>
      </c>
      <c r="D7" s="3" t="s">
        <v>2001</v>
      </c>
      <c r="E7" s="3" t="s">
        <v>1781</v>
      </c>
      <c r="F7" s="3" t="s">
        <v>640</v>
      </c>
      <c r="G7" s="3" t="s">
        <v>640</v>
      </c>
      <c r="H7" s="3" t="s">
        <v>640</v>
      </c>
      <c r="I7" s="3" t="s">
        <v>640</v>
      </c>
      <c r="J7" s="3" t="s">
        <v>640</v>
      </c>
      <c r="K7" s="3" t="s">
        <v>640</v>
      </c>
      <c r="L7" s="3" t="s">
        <v>640</v>
      </c>
      <c r="M7" s="3" t="s">
        <v>640</v>
      </c>
      <c r="S7" s="3" t="s">
        <v>640</v>
      </c>
      <c r="Y7" s="3" t="s">
        <v>640</v>
      </c>
      <c r="AB7" s="3" t="s">
        <v>640</v>
      </c>
      <c r="AC7" s="3" t="s">
        <v>640</v>
      </c>
      <c r="AF7" s="3" t="s">
        <v>640</v>
      </c>
    </row>
    <row r="8" spans="1:32" x14ac:dyDescent="0.35">
      <c r="A8" s="3" t="s">
        <v>649</v>
      </c>
      <c r="B8" s="3" t="s">
        <v>2002</v>
      </c>
      <c r="C8" s="3" t="s">
        <v>640</v>
      </c>
      <c r="D8" s="3" t="s">
        <v>2003</v>
      </c>
      <c r="E8" s="3" t="s">
        <v>2004</v>
      </c>
      <c r="F8" s="3" t="s">
        <v>640</v>
      </c>
      <c r="G8" s="3" t="s">
        <v>640</v>
      </c>
      <c r="H8" s="3" t="s">
        <v>640</v>
      </c>
      <c r="I8" s="3" t="s">
        <v>640</v>
      </c>
      <c r="J8" s="3" t="s">
        <v>640</v>
      </c>
      <c r="K8" s="3" t="s">
        <v>640</v>
      </c>
      <c r="L8" s="3" t="s">
        <v>640</v>
      </c>
      <c r="M8" s="3" t="s">
        <v>640</v>
      </c>
      <c r="S8" s="3" t="s">
        <v>640</v>
      </c>
      <c r="Y8" s="3" t="s">
        <v>640</v>
      </c>
      <c r="AB8" s="3" t="s">
        <v>640</v>
      </c>
      <c r="AC8" s="3" t="s">
        <v>640</v>
      </c>
      <c r="AF8" s="3" t="s">
        <v>640</v>
      </c>
    </row>
    <row r="9" spans="1:32" x14ac:dyDescent="0.35">
      <c r="A9" s="3" t="s">
        <v>650</v>
      </c>
      <c r="B9" s="3" t="s">
        <v>2005</v>
      </c>
      <c r="C9" s="3" t="s">
        <v>640</v>
      </c>
      <c r="D9" s="3" t="s">
        <v>640</v>
      </c>
      <c r="E9" s="3" t="s">
        <v>640</v>
      </c>
      <c r="F9" s="3" t="s">
        <v>640</v>
      </c>
      <c r="G9" s="3" t="s">
        <v>640</v>
      </c>
      <c r="H9" s="3" t="s">
        <v>640</v>
      </c>
      <c r="I9" s="3" t="s">
        <v>640</v>
      </c>
      <c r="J9" s="3" t="s">
        <v>640</v>
      </c>
      <c r="K9" s="3" t="s">
        <v>640</v>
      </c>
      <c r="L9" s="3" t="s">
        <v>640</v>
      </c>
      <c r="M9" s="3" t="s">
        <v>640</v>
      </c>
      <c r="S9" s="3" t="s">
        <v>640</v>
      </c>
      <c r="Y9" s="3" t="s">
        <v>640</v>
      </c>
      <c r="AB9" s="3" t="s">
        <v>640</v>
      </c>
      <c r="AC9" s="3" t="s">
        <v>640</v>
      </c>
      <c r="AF9" s="3" t="s">
        <v>640</v>
      </c>
    </row>
    <row r="10" spans="1:32" x14ac:dyDescent="0.35">
      <c r="A10" s="3" t="s">
        <v>608</v>
      </c>
      <c r="B10" s="3" t="s">
        <v>608</v>
      </c>
      <c r="C10" s="3" t="s">
        <v>608</v>
      </c>
      <c r="D10" s="3" t="s">
        <v>608</v>
      </c>
      <c r="E10" s="3" t="s">
        <v>608</v>
      </c>
      <c r="F10" s="3" t="s">
        <v>2</v>
      </c>
      <c r="G10" s="3" t="s">
        <v>3</v>
      </c>
      <c r="H10" s="3" t="s">
        <v>3</v>
      </c>
      <c r="I10" s="3" t="s">
        <v>640</v>
      </c>
      <c r="J10" s="3" t="s">
        <v>4</v>
      </c>
      <c r="K10" s="3" t="s">
        <v>652</v>
      </c>
      <c r="L10" s="3" t="s">
        <v>5</v>
      </c>
      <c r="M10" s="3" t="s">
        <v>6</v>
      </c>
      <c r="N10">
        <v>20000000</v>
      </c>
      <c r="O10">
        <v>-2.5609999999999999</v>
      </c>
      <c r="P10">
        <v>50</v>
      </c>
      <c r="Q10">
        <v>3272</v>
      </c>
      <c r="R10">
        <v>-556</v>
      </c>
      <c r="S10" s="3" t="s">
        <v>7</v>
      </c>
      <c r="T10">
        <v>137</v>
      </c>
      <c r="U10">
        <v>-10455</v>
      </c>
      <c r="V10">
        <v>-5225</v>
      </c>
      <c r="W10">
        <v>-16.850000000000001</v>
      </c>
      <c r="X10">
        <v>-512291</v>
      </c>
      <c r="Y10" s="3" t="s">
        <v>640</v>
      </c>
      <c r="Z10">
        <v>-2.5779999999999998</v>
      </c>
      <c r="AA10">
        <v>20000000</v>
      </c>
      <c r="AB10" s="3" t="s">
        <v>9</v>
      </c>
      <c r="AC10" s="3" t="s">
        <v>10</v>
      </c>
      <c r="AD10">
        <v>-20000000</v>
      </c>
      <c r="AE10">
        <v>20000000</v>
      </c>
      <c r="AF10" s="3" t="s">
        <v>640</v>
      </c>
    </row>
    <row r="11" spans="1:32" x14ac:dyDescent="0.35">
      <c r="A11" s="3" t="s">
        <v>608</v>
      </c>
      <c r="B11" s="3" t="s">
        <v>608</v>
      </c>
      <c r="C11" s="3" t="s">
        <v>608</v>
      </c>
      <c r="D11" s="3" t="s">
        <v>608</v>
      </c>
      <c r="E11" s="3" t="s">
        <v>608</v>
      </c>
      <c r="F11" s="3" t="s">
        <v>21</v>
      </c>
      <c r="G11" s="3" t="s">
        <v>22</v>
      </c>
      <c r="H11" s="3" t="s">
        <v>22</v>
      </c>
      <c r="I11" s="3" t="s">
        <v>640</v>
      </c>
      <c r="J11" s="3" t="s">
        <v>4</v>
      </c>
      <c r="K11" s="3" t="s">
        <v>640</v>
      </c>
      <c r="L11" s="3" t="s">
        <v>20</v>
      </c>
      <c r="M11" s="3" t="s">
        <v>14</v>
      </c>
      <c r="N11">
        <v>50500</v>
      </c>
      <c r="O11">
        <v>101.965</v>
      </c>
      <c r="Q11">
        <v>-1515</v>
      </c>
      <c r="R11">
        <v>0</v>
      </c>
      <c r="S11" s="3" t="s">
        <v>7</v>
      </c>
      <c r="T11">
        <v>2447</v>
      </c>
      <c r="U11">
        <v>2447</v>
      </c>
      <c r="V11">
        <v>995</v>
      </c>
      <c r="W11">
        <v>3.21</v>
      </c>
      <c r="X11">
        <v>5149233</v>
      </c>
      <c r="Y11" s="3" t="s">
        <v>653</v>
      </c>
      <c r="Z11">
        <v>101.995</v>
      </c>
      <c r="AA11">
        <v>50500</v>
      </c>
      <c r="AB11" s="3" t="s">
        <v>9</v>
      </c>
      <c r="AC11" s="3" t="s">
        <v>10</v>
      </c>
      <c r="AD11">
        <v>5149233</v>
      </c>
      <c r="AE11">
        <v>5149233</v>
      </c>
      <c r="AF11" s="3" t="s">
        <v>640</v>
      </c>
    </row>
    <row r="12" spans="1:32" x14ac:dyDescent="0.35">
      <c r="A12" s="3" t="s">
        <v>608</v>
      </c>
      <c r="B12" s="3" t="s">
        <v>608</v>
      </c>
      <c r="C12" s="3" t="s">
        <v>608</v>
      </c>
      <c r="D12" s="3" t="s">
        <v>608</v>
      </c>
      <c r="E12" s="3" t="s">
        <v>608</v>
      </c>
      <c r="F12" s="3" t="s">
        <v>11</v>
      </c>
      <c r="G12" s="3" t="s">
        <v>12</v>
      </c>
      <c r="H12" s="3" t="s">
        <v>12</v>
      </c>
      <c r="I12" s="3" t="s">
        <v>640</v>
      </c>
      <c r="J12" s="3" t="s">
        <v>4</v>
      </c>
      <c r="K12" s="3" t="s">
        <v>640</v>
      </c>
      <c r="L12" s="3" t="s">
        <v>13</v>
      </c>
      <c r="M12" s="3" t="s">
        <v>14</v>
      </c>
      <c r="N12">
        <v>-71</v>
      </c>
      <c r="O12">
        <v>175.2</v>
      </c>
      <c r="P12">
        <v>-84</v>
      </c>
      <c r="Q12">
        <v>-24250</v>
      </c>
      <c r="R12">
        <v>0</v>
      </c>
      <c r="S12" s="3" t="s">
        <v>640</v>
      </c>
      <c r="T12">
        <v>-10542</v>
      </c>
      <c r="U12">
        <v>0</v>
      </c>
      <c r="V12">
        <v>0</v>
      </c>
      <c r="W12">
        <v>0</v>
      </c>
      <c r="X12">
        <v>-8040</v>
      </c>
      <c r="Y12" s="3" t="s">
        <v>15</v>
      </c>
      <c r="Z12">
        <v>174.93</v>
      </c>
      <c r="AA12">
        <v>-90</v>
      </c>
      <c r="AB12" s="3" t="s">
        <v>9</v>
      </c>
      <c r="AC12" s="3" t="s">
        <v>10</v>
      </c>
      <c r="AD12">
        <v>0</v>
      </c>
      <c r="AE12">
        <v>0</v>
      </c>
      <c r="AF12" s="3" t="s">
        <v>640</v>
      </c>
    </row>
    <row r="13" spans="1:32" x14ac:dyDescent="0.35">
      <c r="A13" s="3" t="s">
        <v>608</v>
      </c>
      <c r="B13" s="3" t="s">
        <v>608</v>
      </c>
      <c r="C13" s="3" t="s">
        <v>608</v>
      </c>
      <c r="D13" s="3" t="s">
        <v>608</v>
      </c>
      <c r="E13" s="3" t="s">
        <v>608</v>
      </c>
      <c r="F13" s="3" t="s">
        <v>16</v>
      </c>
      <c r="G13" s="3" t="s">
        <v>17</v>
      </c>
      <c r="H13" s="3" t="s">
        <v>17</v>
      </c>
      <c r="I13" s="3" t="s">
        <v>640</v>
      </c>
      <c r="J13" s="3" t="s">
        <v>4</v>
      </c>
      <c r="K13" s="3" t="s">
        <v>640</v>
      </c>
      <c r="L13" s="3" t="s">
        <v>13</v>
      </c>
      <c r="M13" s="3" t="s">
        <v>14</v>
      </c>
      <c r="N13">
        <v>-80</v>
      </c>
      <c r="O13">
        <v>135.37</v>
      </c>
      <c r="P13">
        <v>-46</v>
      </c>
      <c r="Q13">
        <v>-4690</v>
      </c>
      <c r="R13">
        <v>0</v>
      </c>
      <c r="S13" s="3" t="s">
        <v>640</v>
      </c>
      <c r="T13">
        <v>-4955</v>
      </c>
      <c r="U13">
        <v>0</v>
      </c>
      <c r="V13">
        <v>0</v>
      </c>
      <c r="W13">
        <v>0</v>
      </c>
      <c r="X13">
        <v>-5430</v>
      </c>
      <c r="Y13" s="3" t="s">
        <v>15</v>
      </c>
      <c r="Z13">
        <v>135.30000000000001</v>
      </c>
      <c r="AA13">
        <v>-70</v>
      </c>
      <c r="AB13" s="3" t="s">
        <v>9</v>
      </c>
      <c r="AC13" s="3" t="s">
        <v>10</v>
      </c>
      <c r="AD13">
        <v>0</v>
      </c>
      <c r="AE13">
        <v>0</v>
      </c>
      <c r="AF13" s="3" t="s">
        <v>640</v>
      </c>
    </row>
    <row r="14" spans="1:32" x14ac:dyDescent="0.35">
      <c r="A14" s="3" t="s">
        <v>608</v>
      </c>
      <c r="B14" s="3" t="s">
        <v>608</v>
      </c>
      <c r="C14" s="3" t="s">
        <v>608</v>
      </c>
      <c r="D14" s="3" t="s">
        <v>608</v>
      </c>
      <c r="E14" s="3" t="s">
        <v>608</v>
      </c>
      <c r="F14" s="3" t="s">
        <v>25</v>
      </c>
      <c r="G14" s="3" t="s">
        <v>26</v>
      </c>
      <c r="H14" s="3" t="s">
        <v>26</v>
      </c>
      <c r="I14" s="3" t="s">
        <v>640</v>
      </c>
      <c r="J14" s="3" t="s">
        <v>4</v>
      </c>
      <c r="K14" s="3" t="s">
        <v>640</v>
      </c>
      <c r="L14" s="3" t="s">
        <v>13</v>
      </c>
      <c r="M14" s="3" t="s">
        <v>14</v>
      </c>
      <c r="N14">
        <v>-13</v>
      </c>
      <c r="O14">
        <v>226</v>
      </c>
      <c r="P14">
        <v>-14</v>
      </c>
      <c r="Q14">
        <v>-16060</v>
      </c>
      <c r="R14">
        <v>0</v>
      </c>
      <c r="S14" s="3" t="s">
        <v>640</v>
      </c>
      <c r="T14">
        <v>-6528</v>
      </c>
      <c r="U14">
        <v>0</v>
      </c>
      <c r="V14">
        <v>0</v>
      </c>
      <c r="W14">
        <v>0</v>
      </c>
      <c r="X14">
        <v>-26340</v>
      </c>
      <c r="Y14" s="3" t="s">
        <v>15</v>
      </c>
      <c r="Z14">
        <v>224.94</v>
      </c>
      <c r="AA14">
        <v>-17</v>
      </c>
      <c r="AB14" s="3" t="s">
        <v>9</v>
      </c>
      <c r="AC14" s="3" t="s">
        <v>10</v>
      </c>
      <c r="AD14">
        <v>0</v>
      </c>
      <c r="AE14">
        <v>0</v>
      </c>
      <c r="AF14" s="3" t="s">
        <v>640</v>
      </c>
    </row>
    <row r="15" spans="1:32" x14ac:dyDescent="0.35">
      <c r="A15" s="3" t="s">
        <v>608</v>
      </c>
      <c r="B15" s="3" t="s">
        <v>608</v>
      </c>
      <c r="C15" s="3" t="s">
        <v>608</v>
      </c>
      <c r="D15" s="3" t="s">
        <v>608</v>
      </c>
      <c r="E15" s="3" t="s">
        <v>608</v>
      </c>
      <c r="F15" s="3" t="s">
        <v>23</v>
      </c>
      <c r="G15" s="3" t="s">
        <v>24</v>
      </c>
      <c r="H15" s="3" t="s">
        <v>24</v>
      </c>
      <c r="I15" s="3" t="s">
        <v>640</v>
      </c>
      <c r="J15" s="3" t="s">
        <v>4</v>
      </c>
      <c r="K15" s="3" t="s">
        <v>640</v>
      </c>
      <c r="L15" s="3" t="s">
        <v>13</v>
      </c>
      <c r="M15" s="3" t="s">
        <v>14</v>
      </c>
      <c r="N15">
        <v>-50</v>
      </c>
      <c r="O15">
        <v>112.31</v>
      </c>
      <c r="P15">
        <v>32</v>
      </c>
      <c r="Q15">
        <v>-250</v>
      </c>
      <c r="R15">
        <v>0</v>
      </c>
      <c r="S15" s="3" t="s">
        <v>640</v>
      </c>
      <c r="T15">
        <v>-1085</v>
      </c>
      <c r="U15">
        <v>0</v>
      </c>
      <c r="V15">
        <v>0</v>
      </c>
      <c r="W15">
        <v>0</v>
      </c>
      <c r="X15">
        <v>6500</v>
      </c>
      <c r="Y15" s="3" t="s">
        <v>15</v>
      </c>
      <c r="Z15">
        <v>112.30500000000001</v>
      </c>
      <c r="AA15">
        <v>-50</v>
      </c>
      <c r="AB15" s="3" t="s">
        <v>9</v>
      </c>
      <c r="AC15" s="3" t="s">
        <v>10</v>
      </c>
      <c r="AD15">
        <v>0</v>
      </c>
      <c r="AE15">
        <v>0</v>
      </c>
      <c r="AF15" s="3" t="s">
        <v>640</v>
      </c>
    </row>
    <row r="16" spans="1:32" x14ac:dyDescent="0.35">
      <c r="A16" s="3" t="s">
        <v>608</v>
      </c>
      <c r="B16" s="3" t="s">
        <v>608</v>
      </c>
      <c r="C16" s="3" t="s">
        <v>608</v>
      </c>
      <c r="D16" s="3" t="s">
        <v>608</v>
      </c>
      <c r="E16" s="3" t="s">
        <v>608</v>
      </c>
      <c r="F16" s="3" t="s">
        <v>27</v>
      </c>
      <c r="G16" s="3" t="s">
        <v>27</v>
      </c>
      <c r="H16" s="3" t="s">
        <v>28</v>
      </c>
      <c r="I16" s="3" t="s">
        <v>29</v>
      </c>
      <c r="J16" s="3" t="s">
        <v>4</v>
      </c>
      <c r="K16" s="3" t="s">
        <v>654</v>
      </c>
      <c r="L16" s="3" t="s">
        <v>30</v>
      </c>
      <c r="M16" s="3" t="s">
        <v>14</v>
      </c>
      <c r="N16">
        <v>0</v>
      </c>
      <c r="O16">
        <v>138.01900000000001</v>
      </c>
      <c r="P16">
        <v>142</v>
      </c>
      <c r="Q16">
        <v>0</v>
      </c>
      <c r="R16">
        <v>0</v>
      </c>
      <c r="S16" s="3" t="s">
        <v>7</v>
      </c>
      <c r="T16">
        <v>0</v>
      </c>
      <c r="U16">
        <v>0</v>
      </c>
      <c r="V16">
        <v>0</v>
      </c>
      <c r="W16">
        <v>0</v>
      </c>
      <c r="X16">
        <v>0</v>
      </c>
      <c r="Y16" s="3" t="s">
        <v>31</v>
      </c>
      <c r="Z16">
        <v>138.01900000000001</v>
      </c>
      <c r="AA16">
        <v>0</v>
      </c>
      <c r="AB16" s="3" t="s">
        <v>9</v>
      </c>
      <c r="AC16" s="3" t="s">
        <v>10</v>
      </c>
      <c r="AD16">
        <v>0</v>
      </c>
      <c r="AE16">
        <v>0</v>
      </c>
      <c r="AF16" s="3" t="s">
        <v>640</v>
      </c>
    </row>
    <row r="17" spans="1:32" x14ac:dyDescent="0.35">
      <c r="A17" s="3" t="s">
        <v>608</v>
      </c>
      <c r="B17" s="3" t="s">
        <v>608</v>
      </c>
      <c r="C17" s="3" t="s">
        <v>608</v>
      </c>
      <c r="D17" s="3" t="s">
        <v>608</v>
      </c>
      <c r="E17" s="3" t="s">
        <v>608</v>
      </c>
      <c r="F17" s="3" t="s">
        <v>32</v>
      </c>
      <c r="G17" s="3" t="s">
        <v>32</v>
      </c>
      <c r="H17" s="3" t="s">
        <v>33</v>
      </c>
      <c r="I17" s="3" t="s">
        <v>29</v>
      </c>
      <c r="J17" s="3" t="s">
        <v>4</v>
      </c>
      <c r="K17" s="3" t="s">
        <v>655</v>
      </c>
      <c r="L17" s="3" t="s">
        <v>30</v>
      </c>
      <c r="M17" s="3" t="s">
        <v>14</v>
      </c>
      <c r="N17">
        <v>-1500000</v>
      </c>
      <c r="O17">
        <v>124.919</v>
      </c>
      <c r="P17">
        <v>78</v>
      </c>
      <c r="Q17">
        <v>-4530</v>
      </c>
      <c r="R17">
        <v>-118</v>
      </c>
      <c r="S17" s="3" t="s">
        <v>7</v>
      </c>
      <c r="T17">
        <v>-1871</v>
      </c>
      <c r="U17">
        <v>-1894</v>
      </c>
      <c r="V17">
        <v>-1483</v>
      </c>
      <c r="W17">
        <v>-4.78</v>
      </c>
      <c r="X17">
        <v>-1873785</v>
      </c>
      <c r="Y17" s="3" t="s">
        <v>31</v>
      </c>
      <c r="Z17">
        <v>124.617</v>
      </c>
      <c r="AA17">
        <v>-1500000</v>
      </c>
      <c r="AB17" s="3" t="s">
        <v>9</v>
      </c>
      <c r="AC17" s="3" t="s">
        <v>10</v>
      </c>
      <c r="AD17">
        <v>-1900960</v>
      </c>
      <c r="AE17">
        <v>1900960</v>
      </c>
      <c r="AF17" s="3" t="s">
        <v>640</v>
      </c>
    </row>
    <row r="18" spans="1:32" x14ac:dyDescent="0.35">
      <c r="A18" s="3" t="s">
        <v>608</v>
      </c>
      <c r="B18" s="3" t="s">
        <v>608</v>
      </c>
      <c r="C18" s="3" t="s">
        <v>608</v>
      </c>
      <c r="D18" s="3" t="s">
        <v>608</v>
      </c>
      <c r="E18" s="3" t="s">
        <v>608</v>
      </c>
      <c r="F18" s="3" t="s">
        <v>975</v>
      </c>
      <c r="G18" s="3" t="s">
        <v>975</v>
      </c>
      <c r="H18" s="3" t="s">
        <v>976</v>
      </c>
      <c r="I18" s="3" t="s">
        <v>977</v>
      </c>
      <c r="J18" s="3" t="s">
        <v>4</v>
      </c>
      <c r="K18" s="3" t="s">
        <v>1182</v>
      </c>
      <c r="L18" s="3" t="s">
        <v>30</v>
      </c>
      <c r="M18" s="3" t="s">
        <v>14</v>
      </c>
      <c r="N18">
        <v>0</v>
      </c>
      <c r="O18">
        <v>113.298</v>
      </c>
      <c r="P18">
        <v>30</v>
      </c>
      <c r="Q18">
        <v>0</v>
      </c>
      <c r="R18">
        <v>0</v>
      </c>
      <c r="S18" s="3" t="s">
        <v>7</v>
      </c>
      <c r="T18">
        <v>0</v>
      </c>
      <c r="U18">
        <v>0</v>
      </c>
      <c r="V18">
        <v>0</v>
      </c>
      <c r="W18">
        <v>0</v>
      </c>
      <c r="X18">
        <v>0</v>
      </c>
      <c r="Y18" s="3" t="s">
        <v>31</v>
      </c>
      <c r="Z18">
        <v>113.298</v>
      </c>
      <c r="AA18">
        <v>0</v>
      </c>
      <c r="AB18" s="3" t="s">
        <v>9</v>
      </c>
      <c r="AC18" s="3" t="s">
        <v>10</v>
      </c>
      <c r="AD18">
        <v>0</v>
      </c>
      <c r="AE18">
        <v>0</v>
      </c>
      <c r="AF18" s="3" t="s">
        <v>640</v>
      </c>
    </row>
    <row r="19" spans="1:32" x14ac:dyDescent="0.35">
      <c r="A19" s="3" t="s">
        <v>608</v>
      </c>
      <c r="B19" s="3" t="s">
        <v>608</v>
      </c>
      <c r="C19" s="3" t="s">
        <v>608</v>
      </c>
      <c r="D19" s="3" t="s">
        <v>608</v>
      </c>
      <c r="E19" s="3" t="s">
        <v>608</v>
      </c>
      <c r="F19" s="3" t="s">
        <v>40</v>
      </c>
      <c r="G19" s="3" t="s">
        <v>40</v>
      </c>
      <c r="H19" s="3" t="s">
        <v>41</v>
      </c>
      <c r="I19" s="3" t="s">
        <v>42</v>
      </c>
      <c r="J19" s="3" t="s">
        <v>4</v>
      </c>
      <c r="K19" s="3" t="s">
        <v>658</v>
      </c>
      <c r="L19" s="3" t="s">
        <v>30</v>
      </c>
      <c r="M19" s="3" t="s">
        <v>14</v>
      </c>
      <c r="N19">
        <v>-2850000</v>
      </c>
      <c r="O19">
        <v>102.46599999999999</v>
      </c>
      <c r="P19">
        <v>54</v>
      </c>
      <c r="Q19">
        <v>-200</v>
      </c>
      <c r="R19">
        <v>-97</v>
      </c>
      <c r="S19" s="3" t="s">
        <v>7</v>
      </c>
      <c r="T19">
        <v>-582</v>
      </c>
      <c r="U19">
        <v>-587</v>
      </c>
      <c r="V19">
        <v>-315</v>
      </c>
      <c r="W19">
        <v>-1.02</v>
      </c>
      <c r="X19">
        <v>-2920281</v>
      </c>
      <c r="Y19" s="3" t="s">
        <v>31</v>
      </c>
      <c r="Z19">
        <v>102.459</v>
      </c>
      <c r="AA19">
        <v>-2850000</v>
      </c>
      <c r="AB19" s="3" t="s">
        <v>9</v>
      </c>
      <c r="AC19" s="3" t="s">
        <v>10</v>
      </c>
      <c r="AD19">
        <v>-2955614</v>
      </c>
      <c r="AE19">
        <v>2955614</v>
      </c>
      <c r="AF19" s="3" t="s">
        <v>640</v>
      </c>
    </row>
    <row r="20" spans="1:32" x14ac:dyDescent="0.35">
      <c r="A20" s="3" t="s">
        <v>608</v>
      </c>
      <c r="B20" s="3" t="s">
        <v>608</v>
      </c>
      <c r="C20" s="3" t="s">
        <v>608</v>
      </c>
      <c r="D20" s="3" t="s">
        <v>608</v>
      </c>
      <c r="E20" s="3" t="s">
        <v>608</v>
      </c>
      <c r="F20" s="3" t="s">
        <v>956</v>
      </c>
      <c r="G20" s="3" t="s">
        <v>956</v>
      </c>
      <c r="H20" s="3" t="s">
        <v>957</v>
      </c>
      <c r="I20" s="3" t="s">
        <v>958</v>
      </c>
      <c r="J20" s="3" t="s">
        <v>4</v>
      </c>
      <c r="K20" s="3" t="s">
        <v>1183</v>
      </c>
      <c r="L20" s="3" t="s">
        <v>30</v>
      </c>
      <c r="M20" s="3" t="s">
        <v>14</v>
      </c>
      <c r="N20">
        <v>-4560000</v>
      </c>
      <c r="O20">
        <v>100.477</v>
      </c>
      <c r="P20">
        <v>31</v>
      </c>
      <c r="Q20">
        <v>-365</v>
      </c>
      <c r="R20">
        <v>0</v>
      </c>
      <c r="S20" s="3" t="s">
        <v>7</v>
      </c>
      <c r="T20">
        <v>-1102</v>
      </c>
      <c r="U20">
        <v>-1112</v>
      </c>
      <c r="V20">
        <v>-348</v>
      </c>
      <c r="W20">
        <v>-1.1200000000000001</v>
      </c>
      <c r="X20">
        <v>-4581751</v>
      </c>
      <c r="Y20" s="3" t="s">
        <v>31</v>
      </c>
      <c r="Z20">
        <v>100.46899999999999</v>
      </c>
      <c r="AA20">
        <v>-4560000</v>
      </c>
      <c r="AB20" s="3" t="s">
        <v>9</v>
      </c>
      <c r="AC20" s="3" t="s">
        <v>10</v>
      </c>
      <c r="AD20">
        <v>-4581751</v>
      </c>
      <c r="AE20">
        <v>4581751</v>
      </c>
      <c r="AF20" s="3" t="s">
        <v>640</v>
      </c>
    </row>
    <row r="21" spans="1:32" x14ac:dyDescent="0.35">
      <c r="A21" s="3" t="s">
        <v>608</v>
      </c>
      <c r="B21" s="3" t="s">
        <v>608</v>
      </c>
      <c r="C21" s="3" t="s">
        <v>608</v>
      </c>
      <c r="D21" s="3" t="s">
        <v>608</v>
      </c>
      <c r="E21" s="3" t="s">
        <v>608</v>
      </c>
      <c r="F21" s="3" t="s">
        <v>43</v>
      </c>
      <c r="G21" s="3" t="s">
        <v>43</v>
      </c>
      <c r="H21" s="3" t="s">
        <v>44</v>
      </c>
      <c r="I21" s="3" t="s">
        <v>45</v>
      </c>
      <c r="J21" s="3" t="s">
        <v>4</v>
      </c>
      <c r="K21" s="3" t="s">
        <v>659</v>
      </c>
      <c r="L21" s="3" t="s">
        <v>30</v>
      </c>
      <c r="M21" s="3" t="s">
        <v>14</v>
      </c>
      <c r="N21">
        <v>-3850000</v>
      </c>
      <c r="O21">
        <v>108.078</v>
      </c>
      <c r="P21">
        <v>65</v>
      </c>
      <c r="Q21">
        <v>-8932</v>
      </c>
      <c r="R21">
        <v>-130</v>
      </c>
      <c r="S21" s="3" t="s">
        <v>7</v>
      </c>
      <c r="T21">
        <v>-4107</v>
      </c>
      <c r="U21">
        <v>-4157</v>
      </c>
      <c r="V21">
        <v>-2698</v>
      </c>
      <c r="W21">
        <v>-8.6999999999999993</v>
      </c>
      <c r="X21">
        <v>-4161003</v>
      </c>
      <c r="Y21" s="3" t="s">
        <v>31</v>
      </c>
      <c r="Z21">
        <v>107.846</v>
      </c>
      <c r="AA21">
        <v>-3850000</v>
      </c>
      <c r="AB21" s="3" t="s">
        <v>9</v>
      </c>
      <c r="AC21" s="3" t="s">
        <v>10</v>
      </c>
      <c r="AD21">
        <v>-4186193</v>
      </c>
      <c r="AE21">
        <v>4186193</v>
      </c>
      <c r="AF21" s="3" t="s">
        <v>640</v>
      </c>
    </row>
    <row r="22" spans="1:32" x14ac:dyDescent="0.35">
      <c r="A22" s="3" t="s">
        <v>608</v>
      </c>
      <c r="B22" s="3" t="s">
        <v>608</v>
      </c>
      <c r="C22" s="3" t="s">
        <v>608</v>
      </c>
      <c r="D22" s="3" t="s">
        <v>608</v>
      </c>
      <c r="E22" s="3" t="s">
        <v>608</v>
      </c>
      <c r="F22" s="3" t="s">
        <v>1387</v>
      </c>
      <c r="G22" s="3" t="s">
        <v>1387</v>
      </c>
      <c r="H22" s="3" t="s">
        <v>1389</v>
      </c>
      <c r="I22" s="3" t="s">
        <v>45</v>
      </c>
      <c r="J22" s="3" t="s">
        <v>4</v>
      </c>
      <c r="K22" s="3" t="s">
        <v>1390</v>
      </c>
      <c r="L22" s="3" t="s">
        <v>30</v>
      </c>
      <c r="M22" s="3" t="s">
        <v>14</v>
      </c>
      <c r="N22">
        <v>1110000</v>
      </c>
      <c r="O22">
        <v>104.664</v>
      </c>
      <c r="P22">
        <v>53</v>
      </c>
      <c r="Q22">
        <v>1199</v>
      </c>
      <c r="R22">
        <v>44</v>
      </c>
      <c r="S22" s="3" t="s">
        <v>7</v>
      </c>
      <c r="T22">
        <v>789</v>
      </c>
      <c r="U22">
        <v>798</v>
      </c>
      <c r="V22">
        <v>422</v>
      </c>
      <c r="W22">
        <v>1.36</v>
      </c>
      <c r="X22">
        <v>1161770</v>
      </c>
      <c r="Y22" s="3" t="s">
        <v>31</v>
      </c>
      <c r="Z22">
        <v>104.556</v>
      </c>
      <c r="AA22">
        <v>1110000</v>
      </c>
      <c r="AB22" s="3" t="s">
        <v>9</v>
      </c>
      <c r="AC22" s="3" t="s">
        <v>10</v>
      </c>
      <c r="AD22">
        <v>1162023</v>
      </c>
      <c r="AE22">
        <v>1162023</v>
      </c>
      <c r="AF22" s="3" t="s">
        <v>640</v>
      </c>
    </row>
    <row r="23" spans="1:32" x14ac:dyDescent="0.35">
      <c r="A23" s="3" t="s">
        <v>608</v>
      </c>
      <c r="B23" s="3" t="s">
        <v>608</v>
      </c>
      <c r="C23" s="3" t="s">
        <v>608</v>
      </c>
      <c r="D23" s="3" t="s">
        <v>608</v>
      </c>
      <c r="E23" s="3" t="s">
        <v>608</v>
      </c>
      <c r="F23" s="3" t="s">
        <v>959</v>
      </c>
      <c r="G23" s="3" t="s">
        <v>959</v>
      </c>
      <c r="H23" s="3" t="s">
        <v>960</v>
      </c>
      <c r="I23" s="3" t="s">
        <v>961</v>
      </c>
      <c r="J23" s="3" t="s">
        <v>4</v>
      </c>
      <c r="K23" s="3" t="s">
        <v>1184</v>
      </c>
      <c r="L23" s="3" t="s">
        <v>30</v>
      </c>
      <c r="M23" s="3" t="s">
        <v>14</v>
      </c>
      <c r="N23">
        <v>-1000000</v>
      </c>
      <c r="O23">
        <v>106.128</v>
      </c>
      <c r="P23">
        <v>72</v>
      </c>
      <c r="Q23">
        <v>-1920</v>
      </c>
      <c r="R23">
        <v>-31</v>
      </c>
      <c r="S23" s="3" t="s">
        <v>7</v>
      </c>
      <c r="T23">
        <v>-968</v>
      </c>
      <c r="U23">
        <v>-980</v>
      </c>
      <c r="V23">
        <v>-706</v>
      </c>
      <c r="W23">
        <v>-2.2799999999999998</v>
      </c>
      <c r="X23">
        <v>-1061280</v>
      </c>
      <c r="Y23" s="3" t="s">
        <v>31</v>
      </c>
      <c r="Z23">
        <v>105.93600000000001</v>
      </c>
      <c r="AA23">
        <v>-1000000</v>
      </c>
      <c r="AB23" s="3" t="s">
        <v>9</v>
      </c>
      <c r="AC23" s="3" t="s">
        <v>10</v>
      </c>
      <c r="AD23">
        <v>-1065842</v>
      </c>
      <c r="AE23">
        <v>1065842</v>
      </c>
      <c r="AF23" s="3" t="s">
        <v>640</v>
      </c>
    </row>
    <row r="24" spans="1:32" x14ac:dyDescent="0.35">
      <c r="A24" s="3" t="s">
        <v>608</v>
      </c>
      <c r="B24" s="3" t="s">
        <v>608</v>
      </c>
      <c r="C24" s="3" t="s">
        <v>608</v>
      </c>
      <c r="D24" s="3" t="s">
        <v>608</v>
      </c>
      <c r="E24" s="3" t="s">
        <v>608</v>
      </c>
      <c r="F24" s="3" t="s">
        <v>48</v>
      </c>
      <c r="G24" s="3" t="s">
        <v>48</v>
      </c>
      <c r="H24" s="3" t="s">
        <v>49</v>
      </c>
      <c r="I24" s="3" t="s">
        <v>50</v>
      </c>
      <c r="J24" s="3" t="s">
        <v>4</v>
      </c>
      <c r="K24" s="3" t="s">
        <v>661</v>
      </c>
      <c r="L24" s="3" t="s">
        <v>30</v>
      </c>
      <c r="M24" s="3" t="s">
        <v>14</v>
      </c>
      <c r="N24">
        <v>-1600000</v>
      </c>
      <c r="O24">
        <v>102.985</v>
      </c>
      <c r="P24">
        <v>34</v>
      </c>
      <c r="Q24">
        <v>-448</v>
      </c>
      <c r="R24">
        <v>-27</v>
      </c>
      <c r="S24" s="3" t="s">
        <v>7</v>
      </c>
      <c r="T24">
        <v>-628</v>
      </c>
      <c r="U24">
        <v>-635</v>
      </c>
      <c r="V24">
        <v>-213</v>
      </c>
      <c r="W24">
        <v>-0.69</v>
      </c>
      <c r="X24">
        <v>-1647760</v>
      </c>
      <c r="Y24" s="3" t="s">
        <v>31</v>
      </c>
      <c r="Z24">
        <v>102.95699999999999</v>
      </c>
      <c r="AA24">
        <v>-1600000</v>
      </c>
      <c r="AB24" s="3" t="s">
        <v>9</v>
      </c>
      <c r="AC24" s="3" t="s">
        <v>10</v>
      </c>
      <c r="AD24">
        <v>-1649322</v>
      </c>
      <c r="AE24">
        <v>1649322</v>
      </c>
      <c r="AF24" s="3" t="s">
        <v>640</v>
      </c>
    </row>
    <row r="25" spans="1:32" x14ac:dyDescent="0.35">
      <c r="A25" s="3" t="s">
        <v>608</v>
      </c>
      <c r="B25" s="3" t="s">
        <v>608</v>
      </c>
      <c r="C25" s="3" t="s">
        <v>608</v>
      </c>
      <c r="D25" s="3" t="s">
        <v>608</v>
      </c>
      <c r="E25" s="3" t="s">
        <v>608</v>
      </c>
      <c r="F25" s="3" t="s">
        <v>1406</v>
      </c>
      <c r="G25" s="3" t="s">
        <v>1406</v>
      </c>
      <c r="H25" s="3" t="s">
        <v>1407</v>
      </c>
      <c r="I25" s="3" t="s">
        <v>1479</v>
      </c>
      <c r="J25" s="3" t="s">
        <v>4</v>
      </c>
      <c r="K25" s="3" t="s">
        <v>1408</v>
      </c>
      <c r="L25" s="3" t="s">
        <v>30</v>
      </c>
      <c r="M25" s="3" t="s">
        <v>14</v>
      </c>
      <c r="N25">
        <v>0</v>
      </c>
      <c r="O25">
        <v>103.05800000000001</v>
      </c>
      <c r="P25">
        <v>65</v>
      </c>
      <c r="Q25">
        <v>0</v>
      </c>
      <c r="R25">
        <v>57</v>
      </c>
      <c r="S25" s="3" t="s">
        <v>7</v>
      </c>
      <c r="T25">
        <v>0</v>
      </c>
      <c r="U25">
        <v>0</v>
      </c>
      <c r="V25">
        <v>0</v>
      </c>
      <c r="W25">
        <v>0</v>
      </c>
      <c r="X25">
        <v>0</v>
      </c>
      <c r="Y25" s="3" t="s">
        <v>31</v>
      </c>
      <c r="Z25">
        <v>103.05800000000001</v>
      </c>
      <c r="AA25">
        <v>0</v>
      </c>
      <c r="AB25" s="3" t="s">
        <v>9</v>
      </c>
      <c r="AC25" s="3" t="s">
        <v>10</v>
      </c>
      <c r="AD25">
        <v>0</v>
      </c>
      <c r="AE25">
        <v>0</v>
      </c>
      <c r="AF25" s="3" t="s">
        <v>640</v>
      </c>
    </row>
    <row r="26" spans="1:32" x14ac:dyDescent="0.35">
      <c r="A26" s="3" t="s">
        <v>608</v>
      </c>
      <c r="B26" s="3" t="s">
        <v>608</v>
      </c>
      <c r="C26" s="3" t="s">
        <v>608</v>
      </c>
      <c r="D26" s="3" t="s">
        <v>608</v>
      </c>
      <c r="E26" s="3" t="s">
        <v>608</v>
      </c>
      <c r="F26" s="3" t="s">
        <v>1382</v>
      </c>
      <c r="G26" s="3" t="s">
        <v>1382</v>
      </c>
      <c r="H26" s="3" t="s">
        <v>1383</v>
      </c>
      <c r="I26" s="3" t="s">
        <v>893</v>
      </c>
      <c r="J26" s="3" t="s">
        <v>4</v>
      </c>
      <c r="K26" s="3" t="s">
        <v>640</v>
      </c>
      <c r="L26" s="3" t="s">
        <v>894</v>
      </c>
      <c r="M26" s="3" t="s">
        <v>14</v>
      </c>
      <c r="N26">
        <v>0</v>
      </c>
      <c r="O26">
        <v>188.70400000000001</v>
      </c>
      <c r="P26">
        <v>-23</v>
      </c>
      <c r="Q26">
        <v>0</v>
      </c>
      <c r="R26">
        <v>0</v>
      </c>
      <c r="S26" s="3" t="s">
        <v>895</v>
      </c>
      <c r="T26">
        <v>0</v>
      </c>
      <c r="U26">
        <v>0</v>
      </c>
      <c r="V26">
        <v>0</v>
      </c>
      <c r="W26">
        <v>0</v>
      </c>
      <c r="X26">
        <v>0</v>
      </c>
      <c r="Y26" s="3" t="s">
        <v>31</v>
      </c>
      <c r="Z26">
        <v>188.70400000000001</v>
      </c>
      <c r="AA26">
        <v>0</v>
      </c>
      <c r="AB26" s="3" t="s">
        <v>9</v>
      </c>
      <c r="AC26" s="3" t="s">
        <v>10</v>
      </c>
      <c r="AD26">
        <v>0</v>
      </c>
      <c r="AE26">
        <v>0</v>
      </c>
      <c r="AF26" s="3" t="s">
        <v>640</v>
      </c>
    </row>
    <row r="27" spans="1:32" x14ac:dyDescent="0.35">
      <c r="A27" s="3" t="s">
        <v>608</v>
      </c>
      <c r="B27" s="3" t="s">
        <v>608</v>
      </c>
      <c r="C27" s="3" t="s">
        <v>608</v>
      </c>
      <c r="D27" s="3" t="s">
        <v>608</v>
      </c>
      <c r="E27" s="3" t="s">
        <v>608</v>
      </c>
      <c r="F27" s="3" t="s">
        <v>1348</v>
      </c>
      <c r="G27" s="3" t="s">
        <v>1348</v>
      </c>
      <c r="H27" s="3" t="s">
        <v>1349</v>
      </c>
      <c r="I27" s="3" t="s">
        <v>893</v>
      </c>
      <c r="J27" s="3" t="s">
        <v>4</v>
      </c>
      <c r="K27" s="3" t="s">
        <v>640</v>
      </c>
      <c r="L27" s="3" t="s">
        <v>894</v>
      </c>
      <c r="M27" s="3" t="s">
        <v>14</v>
      </c>
      <c r="N27">
        <v>0</v>
      </c>
      <c r="O27">
        <v>108.36499999999999</v>
      </c>
      <c r="P27">
        <v>-45</v>
      </c>
      <c r="Q27">
        <v>0</v>
      </c>
      <c r="R27">
        <v>0</v>
      </c>
      <c r="S27" s="3" t="s">
        <v>895</v>
      </c>
      <c r="T27">
        <v>0</v>
      </c>
      <c r="U27">
        <v>0</v>
      </c>
      <c r="V27">
        <v>0</v>
      </c>
      <c r="W27">
        <v>0</v>
      </c>
      <c r="X27">
        <v>0</v>
      </c>
      <c r="Y27" s="3" t="s">
        <v>640</v>
      </c>
      <c r="Z27">
        <v>108.36499999999999</v>
      </c>
      <c r="AA27">
        <v>0</v>
      </c>
      <c r="AB27" s="3" t="s">
        <v>9</v>
      </c>
      <c r="AC27" s="3" t="s">
        <v>10</v>
      </c>
      <c r="AD27">
        <v>0</v>
      </c>
      <c r="AE27">
        <v>0</v>
      </c>
      <c r="AF27" s="3" t="s">
        <v>640</v>
      </c>
    </row>
    <row r="28" spans="1:32" x14ac:dyDescent="0.35">
      <c r="A28" s="3" t="s">
        <v>608</v>
      </c>
      <c r="B28" s="3" t="s">
        <v>608</v>
      </c>
      <c r="C28" s="3" t="s">
        <v>608</v>
      </c>
      <c r="D28" s="3" t="s">
        <v>608</v>
      </c>
      <c r="E28" s="3" t="s">
        <v>608</v>
      </c>
      <c r="F28" s="3" t="s">
        <v>1480</v>
      </c>
      <c r="G28" s="3" t="s">
        <v>1480</v>
      </c>
      <c r="H28" s="3" t="s">
        <v>1481</v>
      </c>
      <c r="I28" s="3" t="s">
        <v>893</v>
      </c>
      <c r="J28" s="3" t="s">
        <v>4</v>
      </c>
      <c r="K28" s="3" t="s">
        <v>640</v>
      </c>
      <c r="L28" s="3" t="s">
        <v>894</v>
      </c>
      <c r="M28" s="3" t="s">
        <v>14</v>
      </c>
      <c r="N28">
        <v>0</v>
      </c>
      <c r="O28">
        <v>106.285</v>
      </c>
      <c r="P28">
        <v>-31</v>
      </c>
      <c r="Q28">
        <v>-1919</v>
      </c>
      <c r="R28">
        <v>0</v>
      </c>
      <c r="S28" s="3" t="s">
        <v>895</v>
      </c>
      <c r="T28">
        <v>0</v>
      </c>
      <c r="U28">
        <v>0</v>
      </c>
      <c r="V28">
        <v>0</v>
      </c>
      <c r="W28">
        <v>0</v>
      </c>
      <c r="X28">
        <v>0</v>
      </c>
      <c r="Y28" s="3" t="s">
        <v>31</v>
      </c>
      <c r="Z28">
        <v>106.26300000000001</v>
      </c>
      <c r="AA28">
        <v>0</v>
      </c>
      <c r="AB28" s="3" t="s">
        <v>9</v>
      </c>
      <c r="AC28" s="3" t="s">
        <v>10</v>
      </c>
      <c r="AD28">
        <v>0</v>
      </c>
      <c r="AE28">
        <v>0</v>
      </c>
      <c r="AF28" s="3" t="s">
        <v>640</v>
      </c>
    </row>
    <row r="29" spans="1:32" x14ac:dyDescent="0.35">
      <c r="A29" s="3" t="s">
        <v>608</v>
      </c>
      <c r="B29" s="3" t="s">
        <v>608</v>
      </c>
      <c r="C29" s="3" t="s">
        <v>608</v>
      </c>
      <c r="D29" s="3" t="s">
        <v>608</v>
      </c>
      <c r="E29" s="3" t="s">
        <v>608</v>
      </c>
      <c r="F29" s="3" t="s">
        <v>891</v>
      </c>
      <c r="G29" s="3" t="s">
        <v>891</v>
      </c>
      <c r="H29" s="3" t="s">
        <v>892</v>
      </c>
      <c r="I29" s="3" t="s">
        <v>893</v>
      </c>
      <c r="J29" s="3" t="s">
        <v>4</v>
      </c>
      <c r="K29" s="3" t="s">
        <v>640</v>
      </c>
      <c r="L29" s="3" t="s">
        <v>894</v>
      </c>
      <c r="M29" s="3" t="s">
        <v>14</v>
      </c>
      <c r="N29">
        <v>0</v>
      </c>
      <c r="O29">
        <v>105.605</v>
      </c>
      <c r="P29">
        <v>-32</v>
      </c>
      <c r="Q29">
        <v>0</v>
      </c>
      <c r="R29">
        <v>0</v>
      </c>
      <c r="S29" s="3" t="s">
        <v>895</v>
      </c>
      <c r="T29">
        <v>0</v>
      </c>
      <c r="U29">
        <v>0</v>
      </c>
      <c r="V29">
        <v>0</v>
      </c>
      <c r="W29">
        <v>0</v>
      </c>
      <c r="X29">
        <v>0</v>
      </c>
      <c r="Y29" s="3" t="s">
        <v>31</v>
      </c>
      <c r="Z29">
        <v>105.605</v>
      </c>
      <c r="AA29">
        <v>0</v>
      </c>
      <c r="AB29" s="3" t="s">
        <v>9</v>
      </c>
      <c r="AC29" s="3" t="s">
        <v>10</v>
      </c>
      <c r="AD29">
        <v>0</v>
      </c>
      <c r="AE29">
        <v>0</v>
      </c>
      <c r="AF29" s="3" t="s">
        <v>640</v>
      </c>
    </row>
    <row r="30" spans="1:32" x14ac:dyDescent="0.35">
      <c r="A30" s="3" t="s">
        <v>608</v>
      </c>
      <c r="B30" s="3" t="s">
        <v>608</v>
      </c>
      <c r="C30" s="3" t="s">
        <v>608</v>
      </c>
      <c r="D30" s="3" t="s">
        <v>608</v>
      </c>
      <c r="E30" s="3" t="s">
        <v>608</v>
      </c>
      <c r="F30" s="3" t="s">
        <v>51</v>
      </c>
      <c r="G30" s="3" t="s">
        <v>51</v>
      </c>
      <c r="H30" s="3" t="s">
        <v>52</v>
      </c>
      <c r="I30" s="3" t="s">
        <v>53</v>
      </c>
      <c r="J30" s="3" t="s">
        <v>4</v>
      </c>
      <c r="K30" s="3" t="s">
        <v>662</v>
      </c>
      <c r="L30" s="3" t="s">
        <v>30</v>
      </c>
      <c r="M30" s="3" t="s">
        <v>14</v>
      </c>
      <c r="N30">
        <v>6369000</v>
      </c>
      <c r="O30">
        <v>109.4</v>
      </c>
      <c r="P30">
        <v>35</v>
      </c>
      <c r="Q30">
        <v>1720</v>
      </c>
      <c r="R30">
        <v>349</v>
      </c>
      <c r="S30" s="3" t="s">
        <v>7</v>
      </c>
      <c r="T30">
        <v>2990</v>
      </c>
      <c r="U30">
        <v>3019</v>
      </c>
      <c r="V30">
        <v>1053</v>
      </c>
      <c r="W30">
        <v>3.4</v>
      </c>
      <c r="X30">
        <v>6967686</v>
      </c>
      <c r="Y30" s="3" t="s">
        <v>31</v>
      </c>
      <c r="Z30">
        <v>109.373</v>
      </c>
      <c r="AA30">
        <v>6369000</v>
      </c>
      <c r="AB30" s="3" t="s">
        <v>9</v>
      </c>
      <c r="AC30" s="3" t="s">
        <v>10</v>
      </c>
      <c r="AD30">
        <v>7040973</v>
      </c>
      <c r="AE30">
        <v>7040973</v>
      </c>
      <c r="AF30" s="3" t="s">
        <v>640</v>
      </c>
    </row>
    <row r="31" spans="1:32" x14ac:dyDescent="0.35">
      <c r="A31" s="3" t="s">
        <v>608</v>
      </c>
      <c r="B31" s="3" t="s">
        <v>608</v>
      </c>
      <c r="C31" s="3" t="s">
        <v>608</v>
      </c>
      <c r="D31" s="3" t="s">
        <v>608</v>
      </c>
      <c r="E31" s="3" t="s">
        <v>608</v>
      </c>
      <c r="F31" s="3" t="s">
        <v>665</v>
      </c>
      <c r="G31" s="3" t="s">
        <v>665</v>
      </c>
      <c r="H31" s="3" t="s">
        <v>666</v>
      </c>
      <c r="I31" s="3" t="s">
        <v>60</v>
      </c>
      <c r="J31" s="3" t="s">
        <v>4</v>
      </c>
      <c r="K31" s="3" t="s">
        <v>667</v>
      </c>
      <c r="L31" s="3" t="s">
        <v>30</v>
      </c>
      <c r="M31" s="3" t="s">
        <v>14</v>
      </c>
      <c r="N31">
        <v>-2200000</v>
      </c>
      <c r="O31">
        <v>105.771</v>
      </c>
      <c r="P31">
        <v>51</v>
      </c>
      <c r="Q31">
        <v>-4642</v>
      </c>
      <c r="R31">
        <v>-72</v>
      </c>
      <c r="S31" s="3" t="s">
        <v>7</v>
      </c>
      <c r="T31">
        <v>-2115</v>
      </c>
      <c r="U31">
        <v>-2141</v>
      </c>
      <c r="V31">
        <v>-1096</v>
      </c>
      <c r="W31">
        <v>-3.54</v>
      </c>
      <c r="X31">
        <v>-2326962</v>
      </c>
      <c r="Y31" s="3" t="s">
        <v>31</v>
      </c>
      <c r="Z31">
        <v>105.58799999999999</v>
      </c>
      <c r="AA31">
        <v>-3000000</v>
      </c>
      <c r="AB31" s="3" t="s">
        <v>9</v>
      </c>
      <c r="AC31" s="3" t="s">
        <v>10</v>
      </c>
      <c r="AD31">
        <v>-2337702</v>
      </c>
      <c r="AE31">
        <v>2337702</v>
      </c>
      <c r="AF31" s="3" t="s">
        <v>640</v>
      </c>
    </row>
    <row r="32" spans="1:32" x14ac:dyDescent="0.35">
      <c r="A32" s="3" t="s">
        <v>608</v>
      </c>
      <c r="B32" s="3" t="s">
        <v>608</v>
      </c>
      <c r="C32" s="3" t="s">
        <v>608</v>
      </c>
      <c r="D32" s="3" t="s">
        <v>608</v>
      </c>
      <c r="E32" s="3" t="s">
        <v>608</v>
      </c>
      <c r="F32" s="3" t="s">
        <v>58</v>
      </c>
      <c r="G32" s="3" t="s">
        <v>58</v>
      </c>
      <c r="H32" s="3" t="s">
        <v>59</v>
      </c>
      <c r="I32" s="3" t="s">
        <v>60</v>
      </c>
      <c r="J32" s="3" t="s">
        <v>4</v>
      </c>
      <c r="K32" s="3" t="s">
        <v>668</v>
      </c>
      <c r="L32" s="3" t="s">
        <v>30</v>
      </c>
      <c r="M32" s="3" t="s">
        <v>14</v>
      </c>
      <c r="N32">
        <v>2000000</v>
      </c>
      <c r="O32">
        <v>123.50700000000001</v>
      </c>
      <c r="P32">
        <v>49</v>
      </c>
      <c r="Q32">
        <v>2680</v>
      </c>
      <c r="R32">
        <v>164</v>
      </c>
      <c r="S32" s="3" t="s">
        <v>7</v>
      </c>
      <c r="T32">
        <v>1883</v>
      </c>
      <c r="U32">
        <v>1906</v>
      </c>
      <c r="V32">
        <v>928</v>
      </c>
      <c r="W32">
        <v>2.99</v>
      </c>
      <c r="X32">
        <v>2470140</v>
      </c>
      <c r="Y32" s="3" t="s">
        <v>31</v>
      </c>
      <c r="Z32">
        <v>123.373</v>
      </c>
      <c r="AA32">
        <v>2000000</v>
      </c>
      <c r="AB32" s="3" t="s">
        <v>9</v>
      </c>
      <c r="AC32" s="3" t="s">
        <v>10</v>
      </c>
      <c r="AD32">
        <v>2507126</v>
      </c>
      <c r="AE32">
        <v>2507126</v>
      </c>
      <c r="AF32" s="3" t="s">
        <v>640</v>
      </c>
    </row>
    <row r="33" spans="1:32" x14ac:dyDescent="0.35">
      <c r="A33" s="3" t="s">
        <v>608</v>
      </c>
      <c r="B33" s="3" t="s">
        <v>608</v>
      </c>
      <c r="C33" s="3" t="s">
        <v>608</v>
      </c>
      <c r="D33" s="3" t="s">
        <v>608</v>
      </c>
      <c r="E33" s="3" t="s">
        <v>608</v>
      </c>
      <c r="F33" s="3" t="s">
        <v>61</v>
      </c>
      <c r="G33" s="3" t="s">
        <v>61</v>
      </c>
      <c r="H33" s="3" t="s">
        <v>62</v>
      </c>
      <c r="I33" s="3" t="s">
        <v>63</v>
      </c>
      <c r="J33" s="3" t="s">
        <v>4</v>
      </c>
      <c r="K33" s="3" t="s">
        <v>669</v>
      </c>
      <c r="L33" s="3" t="s">
        <v>30</v>
      </c>
      <c r="M33" s="3" t="s">
        <v>14</v>
      </c>
      <c r="N33">
        <v>0</v>
      </c>
      <c r="O33">
        <v>121.655</v>
      </c>
      <c r="P33">
        <v>30</v>
      </c>
      <c r="Q33">
        <v>0</v>
      </c>
      <c r="R33">
        <v>0</v>
      </c>
      <c r="S33" s="3" t="s">
        <v>7</v>
      </c>
      <c r="T33">
        <v>0</v>
      </c>
      <c r="U33">
        <v>0</v>
      </c>
      <c r="V33">
        <v>0</v>
      </c>
      <c r="W33">
        <v>0</v>
      </c>
      <c r="X33">
        <v>0</v>
      </c>
      <c r="Y33" s="3" t="s">
        <v>31</v>
      </c>
      <c r="Z33">
        <v>121.655</v>
      </c>
      <c r="AA33">
        <v>0</v>
      </c>
      <c r="AB33" s="3" t="s">
        <v>9</v>
      </c>
      <c r="AC33" s="3" t="s">
        <v>10</v>
      </c>
      <c r="AD33">
        <v>0</v>
      </c>
      <c r="AE33">
        <v>0</v>
      </c>
      <c r="AF33" s="3" t="s">
        <v>640</v>
      </c>
    </row>
    <row r="34" spans="1:32" x14ac:dyDescent="0.35">
      <c r="A34" s="3" t="s">
        <v>608</v>
      </c>
      <c r="B34" s="3" t="s">
        <v>608</v>
      </c>
      <c r="C34" s="3" t="s">
        <v>608</v>
      </c>
      <c r="D34" s="3" t="s">
        <v>608</v>
      </c>
      <c r="E34" s="3" t="s">
        <v>608</v>
      </c>
      <c r="F34" s="3" t="s">
        <v>64</v>
      </c>
      <c r="G34" s="3" t="s">
        <v>64</v>
      </c>
      <c r="H34" s="3" t="s">
        <v>65</v>
      </c>
      <c r="I34" s="3" t="s">
        <v>63</v>
      </c>
      <c r="J34" s="3" t="s">
        <v>4</v>
      </c>
      <c r="K34" s="3" t="s">
        <v>670</v>
      </c>
      <c r="L34" s="3" t="s">
        <v>30</v>
      </c>
      <c r="M34" s="3" t="s">
        <v>14</v>
      </c>
      <c r="N34">
        <v>11000000</v>
      </c>
      <c r="O34">
        <v>101.667</v>
      </c>
      <c r="P34">
        <v>31</v>
      </c>
      <c r="Q34">
        <v>27940</v>
      </c>
      <c r="R34">
        <v>75</v>
      </c>
      <c r="S34" s="3" t="s">
        <v>7</v>
      </c>
      <c r="T34">
        <v>10958</v>
      </c>
      <c r="U34">
        <v>11102</v>
      </c>
      <c r="V34">
        <v>3453</v>
      </c>
      <c r="W34">
        <v>11.14</v>
      </c>
      <c r="X34">
        <v>11183370</v>
      </c>
      <c r="Y34" s="3" t="s">
        <v>31</v>
      </c>
      <c r="Z34">
        <v>101.413</v>
      </c>
      <c r="AA34">
        <v>11000000</v>
      </c>
      <c r="AB34" s="3" t="s">
        <v>9</v>
      </c>
      <c r="AC34" s="3" t="s">
        <v>10</v>
      </c>
      <c r="AD34">
        <v>11185630</v>
      </c>
      <c r="AE34">
        <v>11185630</v>
      </c>
      <c r="AF34" s="3" t="s">
        <v>640</v>
      </c>
    </row>
    <row r="35" spans="1:32" x14ac:dyDescent="0.35">
      <c r="A35" s="3" t="s">
        <v>608</v>
      </c>
      <c r="B35" s="3" t="s">
        <v>608</v>
      </c>
      <c r="C35" s="3" t="s">
        <v>608</v>
      </c>
      <c r="D35" s="3" t="s">
        <v>608</v>
      </c>
      <c r="E35" s="3" t="s">
        <v>608</v>
      </c>
      <c r="F35" s="3" t="s">
        <v>66</v>
      </c>
      <c r="G35" s="3" t="s">
        <v>66</v>
      </c>
      <c r="H35" s="3" t="s">
        <v>67</v>
      </c>
      <c r="I35" s="3" t="s">
        <v>68</v>
      </c>
      <c r="J35" s="3" t="s">
        <v>4</v>
      </c>
      <c r="K35" s="3" t="s">
        <v>671</v>
      </c>
      <c r="L35" s="3" t="s">
        <v>30</v>
      </c>
      <c r="M35" s="3" t="s">
        <v>14</v>
      </c>
      <c r="N35">
        <v>-1200000</v>
      </c>
      <c r="O35">
        <v>103.464</v>
      </c>
      <c r="P35">
        <v>14</v>
      </c>
      <c r="Q35">
        <v>156</v>
      </c>
      <c r="R35">
        <v>-164</v>
      </c>
      <c r="S35" s="3" t="s">
        <v>7</v>
      </c>
      <c r="T35">
        <v>-82</v>
      </c>
      <c r="U35">
        <v>-82</v>
      </c>
      <c r="V35">
        <v>-11</v>
      </c>
      <c r="W35">
        <v>-0.04</v>
      </c>
      <c r="X35">
        <v>-1241568</v>
      </c>
      <c r="Y35" s="3" t="s">
        <v>31</v>
      </c>
      <c r="Z35">
        <v>103.477</v>
      </c>
      <c r="AA35">
        <v>-1200000</v>
      </c>
      <c r="AB35" s="3" t="s">
        <v>9</v>
      </c>
      <c r="AC35" s="3" t="s">
        <v>10</v>
      </c>
      <c r="AD35">
        <v>-1262773</v>
      </c>
      <c r="AE35">
        <v>1262773</v>
      </c>
      <c r="AF35" s="3" t="s">
        <v>640</v>
      </c>
    </row>
    <row r="36" spans="1:32" x14ac:dyDescent="0.35">
      <c r="A36" s="3" t="s">
        <v>608</v>
      </c>
      <c r="B36" s="3" t="s">
        <v>608</v>
      </c>
      <c r="C36" s="3" t="s">
        <v>608</v>
      </c>
      <c r="D36" s="3" t="s">
        <v>608</v>
      </c>
      <c r="E36" s="3" t="s">
        <v>608</v>
      </c>
      <c r="F36" s="3" t="s">
        <v>69</v>
      </c>
      <c r="G36" s="3" t="s">
        <v>69</v>
      </c>
      <c r="H36" s="3" t="s">
        <v>70</v>
      </c>
      <c r="I36" s="3" t="s">
        <v>71</v>
      </c>
      <c r="J36" s="3" t="s">
        <v>4</v>
      </c>
      <c r="K36" s="3" t="s">
        <v>672</v>
      </c>
      <c r="L36" s="3" t="s">
        <v>30</v>
      </c>
      <c r="M36" s="3" t="s">
        <v>14</v>
      </c>
      <c r="N36">
        <v>700000</v>
      </c>
      <c r="O36">
        <v>105.473</v>
      </c>
      <c r="P36">
        <v>30</v>
      </c>
      <c r="Q36">
        <v>322</v>
      </c>
      <c r="R36">
        <v>17</v>
      </c>
      <c r="S36" s="3" t="s">
        <v>7</v>
      </c>
      <c r="T36">
        <v>395</v>
      </c>
      <c r="U36">
        <v>399</v>
      </c>
      <c r="V36">
        <v>121</v>
      </c>
      <c r="W36">
        <v>0.39</v>
      </c>
      <c r="X36">
        <v>738311</v>
      </c>
      <c r="Y36" s="3" t="s">
        <v>31</v>
      </c>
      <c r="Z36">
        <v>105.42700000000001</v>
      </c>
      <c r="AA36">
        <v>700000</v>
      </c>
      <c r="AB36" s="3" t="s">
        <v>9</v>
      </c>
      <c r="AC36" s="3" t="s">
        <v>10</v>
      </c>
      <c r="AD36">
        <v>741734</v>
      </c>
      <c r="AE36">
        <v>741734</v>
      </c>
      <c r="AF36" s="3" t="s">
        <v>640</v>
      </c>
    </row>
    <row r="37" spans="1:32" x14ac:dyDescent="0.35">
      <c r="A37" s="3" t="s">
        <v>608</v>
      </c>
      <c r="B37" s="3" t="s">
        <v>608</v>
      </c>
      <c r="C37" s="3" t="s">
        <v>608</v>
      </c>
      <c r="D37" s="3" t="s">
        <v>608</v>
      </c>
      <c r="E37" s="3" t="s">
        <v>608</v>
      </c>
      <c r="F37" s="3" t="s">
        <v>75</v>
      </c>
      <c r="G37" s="3" t="s">
        <v>75</v>
      </c>
      <c r="H37" s="3" t="s">
        <v>76</v>
      </c>
      <c r="I37" s="3" t="s">
        <v>74</v>
      </c>
      <c r="J37" s="3" t="s">
        <v>4</v>
      </c>
      <c r="K37" s="3" t="s">
        <v>674</v>
      </c>
      <c r="L37" s="3" t="s">
        <v>30</v>
      </c>
      <c r="M37" s="3" t="s">
        <v>14</v>
      </c>
      <c r="N37">
        <v>-200000</v>
      </c>
      <c r="O37">
        <v>112.83199999999999</v>
      </c>
      <c r="P37">
        <v>36</v>
      </c>
      <c r="Q37">
        <v>-200</v>
      </c>
      <c r="R37">
        <v>-10</v>
      </c>
      <c r="S37" s="3" t="s">
        <v>7</v>
      </c>
      <c r="T37">
        <v>-158</v>
      </c>
      <c r="U37">
        <v>-160</v>
      </c>
      <c r="V37">
        <v>-57</v>
      </c>
      <c r="W37">
        <v>-0.19</v>
      </c>
      <c r="X37">
        <v>-225664</v>
      </c>
      <c r="Y37" s="3" t="s">
        <v>31</v>
      </c>
      <c r="Z37">
        <v>112.732</v>
      </c>
      <c r="AA37">
        <v>-200000</v>
      </c>
      <c r="AB37" s="3" t="s">
        <v>9</v>
      </c>
      <c r="AC37" s="3" t="s">
        <v>10</v>
      </c>
      <c r="AD37">
        <v>-227927</v>
      </c>
      <c r="AE37">
        <v>227927</v>
      </c>
      <c r="AF37" s="3" t="s">
        <v>640</v>
      </c>
    </row>
    <row r="38" spans="1:32" x14ac:dyDescent="0.35">
      <c r="A38" s="3" t="s">
        <v>608</v>
      </c>
      <c r="B38" s="3" t="s">
        <v>608</v>
      </c>
      <c r="C38" s="3" t="s">
        <v>608</v>
      </c>
      <c r="D38" s="3" t="s">
        <v>608</v>
      </c>
      <c r="E38" s="3" t="s">
        <v>608</v>
      </c>
      <c r="F38" s="3" t="s">
        <v>1416</v>
      </c>
      <c r="G38" s="3" t="s">
        <v>1416</v>
      </c>
      <c r="H38" s="3" t="s">
        <v>1418</v>
      </c>
      <c r="I38" s="3" t="s">
        <v>74</v>
      </c>
      <c r="J38" s="3" t="s">
        <v>4</v>
      </c>
      <c r="K38" s="3" t="s">
        <v>1419</v>
      </c>
      <c r="L38" s="3" t="s">
        <v>30</v>
      </c>
      <c r="M38" s="3" t="s">
        <v>14</v>
      </c>
      <c r="N38">
        <v>5000000</v>
      </c>
      <c r="O38">
        <v>103.122</v>
      </c>
      <c r="P38">
        <v>29</v>
      </c>
      <c r="Q38">
        <v>2100</v>
      </c>
      <c r="R38">
        <v>51</v>
      </c>
      <c r="S38" s="3" t="s">
        <v>7</v>
      </c>
      <c r="T38">
        <v>3365</v>
      </c>
      <c r="U38">
        <v>3401</v>
      </c>
      <c r="V38">
        <v>979</v>
      </c>
      <c r="W38">
        <v>3.16</v>
      </c>
      <c r="X38">
        <v>5156100</v>
      </c>
      <c r="Y38" s="3" t="s">
        <v>31</v>
      </c>
      <c r="Z38">
        <v>103.08</v>
      </c>
      <c r="AA38">
        <v>5000000</v>
      </c>
      <c r="AB38" s="3" t="s">
        <v>9</v>
      </c>
      <c r="AC38" s="3" t="s">
        <v>10</v>
      </c>
      <c r="AD38">
        <v>5163805</v>
      </c>
      <c r="AE38">
        <v>5163805</v>
      </c>
      <c r="AF38" s="3" t="s">
        <v>640</v>
      </c>
    </row>
    <row r="39" spans="1:32" x14ac:dyDescent="0.35">
      <c r="A39" s="3" t="s">
        <v>608</v>
      </c>
      <c r="B39" s="3" t="s">
        <v>608</v>
      </c>
      <c r="C39" s="3" t="s">
        <v>608</v>
      </c>
      <c r="D39" s="3" t="s">
        <v>608</v>
      </c>
      <c r="E39" s="3" t="s">
        <v>608</v>
      </c>
      <c r="F39" s="3" t="s">
        <v>1739</v>
      </c>
      <c r="G39" s="3" t="s">
        <v>1739</v>
      </c>
      <c r="H39" s="3" t="s">
        <v>1740</v>
      </c>
      <c r="I39" s="3" t="s">
        <v>74</v>
      </c>
      <c r="J39" s="3" t="s">
        <v>4</v>
      </c>
      <c r="K39" s="3" t="s">
        <v>719</v>
      </c>
      <c r="L39" s="3" t="s">
        <v>30</v>
      </c>
      <c r="M39" s="3" t="s">
        <v>14</v>
      </c>
      <c r="N39">
        <v>5000000</v>
      </c>
      <c r="O39">
        <v>100.857</v>
      </c>
      <c r="P39">
        <v>26</v>
      </c>
      <c r="Q39">
        <v>8500</v>
      </c>
      <c r="R39">
        <v>0</v>
      </c>
      <c r="S39" s="3" t="s">
        <v>7</v>
      </c>
      <c r="T39">
        <v>3175</v>
      </c>
      <c r="U39">
        <v>3209</v>
      </c>
      <c r="V39">
        <v>839</v>
      </c>
      <c r="W39">
        <v>2.71</v>
      </c>
      <c r="X39">
        <v>5042850</v>
      </c>
      <c r="Y39" s="3" t="s">
        <v>31</v>
      </c>
      <c r="Z39">
        <v>0</v>
      </c>
      <c r="AA39">
        <v>0</v>
      </c>
      <c r="AB39" s="3" t="s">
        <v>9</v>
      </c>
      <c r="AC39" s="3" t="s">
        <v>10</v>
      </c>
      <c r="AD39">
        <v>5042850</v>
      </c>
      <c r="AE39">
        <v>5042850</v>
      </c>
      <c r="AF39" s="3" t="s">
        <v>640</v>
      </c>
    </row>
    <row r="40" spans="1:32" x14ac:dyDescent="0.35">
      <c r="A40" s="3" t="s">
        <v>608</v>
      </c>
      <c r="B40" s="3" t="s">
        <v>608</v>
      </c>
      <c r="C40" s="3" t="s">
        <v>608</v>
      </c>
      <c r="D40" s="3" t="s">
        <v>608</v>
      </c>
      <c r="E40" s="3" t="s">
        <v>608</v>
      </c>
      <c r="F40" s="3" t="s">
        <v>77</v>
      </c>
      <c r="G40" s="3" t="s">
        <v>77</v>
      </c>
      <c r="H40" s="3" t="s">
        <v>78</v>
      </c>
      <c r="I40" s="3" t="s">
        <v>74</v>
      </c>
      <c r="J40" s="3" t="s">
        <v>4</v>
      </c>
      <c r="K40" s="3" t="s">
        <v>675</v>
      </c>
      <c r="L40" s="3" t="s">
        <v>30</v>
      </c>
      <c r="M40" s="3" t="s">
        <v>14</v>
      </c>
      <c r="N40">
        <v>1000000</v>
      </c>
      <c r="O40">
        <v>106.125</v>
      </c>
      <c r="P40">
        <v>29</v>
      </c>
      <c r="Q40">
        <v>360</v>
      </c>
      <c r="R40">
        <v>27</v>
      </c>
      <c r="S40" s="3" t="s">
        <v>7</v>
      </c>
      <c r="T40">
        <v>553</v>
      </c>
      <c r="U40">
        <v>559</v>
      </c>
      <c r="V40">
        <v>162</v>
      </c>
      <c r="W40">
        <v>0.52</v>
      </c>
      <c r="X40">
        <v>1061250</v>
      </c>
      <c r="Y40" s="3" t="s">
        <v>31</v>
      </c>
      <c r="Z40">
        <v>106.089</v>
      </c>
      <c r="AA40">
        <v>1000000</v>
      </c>
      <c r="AB40" s="3" t="s">
        <v>9</v>
      </c>
      <c r="AC40" s="3" t="s">
        <v>10</v>
      </c>
      <c r="AD40">
        <v>1068099</v>
      </c>
      <c r="AE40">
        <v>1068099</v>
      </c>
      <c r="AF40" s="3" t="s">
        <v>640</v>
      </c>
    </row>
    <row r="41" spans="1:32" x14ac:dyDescent="0.35">
      <c r="A41" s="3" t="s">
        <v>608</v>
      </c>
      <c r="B41" s="3" t="s">
        <v>608</v>
      </c>
      <c r="C41" s="3" t="s">
        <v>608</v>
      </c>
      <c r="D41" s="3" t="s">
        <v>608</v>
      </c>
      <c r="E41" s="3" t="s">
        <v>608</v>
      </c>
      <c r="F41" s="3" t="s">
        <v>1394</v>
      </c>
      <c r="G41" s="3" t="s">
        <v>1394</v>
      </c>
      <c r="H41" s="3" t="s">
        <v>1396</v>
      </c>
      <c r="I41" s="3" t="s">
        <v>74</v>
      </c>
      <c r="J41" s="3" t="s">
        <v>4</v>
      </c>
      <c r="K41" s="3" t="s">
        <v>1397</v>
      </c>
      <c r="L41" s="3" t="s">
        <v>30</v>
      </c>
      <c r="M41" s="3" t="s">
        <v>14</v>
      </c>
      <c r="N41">
        <v>1500000</v>
      </c>
      <c r="O41">
        <v>103.715</v>
      </c>
      <c r="P41">
        <v>27</v>
      </c>
      <c r="Q41">
        <v>30</v>
      </c>
      <c r="R41">
        <v>36</v>
      </c>
      <c r="S41" s="3" t="s">
        <v>7</v>
      </c>
      <c r="T41">
        <v>517</v>
      </c>
      <c r="U41">
        <v>523</v>
      </c>
      <c r="V41">
        <v>140</v>
      </c>
      <c r="W41">
        <v>0.45</v>
      </c>
      <c r="X41">
        <v>1555725</v>
      </c>
      <c r="Y41" s="3" t="s">
        <v>31</v>
      </c>
      <c r="Z41">
        <v>103.71299999999999</v>
      </c>
      <c r="AA41">
        <v>1500000</v>
      </c>
      <c r="AB41" s="3" t="s">
        <v>9</v>
      </c>
      <c r="AC41" s="3" t="s">
        <v>10</v>
      </c>
      <c r="AD41">
        <v>1564211</v>
      </c>
      <c r="AE41">
        <v>1564211</v>
      </c>
      <c r="AF41" s="3" t="s">
        <v>640</v>
      </c>
    </row>
    <row r="42" spans="1:32" x14ac:dyDescent="0.35">
      <c r="A42" s="3" t="s">
        <v>608</v>
      </c>
      <c r="B42" s="3" t="s">
        <v>608</v>
      </c>
      <c r="C42" s="3" t="s">
        <v>608</v>
      </c>
      <c r="D42" s="3" t="s">
        <v>608</v>
      </c>
      <c r="E42" s="3" t="s">
        <v>608</v>
      </c>
      <c r="F42" s="3" t="s">
        <v>86</v>
      </c>
      <c r="G42" s="3" t="s">
        <v>86</v>
      </c>
      <c r="H42" s="3" t="s">
        <v>87</v>
      </c>
      <c r="I42" s="3" t="s">
        <v>83</v>
      </c>
      <c r="J42" s="3" t="s">
        <v>4</v>
      </c>
      <c r="K42" s="3" t="s">
        <v>947</v>
      </c>
      <c r="L42" s="3" t="s">
        <v>30</v>
      </c>
      <c r="M42" s="3" t="s">
        <v>14</v>
      </c>
      <c r="N42">
        <v>0</v>
      </c>
      <c r="O42">
        <v>100.39</v>
      </c>
      <c r="P42">
        <v>46</v>
      </c>
      <c r="Q42">
        <v>0</v>
      </c>
      <c r="R42">
        <v>0</v>
      </c>
      <c r="S42" s="3" t="s">
        <v>7</v>
      </c>
      <c r="T42">
        <v>0</v>
      </c>
      <c r="U42">
        <v>0</v>
      </c>
      <c r="V42">
        <v>0</v>
      </c>
      <c r="W42">
        <v>0</v>
      </c>
      <c r="X42">
        <v>0</v>
      </c>
      <c r="Y42" s="3" t="s">
        <v>31</v>
      </c>
      <c r="Z42">
        <v>100.39</v>
      </c>
      <c r="AA42">
        <v>0</v>
      </c>
      <c r="AB42" s="3" t="s">
        <v>9</v>
      </c>
      <c r="AC42" s="3" t="s">
        <v>10</v>
      </c>
      <c r="AD42">
        <v>0</v>
      </c>
      <c r="AE42">
        <v>0</v>
      </c>
      <c r="AF42" s="3" t="s">
        <v>640</v>
      </c>
    </row>
    <row r="43" spans="1:32" x14ac:dyDescent="0.35">
      <c r="A43" s="3" t="s">
        <v>608</v>
      </c>
      <c r="B43" s="3" t="s">
        <v>608</v>
      </c>
      <c r="C43" s="3" t="s">
        <v>608</v>
      </c>
      <c r="D43" s="3" t="s">
        <v>608</v>
      </c>
      <c r="E43" s="3" t="s">
        <v>608</v>
      </c>
      <c r="F43" s="3" t="s">
        <v>81</v>
      </c>
      <c r="G43" s="3" t="s">
        <v>81</v>
      </c>
      <c r="H43" s="3" t="s">
        <v>82</v>
      </c>
      <c r="I43" s="3" t="s">
        <v>83</v>
      </c>
      <c r="J43" s="3" t="s">
        <v>4</v>
      </c>
      <c r="K43" s="3" t="s">
        <v>677</v>
      </c>
      <c r="L43" s="3" t="s">
        <v>30</v>
      </c>
      <c r="M43" s="3" t="s">
        <v>14</v>
      </c>
      <c r="N43">
        <v>-2300000</v>
      </c>
      <c r="O43">
        <v>110.898</v>
      </c>
      <c r="P43">
        <v>27</v>
      </c>
      <c r="Q43">
        <v>-3657</v>
      </c>
      <c r="R43">
        <v>-87</v>
      </c>
      <c r="S43" s="3" t="s">
        <v>7</v>
      </c>
      <c r="T43">
        <v>-1828</v>
      </c>
      <c r="U43">
        <v>-1848</v>
      </c>
      <c r="V43">
        <v>-497</v>
      </c>
      <c r="W43">
        <v>-1.6</v>
      </c>
      <c r="X43">
        <v>-2550654</v>
      </c>
      <c r="Y43" s="3" t="s">
        <v>31</v>
      </c>
      <c r="Z43">
        <v>110.739</v>
      </c>
      <c r="AA43">
        <v>-2300000</v>
      </c>
      <c r="AB43" s="3" t="s">
        <v>9</v>
      </c>
      <c r="AC43" s="3" t="s">
        <v>10</v>
      </c>
      <c r="AD43">
        <v>-2567723</v>
      </c>
      <c r="AE43">
        <v>2567723</v>
      </c>
      <c r="AF43" s="3" t="s">
        <v>640</v>
      </c>
    </row>
    <row r="44" spans="1:32" x14ac:dyDescent="0.35">
      <c r="A44" s="3" t="s">
        <v>608</v>
      </c>
      <c r="B44" s="3" t="s">
        <v>608</v>
      </c>
      <c r="C44" s="3" t="s">
        <v>608</v>
      </c>
      <c r="D44" s="3" t="s">
        <v>608</v>
      </c>
      <c r="E44" s="3" t="s">
        <v>608</v>
      </c>
      <c r="F44" s="3" t="s">
        <v>84</v>
      </c>
      <c r="G44" s="3" t="s">
        <v>84</v>
      </c>
      <c r="H44" s="3" t="s">
        <v>85</v>
      </c>
      <c r="I44" s="3" t="s">
        <v>83</v>
      </c>
      <c r="J44" s="3" t="s">
        <v>4</v>
      </c>
      <c r="K44" s="3" t="s">
        <v>678</v>
      </c>
      <c r="L44" s="3" t="s">
        <v>30</v>
      </c>
      <c r="M44" s="3" t="s">
        <v>14</v>
      </c>
      <c r="N44">
        <v>1800000</v>
      </c>
      <c r="O44">
        <v>106.12</v>
      </c>
      <c r="P44">
        <v>28</v>
      </c>
      <c r="Q44">
        <v>288</v>
      </c>
      <c r="R44">
        <v>61</v>
      </c>
      <c r="S44" s="3" t="s">
        <v>7</v>
      </c>
      <c r="T44">
        <v>792</v>
      </c>
      <c r="U44">
        <v>800</v>
      </c>
      <c r="V44">
        <v>224</v>
      </c>
      <c r="W44">
        <v>0.72</v>
      </c>
      <c r="X44">
        <v>1910160</v>
      </c>
      <c r="Y44" s="3" t="s">
        <v>31</v>
      </c>
      <c r="Z44">
        <v>106.104</v>
      </c>
      <c r="AA44">
        <v>1800000</v>
      </c>
      <c r="AB44" s="3" t="s">
        <v>9</v>
      </c>
      <c r="AC44" s="3" t="s">
        <v>10</v>
      </c>
      <c r="AD44">
        <v>1927742</v>
      </c>
      <c r="AE44">
        <v>1927742</v>
      </c>
      <c r="AF44" s="3" t="s">
        <v>640</v>
      </c>
    </row>
    <row r="45" spans="1:32" x14ac:dyDescent="0.35">
      <c r="A45" s="3" t="s">
        <v>608</v>
      </c>
      <c r="B45" s="3" t="s">
        <v>608</v>
      </c>
      <c r="C45" s="3" t="s">
        <v>608</v>
      </c>
      <c r="D45" s="3" t="s">
        <v>608</v>
      </c>
      <c r="E45" s="3" t="s">
        <v>608</v>
      </c>
      <c r="F45" s="3" t="s">
        <v>896</v>
      </c>
      <c r="G45" s="3" t="s">
        <v>896</v>
      </c>
      <c r="H45" s="3" t="s">
        <v>897</v>
      </c>
      <c r="I45" s="3" t="s">
        <v>90</v>
      </c>
      <c r="J45" s="3" t="s">
        <v>4</v>
      </c>
      <c r="K45" s="3" t="s">
        <v>898</v>
      </c>
      <c r="L45" s="3" t="s">
        <v>30</v>
      </c>
      <c r="M45" s="3" t="s">
        <v>14</v>
      </c>
      <c r="N45">
        <v>0</v>
      </c>
      <c r="O45">
        <v>103.349</v>
      </c>
      <c r="P45">
        <v>52</v>
      </c>
      <c r="Q45">
        <v>0</v>
      </c>
      <c r="R45">
        <v>0</v>
      </c>
      <c r="S45" s="3" t="s">
        <v>7</v>
      </c>
      <c r="T45">
        <v>0</v>
      </c>
      <c r="U45">
        <v>0</v>
      </c>
      <c r="V45">
        <v>0</v>
      </c>
      <c r="W45">
        <v>0</v>
      </c>
      <c r="X45">
        <v>0</v>
      </c>
      <c r="Y45" s="3" t="s">
        <v>31</v>
      </c>
      <c r="Z45">
        <v>103.349</v>
      </c>
      <c r="AA45">
        <v>0</v>
      </c>
      <c r="AB45" s="3" t="s">
        <v>9</v>
      </c>
      <c r="AC45" s="3" t="s">
        <v>10</v>
      </c>
      <c r="AD45">
        <v>0</v>
      </c>
      <c r="AE45">
        <v>0</v>
      </c>
      <c r="AF45" s="3" t="s">
        <v>640</v>
      </c>
    </row>
    <row r="46" spans="1:32" x14ac:dyDescent="0.35">
      <c r="A46" s="3" t="s">
        <v>608</v>
      </c>
      <c r="B46" s="3" t="s">
        <v>608</v>
      </c>
      <c r="C46" s="3" t="s">
        <v>608</v>
      </c>
      <c r="D46" s="3" t="s">
        <v>608</v>
      </c>
      <c r="E46" s="3" t="s">
        <v>608</v>
      </c>
      <c r="F46" s="3" t="s">
        <v>88</v>
      </c>
      <c r="G46" s="3" t="s">
        <v>88</v>
      </c>
      <c r="H46" s="3" t="s">
        <v>89</v>
      </c>
      <c r="I46" s="3" t="s">
        <v>90</v>
      </c>
      <c r="J46" s="3" t="s">
        <v>4</v>
      </c>
      <c r="K46" s="3" t="s">
        <v>679</v>
      </c>
      <c r="L46" s="3" t="s">
        <v>30</v>
      </c>
      <c r="M46" s="3" t="s">
        <v>14</v>
      </c>
      <c r="N46">
        <v>-1380000</v>
      </c>
      <c r="O46">
        <v>107.506</v>
      </c>
      <c r="P46">
        <v>49</v>
      </c>
      <c r="Q46">
        <v>-1435</v>
      </c>
      <c r="R46">
        <v>-43</v>
      </c>
      <c r="S46" s="3" t="s">
        <v>7</v>
      </c>
      <c r="T46">
        <v>-1119</v>
      </c>
      <c r="U46">
        <v>-1132</v>
      </c>
      <c r="V46">
        <v>-558</v>
      </c>
      <c r="W46">
        <v>-1.8</v>
      </c>
      <c r="X46">
        <v>-1483583</v>
      </c>
      <c r="Y46" s="3" t="s">
        <v>31</v>
      </c>
      <c r="Z46">
        <v>107.402</v>
      </c>
      <c r="AA46">
        <v>-1380000</v>
      </c>
      <c r="AB46" s="3" t="s">
        <v>9</v>
      </c>
      <c r="AC46" s="3" t="s">
        <v>10</v>
      </c>
      <c r="AD46">
        <v>-1486135</v>
      </c>
      <c r="AE46">
        <v>1486135</v>
      </c>
      <c r="AF46" s="3" t="s">
        <v>640</v>
      </c>
    </row>
    <row r="47" spans="1:32" x14ac:dyDescent="0.35">
      <c r="A47" s="3" t="s">
        <v>608</v>
      </c>
      <c r="B47" s="3" t="s">
        <v>608</v>
      </c>
      <c r="C47" s="3" t="s">
        <v>608</v>
      </c>
      <c r="D47" s="3" t="s">
        <v>608</v>
      </c>
      <c r="E47" s="3" t="s">
        <v>608</v>
      </c>
      <c r="F47" s="3" t="s">
        <v>1420</v>
      </c>
      <c r="G47" s="3" t="s">
        <v>1420</v>
      </c>
      <c r="H47" s="3" t="s">
        <v>1422</v>
      </c>
      <c r="I47" s="3" t="s">
        <v>90</v>
      </c>
      <c r="J47" s="3" t="s">
        <v>4</v>
      </c>
      <c r="K47" s="3" t="s">
        <v>1423</v>
      </c>
      <c r="L47" s="3" t="s">
        <v>30</v>
      </c>
      <c r="M47" s="3" t="s">
        <v>14</v>
      </c>
      <c r="N47">
        <v>6000000</v>
      </c>
      <c r="O47">
        <v>103.081</v>
      </c>
      <c r="P47">
        <v>31</v>
      </c>
      <c r="Q47">
        <v>2040</v>
      </c>
      <c r="R47">
        <v>103</v>
      </c>
      <c r="S47" s="3" t="s">
        <v>7</v>
      </c>
      <c r="T47">
        <v>2355</v>
      </c>
      <c r="U47">
        <v>2378</v>
      </c>
      <c r="V47">
        <v>737</v>
      </c>
      <c r="W47">
        <v>2.38</v>
      </c>
      <c r="X47">
        <v>6184860</v>
      </c>
      <c r="Y47" s="3" t="s">
        <v>31</v>
      </c>
      <c r="Z47">
        <v>103.047</v>
      </c>
      <c r="AA47">
        <v>6000000</v>
      </c>
      <c r="AB47" s="3" t="s">
        <v>9</v>
      </c>
      <c r="AC47" s="3" t="s">
        <v>10</v>
      </c>
      <c r="AD47">
        <v>6191024</v>
      </c>
      <c r="AE47">
        <v>6191024</v>
      </c>
      <c r="AF47" s="3" t="s">
        <v>640</v>
      </c>
    </row>
    <row r="48" spans="1:32" x14ac:dyDescent="0.35">
      <c r="A48" s="3" t="s">
        <v>608</v>
      </c>
      <c r="B48" s="3" t="s">
        <v>608</v>
      </c>
      <c r="C48" s="3" t="s">
        <v>608</v>
      </c>
      <c r="D48" s="3" t="s">
        <v>608</v>
      </c>
      <c r="E48" s="3" t="s">
        <v>608</v>
      </c>
      <c r="F48" s="3" t="s">
        <v>96</v>
      </c>
      <c r="G48" s="3" t="s">
        <v>96</v>
      </c>
      <c r="H48" s="3" t="s">
        <v>97</v>
      </c>
      <c r="I48" s="3" t="s">
        <v>95</v>
      </c>
      <c r="J48" s="3" t="s">
        <v>4</v>
      </c>
      <c r="K48" s="3" t="s">
        <v>682</v>
      </c>
      <c r="L48" s="3" t="s">
        <v>30</v>
      </c>
      <c r="M48" s="3" t="s">
        <v>14</v>
      </c>
      <c r="N48">
        <v>0</v>
      </c>
      <c r="O48">
        <v>106.87</v>
      </c>
      <c r="P48">
        <v>40</v>
      </c>
      <c r="Q48">
        <v>0</v>
      </c>
      <c r="R48">
        <v>24</v>
      </c>
      <c r="S48" s="3" t="s">
        <v>7</v>
      </c>
      <c r="T48">
        <v>0</v>
      </c>
      <c r="U48">
        <v>0</v>
      </c>
      <c r="V48">
        <v>0</v>
      </c>
      <c r="W48">
        <v>0</v>
      </c>
      <c r="X48">
        <v>0</v>
      </c>
      <c r="Y48" s="3" t="s">
        <v>31</v>
      </c>
      <c r="Z48">
        <v>106.87</v>
      </c>
      <c r="AA48">
        <v>0</v>
      </c>
      <c r="AB48" s="3" t="s">
        <v>9</v>
      </c>
      <c r="AC48" s="3" t="s">
        <v>10</v>
      </c>
      <c r="AD48">
        <v>0</v>
      </c>
      <c r="AE48">
        <v>0</v>
      </c>
      <c r="AF48" s="3" t="s">
        <v>640</v>
      </c>
    </row>
    <row r="49" spans="1:32" x14ac:dyDescent="0.35">
      <c r="A49" s="3" t="s">
        <v>608</v>
      </c>
      <c r="B49" s="3" t="s">
        <v>608</v>
      </c>
      <c r="C49" s="3" t="s">
        <v>608</v>
      </c>
      <c r="D49" s="3" t="s">
        <v>608</v>
      </c>
      <c r="E49" s="3" t="s">
        <v>608</v>
      </c>
      <c r="F49" s="3" t="s">
        <v>583</v>
      </c>
      <c r="G49" s="3" t="s">
        <v>583</v>
      </c>
      <c r="H49" s="3" t="s">
        <v>584</v>
      </c>
      <c r="I49" s="3" t="s">
        <v>95</v>
      </c>
      <c r="J49" s="3" t="s">
        <v>4</v>
      </c>
      <c r="K49" s="3" t="s">
        <v>683</v>
      </c>
      <c r="L49" s="3" t="s">
        <v>30</v>
      </c>
      <c r="M49" s="3" t="s">
        <v>14</v>
      </c>
      <c r="N49">
        <v>1000000</v>
      </c>
      <c r="O49">
        <v>100.749</v>
      </c>
      <c r="P49">
        <v>29</v>
      </c>
      <c r="Q49">
        <v>240</v>
      </c>
      <c r="R49">
        <v>0</v>
      </c>
      <c r="S49" s="3" t="s">
        <v>7</v>
      </c>
      <c r="T49">
        <v>381</v>
      </c>
      <c r="U49">
        <v>385</v>
      </c>
      <c r="V49">
        <v>111</v>
      </c>
      <c r="W49">
        <v>0.36</v>
      </c>
      <c r="X49">
        <v>1007490</v>
      </c>
      <c r="Y49" s="3" t="s">
        <v>31</v>
      </c>
      <c r="Z49">
        <v>100.72499999999999</v>
      </c>
      <c r="AA49">
        <v>1000000</v>
      </c>
      <c r="AB49" s="3" t="s">
        <v>9</v>
      </c>
      <c r="AC49" s="3" t="s">
        <v>10</v>
      </c>
      <c r="AD49">
        <v>1007490</v>
      </c>
      <c r="AE49">
        <v>1007490</v>
      </c>
      <c r="AF49" s="3" t="s">
        <v>640</v>
      </c>
    </row>
    <row r="50" spans="1:32" x14ac:dyDescent="0.35">
      <c r="A50" s="3" t="s">
        <v>608</v>
      </c>
      <c r="B50" s="3" t="s">
        <v>608</v>
      </c>
      <c r="C50" s="3" t="s">
        <v>608</v>
      </c>
      <c r="D50" s="3" t="s">
        <v>608</v>
      </c>
      <c r="E50" s="3" t="s">
        <v>608</v>
      </c>
      <c r="F50" s="3" t="s">
        <v>1409</v>
      </c>
      <c r="G50" s="3" t="s">
        <v>1409</v>
      </c>
      <c r="H50" s="3" t="s">
        <v>1411</v>
      </c>
      <c r="I50" s="3" t="s">
        <v>95</v>
      </c>
      <c r="J50" s="3" t="s">
        <v>4</v>
      </c>
      <c r="K50" s="3" t="s">
        <v>1412</v>
      </c>
      <c r="L50" s="3" t="s">
        <v>30</v>
      </c>
      <c r="M50" s="3" t="s">
        <v>14</v>
      </c>
      <c r="N50">
        <v>1000000</v>
      </c>
      <c r="O50">
        <v>101.84399999999999</v>
      </c>
      <c r="P50">
        <v>36</v>
      </c>
      <c r="Q50">
        <v>20</v>
      </c>
      <c r="R50">
        <v>20</v>
      </c>
      <c r="S50" s="3" t="s">
        <v>7</v>
      </c>
      <c r="T50">
        <v>206</v>
      </c>
      <c r="U50">
        <v>208</v>
      </c>
      <c r="V50">
        <v>75</v>
      </c>
      <c r="W50">
        <v>0.24</v>
      </c>
      <c r="X50">
        <v>1018440</v>
      </c>
      <c r="Y50" s="3" t="s">
        <v>31</v>
      </c>
      <c r="Z50">
        <v>101.842</v>
      </c>
      <c r="AA50">
        <v>1000000</v>
      </c>
      <c r="AB50" s="3" t="s">
        <v>9</v>
      </c>
      <c r="AC50" s="3" t="s">
        <v>10</v>
      </c>
      <c r="AD50">
        <v>1025694</v>
      </c>
      <c r="AE50">
        <v>1025694</v>
      </c>
      <c r="AF50" s="3" t="s">
        <v>640</v>
      </c>
    </row>
    <row r="51" spans="1:32" x14ac:dyDescent="0.35">
      <c r="A51" s="3" t="s">
        <v>608</v>
      </c>
      <c r="B51" s="3" t="s">
        <v>608</v>
      </c>
      <c r="C51" s="3" t="s">
        <v>608</v>
      </c>
      <c r="D51" s="3" t="s">
        <v>608</v>
      </c>
      <c r="E51" s="3" t="s">
        <v>608</v>
      </c>
      <c r="F51" s="3" t="s">
        <v>98</v>
      </c>
      <c r="G51" s="3" t="s">
        <v>98</v>
      </c>
      <c r="H51" s="3" t="s">
        <v>99</v>
      </c>
      <c r="I51" s="3" t="s">
        <v>100</v>
      </c>
      <c r="J51" s="3" t="s">
        <v>4</v>
      </c>
      <c r="K51" s="3" t="s">
        <v>684</v>
      </c>
      <c r="L51" s="3" t="s">
        <v>30</v>
      </c>
      <c r="M51" s="3" t="s">
        <v>14</v>
      </c>
      <c r="N51">
        <v>-1400000</v>
      </c>
      <c r="O51">
        <v>108.262</v>
      </c>
      <c r="P51">
        <v>33</v>
      </c>
      <c r="Q51">
        <v>-1134</v>
      </c>
      <c r="R51">
        <v>-48</v>
      </c>
      <c r="S51" s="3" t="s">
        <v>7</v>
      </c>
      <c r="T51">
        <v>-919</v>
      </c>
      <c r="U51">
        <v>-929</v>
      </c>
      <c r="V51">
        <v>-308</v>
      </c>
      <c r="W51">
        <v>-0.99</v>
      </c>
      <c r="X51">
        <v>-1515668</v>
      </c>
      <c r="Y51" s="3" t="s">
        <v>31</v>
      </c>
      <c r="Z51">
        <v>108.181</v>
      </c>
      <c r="AA51">
        <v>-1400000</v>
      </c>
      <c r="AB51" s="3" t="s">
        <v>9</v>
      </c>
      <c r="AC51" s="3" t="s">
        <v>10</v>
      </c>
      <c r="AD51">
        <v>-1528817</v>
      </c>
      <c r="AE51">
        <v>1528817</v>
      </c>
      <c r="AF51" s="3" t="s">
        <v>640</v>
      </c>
    </row>
    <row r="52" spans="1:32" x14ac:dyDescent="0.35">
      <c r="A52" s="3" t="s">
        <v>608</v>
      </c>
      <c r="B52" s="3" t="s">
        <v>608</v>
      </c>
      <c r="C52" s="3" t="s">
        <v>608</v>
      </c>
      <c r="D52" s="3" t="s">
        <v>608</v>
      </c>
      <c r="E52" s="3" t="s">
        <v>608</v>
      </c>
      <c r="F52" s="3" t="s">
        <v>101</v>
      </c>
      <c r="G52" s="3" t="s">
        <v>101</v>
      </c>
      <c r="H52" s="3" t="s">
        <v>102</v>
      </c>
      <c r="I52" s="3" t="s">
        <v>100</v>
      </c>
      <c r="J52" s="3" t="s">
        <v>4</v>
      </c>
      <c r="K52" s="3" t="s">
        <v>685</v>
      </c>
      <c r="L52" s="3" t="s">
        <v>30</v>
      </c>
      <c r="M52" s="3" t="s">
        <v>14</v>
      </c>
      <c r="N52">
        <v>-1515000</v>
      </c>
      <c r="O52">
        <v>115.395</v>
      </c>
      <c r="P52">
        <v>16</v>
      </c>
      <c r="Q52">
        <v>-591</v>
      </c>
      <c r="R52">
        <v>-119</v>
      </c>
      <c r="S52" s="3" t="s">
        <v>7</v>
      </c>
      <c r="T52">
        <v>-803</v>
      </c>
      <c r="U52">
        <v>-811</v>
      </c>
      <c r="V52">
        <v>-128</v>
      </c>
      <c r="W52">
        <v>-0.41</v>
      </c>
      <c r="X52">
        <v>-1748234</v>
      </c>
      <c r="Y52" s="3" t="s">
        <v>31</v>
      </c>
      <c r="Z52">
        <v>115.35599999999999</v>
      </c>
      <c r="AA52">
        <v>-1515000</v>
      </c>
      <c r="AB52" s="3" t="s">
        <v>9</v>
      </c>
      <c r="AC52" s="3" t="s">
        <v>10</v>
      </c>
      <c r="AD52">
        <v>-1756468</v>
      </c>
      <c r="AE52">
        <v>1756468</v>
      </c>
      <c r="AF52" s="3" t="s">
        <v>640</v>
      </c>
    </row>
    <row r="53" spans="1:32" x14ac:dyDescent="0.35">
      <c r="A53" s="3" t="s">
        <v>608</v>
      </c>
      <c r="B53" s="3" t="s">
        <v>608</v>
      </c>
      <c r="C53" s="3" t="s">
        <v>608</v>
      </c>
      <c r="D53" s="3" t="s">
        <v>608</v>
      </c>
      <c r="E53" s="3" t="s">
        <v>608</v>
      </c>
      <c r="F53" s="3" t="s">
        <v>103</v>
      </c>
      <c r="G53" s="3" t="s">
        <v>103</v>
      </c>
      <c r="H53" s="3" t="s">
        <v>104</v>
      </c>
      <c r="I53" s="3" t="s">
        <v>105</v>
      </c>
      <c r="J53" s="3" t="s">
        <v>4</v>
      </c>
      <c r="K53" s="3" t="s">
        <v>686</v>
      </c>
      <c r="L53" s="3" t="s">
        <v>30</v>
      </c>
      <c r="M53" s="3" t="s">
        <v>14</v>
      </c>
      <c r="N53">
        <v>0</v>
      </c>
      <c r="O53">
        <v>100.943</v>
      </c>
      <c r="P53">
        <v>72</v>
      </c>
      <c r="Q53">
        <v>0</v>
      </c>
      <c r="R53">
        <v>0</v>
      </c>
      <c r="S53" s="3" t="s">
        <v>7</v>
      </c>
      <c r="T53">
        <v>0</v>
      </c>
      <c r="U53">
        <v>0</v>
      </c>
      <c r="V53">
        <v>0</v>
      </c>
      <c r="W53">
        <v>0</v>
      </c>
      <c r="X53">
        <v>0</v>
      </c>
      <c r="Y53" s="3" t="s">
        <v>31</v>
      </c>
      <c r="Z53">
        <v>100.943</v>
      </c>
      <c r="AA53">
        <v>0</v>
      </c>
      <c r="AB53" s="3" t="s">
        <v>9</v>
      </c>
      <c r="AC53" s="3" t="s">
        <v>10</v>
      </c>
      <c r="AD53">
        <v>0</v>
      </c>
      <c r="AE53">
        <v>0</v>
      </c>
      <c r="AF53" s="3" t="s">
        <v>640</v>
      </c>
    </row>
    <row r="54" spans="1:32" x14ac:dyDescent="0.35">
      <c r="A54" s="3" t="s">
        <v>608</v>
      </c>
      <c r="B54" s="3" t="s">
        <v>608</v>
      </c>
      <c r="C54" s="3" t="s">
        <v>608</v>
      </c>
      <c r="D54" s="3" t="s">
        <v>608</v>
      </c>
      <c r="E54" s="3" t="s">
        <v>608</v>
      </c>
      <c r="F54" s="3" t="s">
        <v>106</v>
      </c>
      <c r="G54" s="3" t="s">
        <v>106</v>
      </c>
      <c r="H54" s="3" t="s">
        <v>107</v>
      </c>
      <c r="I54" s="3" t="s">
        <v>105</v>
      </c>
      <c r="J54" s="3" t="s">
        <v>4</v>
      </c>
      <c r="K54" s="3" t="s">
        <v>687</v>
      </c>
      <c r="L54" s="3" t="s">
        <v>30</v>
      </c>
      <c r="M54" s="3" t="s">
        <v>14</v>
      </c>
      <c r="N54">
        <v>-5381000</v>
      </c>
      <c r="O54">
        <v>107.86199999999999</v>
      </c>
      <c r="P54">
        <v>55</v>
      </c>
      <c r="Q54">
        <v>-2960</v>
      </c>
      <c r="R54">
        <v>-276</v>
      </c>
      <c r="S54" s="3" t="s">
        <v>7</v>
      </c>
      <c r="T54">
        <v>-2473</v>
      </c>
      <c r="U54">
        <v>-2498</v>
      </c>
      <c r="V54">
        <v>-1373</v>
      </c>
      <c r="W54">
        <v>-4.43</v>
      </c>
      <c r="X54">
        <v>-5804054</v>
      </c>
      <c r="Y54" s="3" t="s">
        <v>31</v>
      </c>
      <c r="Z54">
        <v>107.807</v>
      </c>
      <c r="AA54">
        <v>-5381000</v>
      </c>
      <c r="AB54" s="3" t="s">
        <v>9</v>
      </c>
      <c r="AC54" s="3" t="s">
        <v>10</v>
      </c>
      <c r="AD54">
        <v>-5865143</v>
      </c>
      <c r="AE54">
        <v>5865143</v>
      </c>
      <c r="AF54" s="3" t="s">
        <v>640</v>
      </c>
    </row>
    <row r="55" spans="1:32" x14ac:dyDescent="0.35">
      <c r="A55" s="3" t="s">
        <v>608</v>
      </c>
      <c r="B55" s="3" t="s">
        <v>608</v>
      </c>
      <c r="C55" s="3" t="s">
        <v>608</v>
      </c>
      <c r="D55" s="3" t="s">
        <v>608</v>
      </c>
      <c r="E55" s="3" t="s">
        <v>608</v>
      </c>
      <c r="F55" s="3" t="s">
        <v>108</v>
      </c>
      <c r="G55" s="3" t="s">
        <v>108</v>
      </c>
      <c r="H55" s="3" t="s">
        <v>109</v>
      </c>
      <c r="I55" s="3" t="s">
        <v>110</v>
      </c>
      <c r="J55" s="3" t="s">
        <v>4</v>
      </c>
      <c r="K55" s="3" t="s">
        <v>688</v>
      </c>
      <c r="L55" s="3" t="s">
        <v>30</v>
      </c>
      <c r="M55" s="3" t="s">
        <v>14</v>
      </c>
      <c r="N55">
        <v>2000000</v>
      </c>
      <c r="O55">
        <v>108.964</v>
      </c>
      <c r="P55">
        <v>38</v>
      </c>
      <c r="Q55">
        <v>540</v>
      </c>
      <c r="R55">
        <v>103</v>
      </c>
      <c r="S55" s="3" t="s">
        <v>7</v>
      </c>
      <c r="T55">
        <v>964</v>
      </c>
      <c r="U55">
        <v>973</v>
      </c>
      <c r="V55">
        <v>366</v>
      </c>
      <c r="W55">
        <v>1.18</v>
      </c>
      <c r="X55">
        <v>2179280</v>
      </c>
      <c r="Y55" s="3" t="s">
        <v>31</v>
      </c>
      <c r="Z55">
        <v>108.937</v>
      </c>
      <c r="AA55">
        <v>2000000</v>
      </c>
      <c r="AB55" s="3" t="s">
        <v>9</v>
      </c>
      <c r="AC55" s="3" t="s">
        <v>10</v>
      </c>
      <c r="AD55">
        <v>2195821</v>
      </c>
      <c r="AE55">
        <v>2195821</v>
      </c>
      <c r="AF55" s="3" t="s">
        <v>640</v>
      </c>
    </row>
    <row r="56" spans="1:32" x14ac:dyDescent="0.35">
      <c r="A56" s="3" t="s">
        <v>608</v>
      </c>
      <c r="B56" s="3" t="s">
        <v>608</v>
      </c>
      <c r="C56" s="3" t="s">
        <v>608</v>
      </c>
      <c r="D56" s="3" t="s">
        <v>608</v>
      </c>
      <c r="E56" s="3" t="s">
        <v>608</v>
      </c>
      <c r="F56" s="3" t="s">
        <v>1303</v>
      </c>
      <c r="G56" s="3" t="s">
        <v>1303</v>
      </c>
      <c r="H56" s="3" t="s">
        <v>1304</v>
      </c>
      <c r="I56" s="3" t="s">
        <v>1305</v>
      </c>
      <c r="J56" s="3" t="s">
        <v>4</v>
      </c>
      <c r="K56" s="3" t="s">
        <v>660</v>
      </c>
      <c r="L56" s="3" t="s">
        <v>30</v>
      </c>
      <c r="M56" s="3" t="s">
        <v>14</v>
      </c>
      <c r="N56">
        <v>1000000</v>
      </c>
      <c r="O56">
        <v>119.824</v>
      </c>
      <c r="P56">
        <v>206</v>
      </c>
      <c r="Q56">
        <v>120</v>
      </c>
      <c r="R56">
        <v>123</v>
      </c>
      <c r="S56" s="3" t="s">
        <v>7</v>
      </c>
      <c r="T56">
        <v>793</v>
      </c>
      <c r="U56">
        <v>802</v>
      </c>
      <c r="V56">
        <v>1650</v>
      </c>
      <c r="W56">
        <v>5.32</v>
      </c>
      <c r="X56">
        <v>1198240</v>
      </c>
      <c r="Y56" s="3" t="s">
        <v>31</v>
      </c>
      <c r="Z56">
        <v>119.812</v>
      </c>
      <c r="AA56">
        <v>1000000</v>
      </c>
      <c r="AB56" s="3" t="s">
        <v>9</v>
      </c>
      <c r="AC56" s="3" t="s">
        <v>10</v>
      </c>
      <c r="AD56">
        <v>1214761</v>
      </c>
      <c r="AE56">
        <v>1214761</v>
      </c>
      <c r="AF56" s="3" t="s">
        <v>640</v>
      </c>
    </row>
    <row r="57" spans="1:32" x14ac:dyDescent="0.35">
      <c r="A57" s="3" t="s">
        <v>608</v>
      </c>
      <c r="B57" s="3" t="s">
        <v>608</v>
      </c>
      <c r="C57" s="3" t="s">
        <v>608</v>
      </c>
      <c r="D57" s="3" t="s">
        <v>608</v>
      </c>
      <c r="E57" s="3" t="s">
        <v>608</v>
      </c>
      <c r="F57" s="3" t="s">
        <v>1310</v>
      </c>
      <c r="G57" s="3" t="s">
        <v>1310</v>
      </c>
      <c r="H57" s="3" t="s">
        <v>1311</v>
      </c>
      <c r="I57" s="3" t="s">
        <v>1305</v>
      </c>
      <c r="J57" s="3" t="s">
        <v>4</v>
      </c>
      <c r="K57" s="3" t="s">
        <v>1316</v>
      </c>
      <c r="L57" s="3" t="s">
        <v>30</v>
      </c>
      <c r="M57" s="3" t="s">
        <v>14</v>
      </c>
      <c r="N57">
        <v>0</v>
      </c>
      <c r="O57">
        <v>106.48</v>
      </c>
      <c r="P57">
        <v>138</v>
      </c>
      <c r="Q57">
        <v>0</v>
      </c>
      <c r="R57">
        <v>185</v>
      </c>
      <c r="S57" s="3" t="s">
        <v>7</v>
      </c>
      <c r="T57">
        <v>0</v>
      </c>
      <c r="U57">
        <v>0</v>
      </c>
      <c r="V57">
        <v>0</v>
      </c>
      <c r="W57">
        <v>0</v>
      </c>
      <c r="X57">
        <v>0</v>
      </c>
      <c r="Y57" s="3" t="s">
        <v>31</v>
      </c>
      <c r="Z57">
        <v>106.48</v>
      </c>
      <c r="AA57">
        <v>0</v>
      </c>
      <c r="AB57" s="3" t="s">
        <v>9</v>
      </c>
      <c r="AC57" s="3" t="s">
        <v>10</v>
      </c>
      <c r="AD57">
        <v>0</v>
      </c>
      <c r="AE57">
        <v>0</v>
      </c>
      <c r="AF57" s="3" t="s">
        <v>640</v>
      </c>
    </row>
    <row r="58" spans="1:32" x14ac:dyDescent="0.35">
      <c r="A58" s="3" t="s">
        <v>608</v>
      </c>
      <c r="B58" s="3" t="s">
        <v>608</v>
      </c>
      <c r="C58" s="3" t="s">
        <v>608</v>
      </c>
      <c r="D58" s="3" t="s">
        <v>608</v>
      </c>
      <c r="E58" s="3" t="s">
        <v>608</v>
      </c>
      <c r="F58" s="3" t="s">
        <v>111</v>
      </c>
      <c r="G58" s="3" t="s">
        <v>111</v>
      </c>
      <c r="H58" s="3" t="s">
        <v>112</v>
      </c>
      <c r="I58" s="3" t="s">
        <v>113</v>
      </c>
      <c r="J58" s="3" t="s">
        <v>4</v>
      </c>
      <c r="K58" s="3" t="s">
        <v>689</v>
      </c>
      <c r="L58" s="3" t="s">
        <v>30</v>
      </c>
      <c r="M58" s="3" t="s">
        <v>14</v>
      </c>
      <c r="N58">
        <v>-8167000</v>
      </c>
      <c r="O58">
        <v>105.071</v>
      </c>
      <c r="P58">
        <v>49</v>
      </c>
      <c r="Q58">
        <v>-6207</v>
      </c>
      <c r="R58">
        <v>-196</v>
      </c>
      <c r="S58" s="3" t="s">
        <v>7</v>
      </c>
      <c r="T58">
        <v>-5547</v>
      </c>
      <c r="U58">
        <v>-5606</v>
      </c>
      <c r="V58">
        <v>-2753</v>
      </c>
      <c r="W58">
        <v>-8.8800000000000008</v>
      </c>
      <c r="X58">
        <v>-8581149</v>
      </c>
      <c r="Y58" s="3" t="s">
        <v>31</v>
      </c>
      <c r="Z58">
        <v>104.995</v>
      </c>
      <c r="AA58">
        <v>-8167000</v>
      </c>
      <c r="AB58" s="3" t="s">
        <v>9</v>
      </c>
      <c r="AC58" s="3" t="s">
        <v>10</v>
      </c>
      <c r="AD58">
        <v>-8607775</v>
      </c>
      <c r="AE58">
        <v>8607775</v>
      </c>
      <c r="AF58" s="3" t="s">
        <v>640</v>
      </c>
    </row>
    <row r="59" spans="1:32" x14ac:dyDescent="0.35">
      <c r="A59" s="3" t="s">
        <v>608</v>
      </c>
      <c r="B59" s="3" t="s">
        <v>608</v>
      </c>
      <c r="C59" s="3" t="s">
        <v>608</v>
      </c>
      <c r="D59" s="3" t="s">
        <v>608</v>
      </c>
      <c r="E59" s="3" t="s">
        <v>608</v>
      </c>
      <c r="F59" s="3" t="s">
        <v>114</v>
      </c>
      <c r="G59" s="3" t="s">
        <v>114</v>
      </c>
      <c r="H59" s="3" t="s">
        <v>115</v>
      </c>
      <c r="I59" s="3" t="s">
        <v>113</v>
      </c>
      <c r="J59" s="3" t="s">
        <v>4</v>
      </c>
      <c r="K59" s="3" t="s">
        <v>690</v>
      </c>
      <c r="L59" s="3" t="s">
        <v>30</v>
      </c>
      <c r="M59" s="3" t="s">
        <v>14</v>
      </c>
      <c r="N59">
        <v>0</v>
      </c>
      <c r="O59">
        <v>104.175</v>
      </c>
      <c r="P59">
        <v>58</v>
      </c>
      <c r="Q59">
        <v>-1458</v>
      </c>
      <c r="R59">
        <v>65</v>
      </c>
      <c r="S59" s="3" t="s">
        <v>7</v>
      </c>
      <c r="T59">
        <v>0</v>
      </c>
      <c r="U59">
        <v>0</v>
      </c>
      <c r="V59">
        <v>0</v>
      </c>
      <c r="W59">
        <v>0</v>
      </c>
      <c r="X59">
        <v>0</v>
      </c>
      <c r="Y59" s="3" t="s">
        <v>31</v>
      </c>
      <c r="Z59">
        <v>104.229</v>
      </c>
      <c r="AA59">
        <v>2700000</v>
      </c>
      <c r="AB59" s="3" t="s">
        <v>9</v>
      </c>
      <c r="AC59" s="3" t="s">
        <v>10</v>
      </c>
      <c r="AD59">
        <v>-65</v>
      </c>
      <c r="AE59">
        <v>65</v>
      </c>
      <c r="AF59" s="3" t="s">
        <v>640</v>
      </c>
    </row>
    <row r="60" spans="1:32" x14ac:dyDescent="0.35">
      <c r="A60" s="3" t="s">
        <v>608</v>
      </c>
      <c r="B60" s="3" t="s">
        <v>608</v>
      </c>
      <c r="C60" s="3" t="s">
        <v>608</v>
      </c>
      <c r="D60" s="3" t="s">
        <v>608</v>
      </c>
      <c r="E60" s="3" t="s">
        <v>608</v>
      </c>
      <c r="F60" s="3" t="s">
        <v>965</v>
      </c>
      <c r="G60" s="3" t="s">
        <v>965</v>
      </c>
      <c r="H60" s="3" t="s">
        <v>966</v>
      </c>
      <c r="I60" s="3" t="s">
        <v>967</v>
      </c>
      <c r="J60" s="3" t="s">
        <v>4</v>
      </c>
      <c r="K60" s="3" t="s">
        <v>1186</v>
      </c>
      <c r="L60" s="3" t="s">
        <v>30</v>
      </c>
      <c r="M60" s="3" t="s">
        <v>14</v>
      </c>
      <c r="N60">
        <v>3000000</v>
      </c>
      <c r="O60">
        <v>102.807</v>
      </c>
      <c r="P60">
        <v>37</v>
      </c>
      <c r="Q60">
        <v>420</v>
      </c>
      <c r="R60">
        <v>61</v>
      </c>
      <c r="S60" s="3" t="s">
        <v>7</v>
      </c>
      <c r="T60">
        <v>969</v>
      </c>
      <c r="U60">
        <v>978</v>
      </c>
      <c r="V60">
        <v>358</v>
      </c>
      <c r="W60">
        <v>1.1499999999999999</v>
      </c>
      <c r="X60">
        <v>3084210</v>
      </c>
      <c r="Y60" s="3" t="s">
        <v>31</v>
      </c>
      <c r="Z60">
        <v>102.79300000000001</v>
      </c>
      <c r="AA60">
        <v>3000000</v>
      </c>
      <c r="AB60" s="3" t="s">
        <v>9</v>
      </c>
      <c r="AC60" s="3" t="s">
        <v>10</v>
      </c>
      <c r="AD60">
        <v>3103021</v>
      </c>
      <c r="AE60">
        <v>3103021</v>
      </c>
      <c r="AF60" s="3" t="s">
        <v>640</v>
      </c>
    </row>
    <row r="61" spans="1:32" x14ac:dyDescent="0.35">
      <c r="A61" s="3" t="s">
        <v>608</v>
      </c>
      <c r="B61" s="3" t="s">
        <v>608</v>
      </c>
      <c r="C61" s="3" t="s">
        <v>608</v>
      </c>
      <c r="D61" s="3" t="s">
        <v>608</v>
      </c>
      <c r="E61" s="3" t="s">
        <v>608</v>
      </c>
      <c r="F61" s="3" t="s">
        <v>116</v>
      </c>
      <c r="G61" s="3" t="s">
        <v>116</v>
      </c>
      <c r="H61" s="3" t="s">
        <v>117</v>
      </c>
      <c r="I61" s="3" t="s">
        <v>118</v>
      </c>
      <c r="J61" s="3" t="s">
        <v>4</v>
      </c>
      <c r="K61" s="3" t="s">
        <v>691</v>
      </c>
      <c r="L61" s="3" t="s">
        <v>30</v>
      </c>
      <c r="M61" s="3" t="s">
        <v>14</v>
      </c>
      <c r="N61">
        <v>3700000</v>
      </c>
      <c r="O61">
        <v>103.764</v>
      </c>
      <c r="P61">
        <v>36</v>
      </c>
      <c r="Q61">
        <v>370</v>
      </c>
      <c r="R61">
        <v>101</v>
      </c>
      <c r="S61" s="3" t="s">
        <v>7</v>
      </c>
      <c r="T61">
        <v>1253</v>
      </c>
      <c r="U61">
        <v>1266</v>
      </c>
      <c r="V61">
        <v>455</v>
      </c>
      <c r="W61">
        <v>1.47</v>
      </c>
      <c r="X61">
        <v>3839268</v>
      </c>
      <c r="Y61" s="3" t="s">
        <v>31</v>
      </c>
      <c r="Z61">
        <v>103.754</v>
      </c>
      <c r="AA61">
        <v>3700000</v>
      </c>
      <c r="AB61" s="3" t="s">
        <v>9</v>
      </c>
      <c r="AC61" s="3" t="s">
        <v>10</v>
      </c>
      <c r="AD61">
        <v>3865219</v>
      </c>
      <c r="AE61">
        <v>3865219</v>
      </c>
      <c r="AF61" s="3" t="s">
        <v>640</v>
      </c>
    </row>
    <row r="62" spans="1:32" x14ac:dyDescent="0.35">
      <c r="A62" s="3" t="s">
        <v>608</v>
      </c>
      <c r="B62" s="3" t="s">
        <v>608</v>
      </c>
      <c r="C62" s="3" t="s">
        <v>608</v>
      </c>
      <c r="D62" s="3" t="s">
        <v>608</v>
      </c>
      <c r="E62" s="3" t="s">
        <v>608</v>
      </c>
      <c r="F62" s="3" t="s">
        <v>1426</v>
      </c>
      <c r="G62" s="3" t="s">
        <v>1426</v>
      </c>
      <c r="H62" s="3" t="s">
        <v>1428</v>
      </c>
      <c r="I62" s="3" t="s">
        <v>1482</v>
      </c>
      <c r="J62" s="3" t="s">
        <v>4</v>
      </c>
      <c r="K62" s="3" t="s">
        <v>1429</v>
      </c>
      <c r="L62" s="3" t="s">
        <v>30</v>
      </c>
      <c r="M62" s="3" t="s">
        <v>14</v>
      </c>
      <c r="N62">
        <v>-3000000</v>
      </c>
      <c r="O62">
        <v>105.52500000000001</v>
      </c>
      <c r="P62">
        <v>85</v>
      </c>
      <c r="Q62">
        <v>-14880</v>
      </c>
      <c r="R62">
        <v>-98</v>
      </c>
      <c r="S62" s="3" t="s">
        <v>7</v>
      </c>
      <c r="T62">
        <v>-5445</v>
      </c>
      <c r="U62">
        <v>-5521</v>
      </c>
      <c r="V62">
        <v>-4709</v>
      </c>
      <c r="W62">
        <v>-15.19</v>
      </c>
      <c r="X62">
        <v>-3165750</v>
      </c>
      <c r="Y62" s="3" t="s">
        <v>31</v>
      </c>
      <c r="Z62">
        <v>105.029</v>
      </c>
      <c r="AA62">
        <v>-3000000</v>
      </c>
      <c r="AB62" s="3" t="s">
        <v>9</v>
      </c>
      <c r="AC62" s="3" t="s">
        <v>10</v>
      </c>
      <c r="AD62">
        <v>-3193389</v>
      </c>
      <c r="AE62">
        <v>3193389</v>
      </c>
      <c r="AF62" s="3" t="s">
        <v>640</v>
      </c>
    </row>
    <row r="63" spans="1:32" x14ac:dyDescent="0.35">
      <c r="A63" s="3" t="s">
        <v>608</v>
      </c>
      <c r="B63" s="3" t="s">
        <v>608</v>
      </c>
      <c r="C63" s="3" t="s">
        <v>608</v>
      </c>
      <c r="D63" s="3" t="s">
        <v>608</v>
      </c>
      <c r="E63" s="3" t="s">
        <v>608</v>
      </c>
      <c r="F63" s="3" t="s">
        <v>1430</v>
      </c>
      <c r="G63" s="3" t="s">
        <v>1430</v>
      </c>
      <c r="H63" s="3" t="s">
        <v>1432</v>
      </c>
      <c r="I63" s="3" t="s">
        <v>1483</v>
      </c>
      <c r="J63" s="3" t="s">
        <v>4</v>
      </c>
      <c r="K63" s="3" t="s">
        <v>1433</v>
      </c>
      <c r="L63" s="3" t="s">
        <v>30</v>
      </c>
      <c r="M63" s="3" t="s">
        <v>14</v>
      </c>
      <c r="N63">
        <v>7260000</v>
      </c>
      <c r="O63">
        <v>105.90900000000001</v>
      </c>
      <c r="P63">
        <v>62</v>
      </c>
      <c r="Q63">
        <v>12415</v>
      </c>
      <c r="R63">
        <v>226</v>
      </c>
      <c r="S63" s="3" t="s">
        <v>7</v>
      </c>
      <c r="T63">
        <v>7070</v>
      </c>
      <c r="U63">
        <v>7156</v>
      </c>
      <c r="V63">
        <v>4452</v>
      </c>
      <c r="W63">
        <v>14.36</v>
      </c>
      <c r="X63">
        <v>7688993</v>
      </c>
      <c r="Y63" s="3" t="s">
        <v>31</v>
      </c>
      <c r="Z63">
        <v>105.738</v>
      </c>
      <c r="AA63">
        <v>7260000</v>
      </c>
      <c r="AB63" s="3" t="s">
        <v>9</v>
      </c>
      <c r="AC63" s="3" t="s">
        <v>10</v>
      </c>
      <c r="AD63">
        <v>7716840</v>
      </c>
      <c r="AE63">
        <v>7716840</v>
      </c>
      <c r="AF63" s="3" t="s">
        <v>640</v>
      </c>
    </row>
    <row r="64" spans="1:32" x14ac:dyDescent="0.35">
      <c r="A64" s="3" t="s">
        <v>608</v>
      </c>
      <c r="B64" s="3" t="s">
        <v>608</v>
      </c>
      <c r="C64" s="3" t="s">
        <v>608</v>
      </c>
      <c r="D64" s="3" t="s">
        <v>608</v>
      </c>
      <c r="E64" s="3" t="s">
        <v>608</v>
      </c>
      <c r="F64" s="3" t="s">
        <v>1338</v>
      </c>
      <c r="G64" s="3" t="s">
        <v>1338</v>
      </c>
      <c r="H64" s="3" t="s">
        <v>1339</v>
      </c>
      <c r="I64" s="3" t="s">
        <v>129</v>
      </c>
      <c r="J64" s="3" t="s">
        <v>4</v>
      </c>
      <c r="K64" s="3" t="s">
        <v>1371</v>
      </c>
      <c r="L64" s="3" t="s">
        <v>30</v>
      </c>
      <c r="M64" s="3" t="s">
        <v>14</v>
      </c>
      <c r="N64">
        <v>0</v>
      </c>
      <c r="O64">
        <v>100.94499999999999</v>
      </c>
      <c r="P64">
        <v>31</v>
      </c>
      <c r="Q64">
        <v>4600</v>
      </c>
      <c r="R64">
        <v>14</v>
      </c>
      <c r="S64" s="3" t="s">
        <v>7</v>
      </c>
      <c r="T64">
        <v>0</v>
      </c>
      <c r="U64">
        <v>0</v>
      </c>
      <c r="V64">
        <v>0</v>
      </c>
      <c r="W64">
        <v>0</v>
      </c>
      <c r="X64">
        <v>0</v>
      </c>
      <c r="Y64" s="3" t="s">
        <v>31</v>
      </c>
      <c r="Z64">
        <v>100.715</v>
      </c>
      <c r="AA64">
        <v>2000000</v>
      </c>
      <c r="AB64" s="3" t="s">
        <v>9</v>
      </c>
      <c r="AC64" s="3" t="s">
        <v>10</v>
      </c>
      <c r="AD64">
        <v>-14</v>
      </c>
      <c r="AE64">
        <v>14</v>
      </c>
      <c r="AF64" s="3" t="s">
        <v>640</v>
      </c>
    </row>
    <row r="65" spans="1:32" x14ac:dyDescent="0.35">
      <c r="A65" s="3" t="s">
        <v>608</v>
      </c>
      <c r="B65" s="3" t="s">
        <v>608</v>
      </c>
      <c r="C65" s="3" t="s">
        <v>608</v>
      </c>
      <c r="D65" s="3" t="s">
        <v>608</v>
      </c>
      <c r="E65" s="3" t="s">
        <v>608</v>
      </c>
      <c r="F65" s="3" t="s">
        <v>131</v>
      </c>
      <c r="G65" s="3" t="s">
        <v>131</v>
      </c>
      <c r="H65" s="3" t="s">
        <v>132</v>
      </c>
      <c r="I65" s="3" t="s">
        <v>130</v>
      </c>
      <c r="J65" s="3" t="s">
        <v>4</v>
      </c>
      <c r="K65" s="3" t="s">
        <v>687</v>
      </c>
      <c r="L65" s="3" t="s">
        <v>30</v>
      </c>
      <c r="M65" s="3" t="s">
        <v>14</v>
      </c>
      <c r="N65">
        <v>1859000</v>
      </c>
      <c r="O65">
        <v>103.548</v>
      </c>
      <c r="P65">
        <v>102</v>
      </c>
      <c r="Q65">
        <v>799</v>
      </c>
      <c r="R65">
        <v>70</v>
      </c>
      <c r="S65" s="3" t="s">
        <v>7</v>
      </c>
      <c r="T65">
        <v>822</v>
      </c>
      <c r="U65">
        <v>831</v>
      </c>
      <c r="V65">
        <v>850</v>
      </c>
      <c r="W65">
        <v>2.74</v>
      </c>
      <c r="X65">
        <v>1924957</v>
      </c>
      <c r="Y65" s="3" t="s">
        <v>31</v>
      </c>
      <c r="Z65">
        <v>103.505</v>
      </c>
      <c r="AA65">
        <v>1859000</v>
      </c>
      <c r="AB65" s="3" t="s">
        <v>9</v>
      </c>
      <c r="AC65" s="3" t="s">
        <v>10</v>
      </c>
      <c r="AD65">
        <v>1940434</v>
      </c>
      <c r="AE65">
        <v>1940434</v>
      </c>
      <c r="AF65" s="3" t="s">
        <v>640</v>
      </c>
    </row>
    <row r="66" spans="1:32" x14ac:dyDescent="0.35">
      <c r="A66" s="3" t="s">
        <v>608</v>
      </c>
      <c r="B66" s="3" t="s">
        <v>608</v>
      </c>
      <c r="C66" s="3" t="s">
        <v>608</v>
      </c>
      <c r="D66" s="3" t="s">
        <v>608</v>
      </c>
      <c r="E66" s="3" t="s">
        <v>608</v>
      </c>
      <c r="F66" s="3" t="s">
        <v>133</v>
      </c>
      <c r="G66" s="3" t="s">
        <v>133</v>
      </c>
      <c r="H66" s="3" t="s">
        <v>134</v>
      </c>
      <c r="I66" s="3" t="s">
        <v>135</v>
      </c>
      <c r="J66" s="3" t="s">
        <v>4</v>
      </c>
      <c r="K66" s="3" t="s">
        <v>696</v>
      </c>
      <c r="L66" s="3" t="s">
        <v>30</v>
      </c>
      <c r="M66" s="3" t="s">
        <v>14</v>
      </c>
      <c r="N66">
        <v>2300000</v>
      </c>
      <c r="O66">
        <v>106.337</v>
      </c>
      <c r="P66">
        <v>51</v>
      </c>
      <c r="Q66">
        <v>1748</v>
      </c>
      <c r="R66">
        <v>79</v>
      </c>
      <c r="S66" s="3" t="s">
        <v>7</v>
      </c>
      <c r="T66">
        <v>1289</v>
      </c>
      <c r="U66">
        <v>1303</v>
      </c>
      <c r="V66">
        <v>664</v>
      </c>
      <c r="W66">
        <v>2.14</v>
      </c>
      <c r="X66">
        <v>2445751</v>
      </c>
      <c r="Y66" s="3" t="s">
        <v>31</v>
      </c>
      <c r="Z66">
        <v>106.261</v>
      </c>
      <c r="AA66">
        <v>2300000</v>
      </c>
      <c r="AB66" s="3" t="s">
        <v>9</v>
      </c>
      <c r="AC66" s="3" t="s">
        <v>10</v>
      </c>
      <c r="AD66">
        <v>2462528</v>
      </c>
      <c r="AE66">
        <v>2462528</v>
      </c>
      <c r="AF66" s="3" t="s">
        <v>640</v>
      </c>
    </row>
    <row r="67" spans="1:32" x14ac:dyDescent="0.35">
      <c r="A67" s="3" t="s">
        <v>608</v>
      </c>
      <c r="B67" s="3" t="s">
        <v>608</v>
      </c>
      <c r="C67" s="3" t="s">
        <v>608</v>
      </c>
      <c r="D67" s="3" t="s">
        <v>608</v>
      </c>
      <c r="E67" s="3" t="s">
        <v>608</v>
      </c>
      <c r="F67" s="3" t="s">
        <v>136</v>
      </c>
      <c r="G67" s="3" t="s">
        <v>136</v>
      </c>
      <c r="H67" s="3" t="s">
        <v>137</v>
      </c>
      <c r="I67" s="3" t="s">
        <v>135</v>
      </c>
      <c r="J67" s="3" t="s">
        <v>4</v>
      </c>
      <c r="K67" s="3" t="s">
        <v>697</v>
      </c>
      <c r="L67" s="3" t="s">
        <v>30</v>
      </c>
      <c r="M67" s="3" t="s">
        <v>14</v>
      </c>
      <c r="N67">
        <v>-3000000</v>
      </c>
      <c r="O67">
        <v>106.295</v>
      </c>
      <c r="P67">
        <v>47</v>
      </c>
      <c r="Q67">
        <v>-1380</v>
      </c>
      <c r="R67">
        <v>-102</v>
      </c>
      <c r="S67" s="3" t="s">
        <v>7</v>
      </c>
      <c r="T67">
        <v>-1604</v>
      </c>
      <c r="U67">
        <v>-1620</v>
      </c>
      <c r="V67">
        <v>-764</v>
      </c>
      <c r="W67">
        <v>-2.4700000000000002</v>
      </c>
      <c r="X67">
        <v>-3188850</v>
      </c>
      <c r="Y67" s="3" t="s">
        <v>31</v>
      </c>
      <c r="Z67">
        <v>106.249</v>
      </c>
      <c r="AA67">
        <v>-3000000</v>
      </c>
      <c r="AB67" s="3" t="s">
        <v>9</v>
      </c>
      <c r="AC67" s="3" t="s">
        <v>10</v>
      </c>
      <c r="AD67">
        <v>-3211084</v>
      </c>
      <c r="AE67">
        <v>3211084</v>
      </c>
      <c r="AF67" s="3" t="s">
        <v>640</v>
      </c>
    </row>
    <row r="68" spans="1:32" x14ac:dyDescent="0.35">
      <c r="A68" s="3" t="s">
        <v>608</v>
      </c>
      <c r="B68" s="3" t="s">
        <v>608</v>
      </c>
      <c r="C68" s="3" t="s">
        <v>608</v>
      </c>
      <c r="D68" s="3" t="s">
        <v>608</v>
      </c>
      <c r="E68" s="3" t="s">
        <v>608</v>
      </c>
      <c r="F68" s="3" t="s">
        <v>138</v>
      </c>
      <c r="G68" s="3" t="s">
        <v>138</v>
      </c>
      <c r="H68" s="3" t="s">
        <v>139</v>
      </c>
      <c r="I68" s="3" t="s">
        <v>140</v>
      </c>
      <c r="J68" s="3" t="s">
        <v>4</v>
      </c>
      <c r="K68" s="3" t="s">
        <v>698</v>
      </c>
      <c r="L68" s="3" t="s">
        <v>30</v>
      </c>
      <c r="M68" s="3" t="s">
        <v>14</v>
      </c>
      <c r="N68">
        <v>-1000000</v>
      </c>
      <c r="O68">
        <v>114.67700000000001</v>
      </c>
      <c r="P68">
        <v>37</v>
      </c>
      <c r="Q68">
        <v>-1780</v>
      </c>
      <c r="R68">
        <v>-51</v>
      </c>
      <c r="S68" s="3" t="s">
        <v>7</v>
      </c>
      <c r="T68">
        <v>-869</v>
      </c>
      <c r="U68">
        <v>-879</v>
      </c>
      <c r="V68">
        <v>-328</v>
      </c>
      <c r="W68">
        <v>-1.06</v>
      </c>
      <c r="X68">
        <v>-1146770</v>
      </c>
      <c r="Y68" s="3" t="s">
        <v>31</v>
      </c>
      <c r="Z68">
        <v>114.499</v>
      </c>
      <c r="AA68">
        <v>-1000000</v>
      </c>
      <c r="AB68" s="3" t="s">
        <v>9</v>
      </c>
      <c r="AC68" s="3" t="s">
        <v>10</v>
      </c>
      <c r="AD68">
        <v>-1164700</v>
      </c>
      <c r="AE68">
        <v>1164700</v>
      </c>
      <c r="AF68" s="3" t="s">
        <v>640</v>
      </c>
    </row>
    <row r="69" spans="1:32" x14ac:dyDescent="0.35">
      <c r="A69" s="3" t="s">
        <v>608</v>
      </c>
      <c r="B69" s="3" t="s">
        <v>608</v>
      </c>
      <c r="C69" s="3" t="s">
        <v>608</v>
      </c>
      <c r="D69" s="3" t="s">
        <v>608</v>
      </c>
      <c r="E69" s="3" t="s">
        <v>608</v>
      </c>
      <c r="F69" s="3" t="s">
        <v>141</v>
      </c>
      <c r="G69" s="3" t="s">
        <v>141</v>
      </c>
      <c r="H69" s="3" t="s">
        <v>142</v>
      </c>
      <c r="I69" s="3" t="s">
        <v>140</v>
      </c>
      <c r="J69" s="3" t="s">
        <v>4</v>
      </c>
      <c r="K69" s="3" t="s">
        <v>699</v>
      </c>
      <c r="L69" s="3" t="s">
        <v>30</v>
      </c>
      <c r="M69" s="3" t="s">
        <v>14</v>
      </c>
      <c r="N69">
        <v>719000</v>
      </c>
      <c r="O69">
        <v>105.69799999999999</v>
      </c>
      <c r="P69">
        <v>32</v>
      </c>
      <c r="Q69">
        <v>158</v>
      </c>
      <c r="R69">
        <v>41</v>
      </c>
      <c r="S69" s="3" t="s">
        <v>7</v>
      </c>
      <c r="T69">
        <v>254</v>
      </c>
      <c r="U69">
        <v>256</v>
      </c>
      <c r="V69">
        <v>82</v>
      </c>
      <c r="W69">
        <v>0.26</v>
      </c>
      <c r="X69">
        <v>759969</v>
      </c>
      <c r="Y69" s="3" t="s">
        <v>31</v>
      </c>
      <c r="Z69">
        <v>105.676</v>
      </c>
      <c r="AA69">
        <v>719000</v>
      </c>
      <c r="AB69" s="3" t="s">
        <v>9</v>
      </c>
      <c r="AC69" s="3" t="s">
        <v>10</v>
      </c>
      <c r="AD69">
        <v>766558</v>
      </c>
      <c r="AE69">
        <v>766558</v>
      </c>
      <c r="AF69" s="3" t="s">
        <v>640</v>
      </c>
    </row>
    <row r="70" spans="1:32" x14ac:dyDescent="0.35">
      <c r="A70" s="3" t="s">
        <v>608</v>
      </c>
      <c r="B70" s="3" t="s">
        <v>608</v>
      </c>
      <c r="C70" s="3" t="s">
        <v>608</v>
      </c>
      <c r="D70" s="3" t="s">
        <v>608</v>
      </c>
      <c r="E70" s="3" t="s">
        <v>608</v>
      </c>
      <c r="F70" s="3" t="s">
        <v>968</v>
      </c>
      <c r="G70" s="3" t="s">
        <v>968</v>
      </c>
      <c r="H70" s="3" t="s">
        <v>969</v>
      </c>
      <c r="I70" s="3" t="s">
        <v>364</v>
      </c>
      <c r="J70" s="3" t="s">
        <v>4</v>
      </c>
      <c r="K70" s="3" t="s">
        <v>1188</v>
      </c>
      <c r="L70" s="3" t="s">
        <v>30</v>
      </c>
      <c r="M70" s="3" t="s">
        <v>14</v>
      </c>
      <c r="N70">
        <v>-1400000</v>
      </c>
      <c r="O70">
        <v>104.693</v>
      </c>
      <c r="P70">
        <v>33</v>
      </c>
      <c r="Q70">
        <v>-70</v>
      </c>
      <c r="R70">
        <v>-43</v>
      </c>
      <c r="S70" s="3" t="s">
        <v>7</v>
      </c>
      <c r="T70">
        <v>-529</v>
      </c>
      <c r="U70">
        <v>-534</v>
      </c>
      <c r="V70">
        <v>-178</v>
      </c>
      <c r="W70">
        <v>-0.57999999999999996</v>
      </c>
      <c r="X70">
        <v>-1465702</v>
      </c>
      <c r="Y70" s="3" t="s">
        <v>31</v>
      </c>
      <c r="Z70">
        <v>104.688</v>
      </c>
      <c r="AA70">
        <v>-1400000</v>
      </c>
      <c r="AB70" s="3" t="s">
        <v>9</v>
      </c>
      <c r="AC70" s="3" t="s">
        <v>10</v>
      </c>
      <c r="AD70">
        <v>-1471139</v>
      </c>
      <c r="AE70">
        <v>1471139</v>
      </c>
      <c r="AF70" s="3" t="s">
        <v>640</v>
      </c>
    </row>
    <row r="71" spans="1:32" x14ac:dyDescent="0.35">
      <c r="A71" s="3" t="s">
        <v>608</v>
      </c>
      <c r="B71" s="3" t="s">
        <v>608</v>
      </c>
      <c r="C71" s="3" t="s">
        <v>608</v>
      </c>
      <c r="D71" s="3" t="s">
        <v>608</v>
      </c>
      <c r="E71" s="3" t="s">
        <v>608</v>
      </c>
      <c r="F71" s="3" t="s">
        <v>143</v>
      </c>
      <c r="G71" s="3" t="s">
        <v>143</v>
      </c>
      <c r="H71" s="3" t="s">
        <v>144</v>
      </c>
      <c r="I71" s="3" t="s">
        <v>145</v>
      </c>
      <c r="J71" s="3" t="s">
        <v>4</v>
      </c>
      <c r="K71" s="3" t="s">
        <v>700</v>
      </c>
      <c r="L71" s="3" t="s">
        <v>30</v>
      </c>
      <c r="M71" s="3" t="s">
        <v>14</v>
      </c>
      <c r="N71">
        <v>-3000000</v>
      </c>
      <c r="O71">
        <v>117.423</v>
      </c>
      <c r="P71">
        <v>49</v>
      </c>
      <c r="Q71">
        <v>-9600</v>
      </c>
      <c r="R71">
        <v>-154</v>
      </c>
      <c r="S71" s="3" t="s">
        <v>7</v>
      </c>
      <c r="T71">
        <v>-3670</v>
      </c>
      <c r="U71">
        <v>-3716</v>
      </c>
      <c r="V71">
        <v>-1814</v>
      </c>
      <c r="W71">
        <v>-5.85</v>
      </c>
      <c r="X71">
        <v>-3522690</v>
      </c>
      <c r="Y71" s="3" t="s">
        <v>31</v>
      </c>
      <c r="Z71">
        <v>117.10299999999999</v>
      </c>
      <c r="AA71">
        <v>-3000000</v>
      </c>
      <c r="AB71" s="3" t="s">
        <v>9</v>
      </c>
      <c r="AC71" s="3" t="s">
        <v>10</v>
      </c>
      <c r="AD71">
        <v>-3557365</v>
      </c>
      <c r="AE71">
        <v>3557365</v>
      </c>
      <c r="AF71" s="3" t="s">
        <v>640</v>
      </c>
    </row>
    <row r="72" spans="1:32" x14ac:dyDescent="0.35">
      <c r="A72" s="3" t="s">
        <v>608</v>
      </c>
      <c r="B72" s="3" t="s">
        <v>608</v>
      </c>
      <c r="C72" s="3" t="s">
        <v>608</v>
      </c>
      <c r="D72" s="3" t="s">
        <v>608</v>
      </c>
      <c r="E72" s="3" t="s">
        <v>608</v>
      </c>
      <c r="F72" s="3" t="s">
        <v>146</v>
      </c>
      <c r="G72" s="3" t="s">
        <v>146</v>
      </c>
      <c r="H72" s="3" t="s">
        <v>147</v>
      </c>
      <c r="I72" s="3" t="s">
        <v>145</v>
      </c>
      <c r="J72" s="3" t="s">
        <v>4</v>
      </c>
      <c r="K72" s="3" t="s">
        <v>701</v>
      </c>
      <c r="L72" s="3" t="s">
        <v>30</v>
      </c>
      <c r="M72" s="3" t="s">
        <v>14</v>
      </c>
      <c r="N72">
        <v>-1535000</v>
      </c>
      <c r="O72">
        <v>109.423</v>
      </c>
      <c r="P72">
        <v>34</v>
      </c>
      <c r="Q72">
        <v>-1182</v>
      </c>
      <c r="R72">
        <v>-53</v>
      </c>
      <c r="S72" s="3" t="s">
        <v>7</v>
      </c>
      <c r="T72">
        <v>-1210</v>
      </c>
      <c r="U72">
        <v>-1223</v>
      </c>
      <c r="V72">
        <v>-415</v>
      </c>
      <c r="W72">
        <v>-1.34</v>
      </c>
      <c r="X72">
        <v>-1679643</v>
      </c>
      <c r="Y72" s="3" t="s">
        <v>31</v>
      </c>
      <c r="Z72">
        <v>109.346</v>
      </c>
      <c r="AA72">
        <v>-1535000</v>
      </c>
      <c r="AB72" s="3" t="s">
        <v>9</v>
      </c>
      <c r="AC72" s="3" t="s">
        <v>10</v>
      </c>
      <c r="AD72">
        <v>-1689631</v>
      </c>
      <c r="AE72">
        <v>1689631</v>
      </c>
      <c r="AF72" s="3" t="s">
        <v>640</v>
      </c>
    </row>
    <row r="73" spans="1:32" x14ac:dyDescent="0.35">
      <c r="A73" s="3" t="s">
        <v>608</v>
      </c>
      <c r="B73" s="3" t="s">
        <v>608</v>
      </c>
      <c r="C73" s="3" t="s">
        <v>608</v>
      </c>
      <c r="D73" s="3" t="s">
        <v>608</v>
      </c>
      <c r="E73" s="3" t="s">
        <v>608</v>
      </c>
      <c r="F73" s="3" t="s">
        <v>148</v>
      </c>
      <c r="G73" s="3" t="s">
        <v>148</v>
      </c>
      <c r="H73" s="3" t="s">
        <v>149</v>
      </c>
      <c r="I73" s="3" t="s">
        <v>145</v>
      </c>
      <c r="J73" s="3" t="s">
        <v>4</v>
      </c>
      <c r="K73" s="3" t="s">
        <v>702</v>
      </c>
      <c r="L73" s="3" t="s">
        <v>30</v>
      </c>
      <c r="M73" s="3" t="s">
        <v>14</v>
      </c>
      <c r="N73">
        <v>3000000</v>
      </c>
      <c r="O73">
        <v>114.78100000000001</v>
      </c>
      <c r="P73">
        <v>19</v>
      </c>
      <c r="Q73">
        <v>1020</v>
      </c>
      <c r="R73">
        <v>205</v>
      </c>
      <c r="S73" s="3" t="s">
        <v>7</v>
      </c>
      <c r="T73">
        <v>1757</v>
      </c>
      <c r="U73">
        <v>1775</v>
      </c>
      <c r="V73">
        <v>341</v>
      </c>
      <c r="W73">
        <v>1.1000000000000001</v>
      </c>
      <c r="X73">
        <v>3443430</v>
      </c>
      <c r="Y73" s="3" t="s">
        <v>31</v>
      </c>
      <c r="Z73">
        <v>114.747</v>
      </c>
      <c r="AA73">
        <v>3000000</v>
      </c>
      <c r="AB73" s="3" t="s">
        <v>9</v>
      </c>
      <c r="AC73" s="3" t="s">
        <v>10</v>
      </c>
      <c r="AD73">
        <v>3492540</v>
      </c>
      <c r="AE73">
        <v>3492540</v>
      </c>
      <c r="AF73" s="3" t="s">
        <v>640</v>
      </c>
    </row>
    <row r="74" spans="1:32" x14ac:dyDescent="0.35">
      <c r="A74" s="3" t="s">
        <v>608</v>
      </c>
      <c r="B74" s="3" t="s">
        <v>608</v>
      </c>
      <c r="C74" s="3" t="s">
        <v>608</v>
      </c>
      <c r="D74" s="3" t="s">
        <v>608</v>
      </c>
      <c r="E74" s="3" t="s">
        <v>608</v>
      </c>
      <c r="F74" s="3" t="s">
        <v>888</v>
      </c>
      <c r="G74" s="3" t="s">
        <v>888</v>
      </c>
      <c r="H74" s="3" t="s">
        <v>889</v>
      </c>
      <c r="I74" s="3" t="s">
        <v>890</v>
      </c>
      <c r="J74" s="3" t="s">
        <v>4</v>
      </c>
      <c r="K74" s="3" t="s">
        <v>770</v>
      </c>
      <c r="L74" s="3" t="s">
        <v>30</v>
      </c>
      <c r="M74" s="3" t="s">
        <v>14</v>
      </c>
      <c r="N74">
        <v>-1000000</v>
      </c>
      <c r="O74">
        <v>106.529</v>
      </c>
      <c r="P74">
        <v>88</v>
      </c>
      <c r="Q74">
        <v>-670</v>
      </c>
      <c r="R74">
        <v>-51</v>
      </c>
      <c r="S74" s="3" t="s">
        <v>7</v>
      </c>
      <c r="T74">
        <v>-465</v>
      </c>
      <c r="U74">
        <v>-470</v>
      </c>
      <c r="V74">
        <v>-413</v>
      </c>
      <c r="W74">
        <v>-1.33</v>
      </c>
      <c r="X74">
        <v>-1065290</v>
      </c>
      <c r="Y74" s="3" t="s">
        <v>31</v>
      </c>
      <c r="Z74">
        <v>106.462</v>
      </c>
      <c r="AA74">
        <v>-1000000</v>
      </c>
      <c r="AB74" s="3" t="s">
        <v>9</v>
      </c>
      <c r="AC74" s="3" t="s">
        <v>10</v>
      </c>
      <c r="AD74">
        <v>-1074228</v>
      </c>
      <c r="AE74">
        <v>1074228</v>
      </c>
      <c r="AF74" s="3" t="s">
        <v>640</v>
      </c>
    </row>
    <row r="75" spans="1:32" x14ac:dyDescent="0.35">
      <c r="A75" s="3" t="s">
        <v>608</v>
      </c>
      <c r="B75" s="3" t="s">
        <v>608</v>
      </c>
      <c r="C75" s="3" t="s">
        <v>608</v>
      </c>
      <c r="D75" s="3" t="s">
        <v>608</v>
      </c>
      <c r="E75" s="3" t="s">
        <v>608</v>
      </c>
      <c r="F75" s="3" t="s">
        <v>1662</v>
      </c>
      <c r="G75" s="3" t="s">
        <v>1662</v>
      </c>
      <c r="H75" s="3" t="s">
        <v>1701</v>
      </c>
      <c r="I75" s="3" t="s">
        <v>1665</v>
      </c>
      <c r="J75" s="3" t="s">
        <v>4</v>
      </c>
      <c r="K75" s="3" t="s">
        <v>640</v>
      </c>
      <c r="L75" s="3" t="s">
        <v>30</v>
      </c>
      <c r="M75" s="3" t="s">
        <v>14</v>
      </c>
      <c r="N75">
        <v>0</v>
      </c>
      <c r="O75">
        <v>100</v>
      </c>
      <c r="P75">
        <v>281</v>
      </c>
      <c r="Q75">
        <v>0</v>
      </c>
      <c r="R75">
        <v>0</v>
      </c>
      <c r="S75" s="3" t="s">
        <v>7</v>
      </c>
      <c r="T75">
        <v>0</v>
      </c>
      <c r="U75">
        <v>0</v>
      </c>
      <c r="V75">
        <v>0</v>
      </c>
      <c r="W75">
        <v>0</v>
      </c>
      <c r="X75">
        <v>0</v>
      </c>
      <c r="Y75" s="3" t="s">
        <v>640</v>
      </c>
      <c r="Z75">
        <v>100</v>
      </c>
      <c r="AA75">
        <v>1000000</v>
      </c>
      <c r="AB75" s="3" t="s">
        <v>9</v>
      </c>
      <c r="AC75" s="3" t="s">
        <v>10</v>
      </c>
      <c r="AD75">
        <v>0</v>
      </c>
      <c r="AE75">
        <v>0</v>
      </c>
      <c r="AF75" s="3" t="s">
        <v>640</v>
      </c>
    </row>
    <row r="76" spans="1:32" x14ac:dyDescent="0.35">
      <c r="A76" s="3" t="s">
        <v>608</v>
      </c>
      <c r="B76" s="3" t="s">
        <v>608</v>
      </c>
      <c r="C76" s="3" t="s">
        <v>608</v>
      </c>
      <c r="D76" s="3" t="s">
        <v>608</v>
      </c>
      <c r="E76" s="3" t="s">
        <v>608</v>
      </c>
      <c r="F76" s="3" t="s">
        <v>155</v>
      </c>
      <c r="G76" s="3" t="s">
        <v>155</v>
      </c>
      <c r="H76" s="3" t="s">
        <v>156</v>
      </c>
      <c r="I76" s="3" t="s">
        <v>157</v>
      </c>
      <c r="J76" s="3" t="s">
        <v>4</v>
      </c>
      <c r="K76" s="3" t="s">
        <v>705</v>
      </c>
      <c r="L76" s="3" t="s">
        <v>30</v>
      </c>
      <c r="M76" s="3" t="s">
        <v>14</v>
      </c>
      <c r="N76">
        <v>5000000</v>
      </c>
      <c r="O76">
        <v>106.754</v>
      </c>
      <c r="P76">
        <v>28</v>
      </c>
      <c r="Q76">
        <v>3000</v>
      </c>
      <c r="R76">
        <v>137</v>
      </c>
      <c r="S76" s="3" t="s">
        <v>7</v>
      </c>
      <c r="T76">
        <v>3089</v>
      </c>
      <c r="U76">
        <v>3121</v>
      </c>
      <c r="V76">
        <v>870</v>
      </c>
      <c r="W76">
        <v>2.81</v>
      </c>
      <c r="X76">
        <v>5337700</v>
      </c>
      <c r="Y76" s="3" t="s">
        <v>31</v>
      </c>
      <c r="Z76">
        <v>106.694</v>
      </c>
      <c r="AA76">
        <v>5000000</v>
      </c>
      <c r="AB76" s="3" t="s">
        <v>9</v>
      </c>
      <c r="AC76" s="3" t="s">
        <v>10</v>
      </c>
      <c r="AD76">
        <v>5341810</v>
      </c>
      <c r="AE76">
        <v>5341810</v>
      </c>
      <c r="AF76" s="3" t="s">
        <v>640</v>
      </c>
    </row>
    <row r="77" spans="1:32" x14ac:dyDescent="0.35">
      <c r="A77" s="3" t="s">
        <v>608</v>
      </c>
      <c r="B77" s="3" t="s">
        <v>608</v>
      </c>
      <c r="C77" s="3" t="s">
        <v>608</v>
      </c>
      <c r="D77" s="3" t="s">
        <v>608</v>
      </c>
      <c r="E77" s="3" t="s">
        <v>608</v>
      </c>
      <c r="F77" s="3" t="s">
        <v>160</v>
      </c>
      <c r="G77" s="3" t="s">
        <v>160</v>
      </c>
      <c r="H77" s="3" t="s">
        <v>161</v>
      </c>
      <c r="I77" s="3" t="s">
        <v>162</v>
      </c>
      <c r="J77" s="3" t="s">
        <v>4</v>
      </c>
      <c r="K77" s="3" t="s">
        <v>707</v>
      </c>
      <c r="L77" s="3" t="s">
        <v>30</v>
      </c>
      <c r="M77" s="3" t="s">
        <v>14</v>
      </c>
      <c r="N77">
        <v>-2600000</v>
      </c>
      <c r="O77">
        <v>106.468</v>
      </c>
      <c r="P77">
        <v>145</v>
      </c>
      <c r="Q77">
        <v>-3172</v>
      </c>
      <c r="R77">
        <v>-142</v>
      </c>
      <c r="S77" s="3" t="s">
        <v>7</v>
      </c>
      <c r="T77">
        <v>-1960</v>
      </c>
      <c r="U77">
        <v>-1983</v>
      </c>
      <c r="V77">
        <v>-2884</v>
      </c>
      <c r="W77">
        <v>-9.3000000000000007</v>
      </c>
      <c r="X77">
        <v>-2768168</v>
      </c>
      <c r="Y77" s="3" t="s">
        <v>31</v>
      </c>
      <c r="Z77">
        <v>106.346</v>
      </c>
      <c r="AA77">
        <v>-2600000</v>
      </c>
      <c r="AB77" s="3" t="s">
        <v>9</v>
      </c>
      <c r="AC77" s="3" t="s">
        <v>10</v>
      </c>
      <c r="AD77">
        <v>-2787971</v>
      </c>
      <c r="AE77">
        <v>2787971</v>
      </c>
      <c r="AF77" s="3" t="s">
        <v>640</v>
      </c>
    </row>
    <row r="78" spans="1:32" x14ac:dyDescent="0.35">
      <c r="A78" s="3" t="s">
        <v>608</v>
      </c>
      <c r="B78" s="3" t="s">
        <v>608</v>
      </c>
      <c r="C78" s="3" t="s">
        <v>608</v>
      </c>
      <c r="D78" s="3" t="s">
        <v>608</v>
      </c>
      <c r="E78" s="3" t="s">
        <v>608</v>
      </c>
      <c r="F78" s="3" t="s">
        <v>1350</v>
      </c>
      <c r="G78" s="3" t="s">
        <v>1350</v>
      </c>
      <c r="H78" s="3" t="s">
        <v>1351</v>
      </c>
      <c r="I78" s="3" t="s">
        <v>165</v>
      </c>
      <c r="J78" s="3" t="s">
        <v>4</v>
      </c>
      <c r="K78" s="3" t="s">
        <v>1352</v>
      </c>
      <c r="L78" s="3" t="s">
        <v>30</v>
      </c>
      <c r="M78" s="3" t="s">
        <v>14</v>
      </c>
      <c r="N78">
        <v>-700000</v>
      </c>
      <c r="O78">
        <v>113.63200000000001</v>
      </c>
      <c r="P78">
        <v>60</v>
      </c>
      <c r="Q78">
        <v>-1288</v>
      </c>
      <c r="R78">
        <v>-31</v>
      </c>
      <c r="S78" s="3" t="s">
        <v>7</v>
      </c>
      <c r="T78">
        <v>-866</v>
      </c>
      <c r="U78">
        <v>-877</v>
      </c>
      <c r="V78">
        <v>-522</v>
      </c>
      <c r="W78">
        <v>-1.68</v>
      </c>
      <c r="X78">
        <v>-795424</v>
      </c>
      <c r="Y78" s="3" t="s">
        <v>31</v>
      </c>
      <c r="Z78">
        <v>113.44799999999999</v>
      </c>
      <c r="AA78">
        <v>-700000</v>
      </c>
      <c r="AB78" s="3" t="s">
        <v>9</v>
      </c>
      <c r="AC78" s="3" t="s">
        <v>10</v>
      </c>
      <c r="AD78">
        <v>-797232</v>
      </c>
      <c r="AE78">
        <v>797232</v>
      </c>
      <c r="AF78" s="3" t="s">
        <v>640</v>
      </c>
    </row>
    <row r="79" spans="1:32" x14ac:dyDescent="0.35">
      <c r="A79" s="3" t="s">
        <v>608</v>
      </c>
      <c r="B79" s="3" t="s">
        <v>608</v>
      </c>
      <c r="C79" s="3" t="s">
        <v>608</v>
      </c>
      <c r="D79" s="3" t="s">
        <v>608</v>
      </c>
      <c r="E79" s="3" t="s">
        <v>608</v>
      </c>
      <c r="F79" s="3" t="s">
        <v>604</v>
      </c>
      <c r="G79" s="3" t="s">
        <v>604</v>
      </c>
      <c r="H79" s="3" t="s">
        <v>605</v>
      </c>
      <c r="I79" s="3" t="s">
        <v>165</v>
      </c>
      <c r="J79" s="3" t="s">
        <v>4</v>
      </c>
      <c r="K79" s="3" t="s">
        <v>863</v>
      </c>
      <c r="L79" s="3" t="s">
        <v>30</v>
      </c>
      <c r="M79" s="3" t="s">
        <v>14</v>
      </c>
      <c r="N79">
        <v>2200000</v>
      </c>
      <c r="O79">
        <v>101.387</v>
      </c>
      <c r="P79">
        <v>55</v>
      </c>
      <c r="Q79">
        <v>3938</v>
      </c>
      <c r="R79">
        <v>30</v>
      </c>
      <c r="S79" s="3" t="s">
        <v>7</v>
      </c>
      <c r="T79">
        <v>2364</v>
      </c>
      <c r="U79">
        <v>2395</v>
      </c>
      <c r="V79">
        <v>1325</v>
      </c>
      <c r="W79">
        <v>4.2699999999999996</v>
      </c>
      <c r="X79">
        <v>2230514</v>
      </c>
      <c r="Y79" s="3" t="s">
        <v>31</v>
      </c>
      <c r="Z79">
        <v>101.208</v>
      </c>
      <c r="AA79">
        <v>2200000</v>
      </c>
      <c r="AB79" s="3" t="s">
        <v>9</v>
      </c>
      <c r="AC79" s="3" t="s">
        <v>10</v>
      </c>
      <c r="AD79">
        <v>2231569</v>
      </c>
      <c r="AE79">
        <v>2231569</v>
      </c>
      <c r="AF79" s="3" t="s">
        <v>640</v>
      </c>
    </row>
    <row r="80" spans="1:32" x14ac:dyDescent="0.35">
      <c r="A80" s="3" t="s">
        <v>608</v>
      </c>
      <c r="B80" s="3" t="s">
        <v>608</v>
      </c>
      <c r="C80" s="3" t="s">
        <v>608</v>
      </c>
      <c r="D80" s="3" t="s">
        <v>608</v>
      </c>
      <c r="E80" s="3" t="s">
        <v>608</v>
      </c>
      <c r="F80" s="3" t="s">
        <v>163</v>
      </c>
      <c r="G80" s="3" t="s">
        <v>163</v>
      </c>
      <c r="H80" s="3" t="s">
        <v>164</v>
      </c>
      <c r="I80" s="3" t="s">
        <v>165</v>
      </c>
      <c r="J80" s="3" t="s">
        <v>4</v>
      </c>
      <c r="K80" s="3" t="s">
        <v>708</v>
      </c>
      <c r="L80" s="3" t="s">
        <v>30</v>
      </c>
      <c r="M80" s="3" t="s">
        <v>14</v>
      </c>
      <c r="N80">
        <v>3000000</v>
      </c>
      <c r="O80">
        <v>110.569</v>
      </c>
      <c r="P80">
        <v>53</v>
      </c>
      <c r="Q80">
        <v>4380</v>
      </c>
      <c r="R80">
        <v>123</v>
      </c>
      <c r="S80" s="3" t="s">
        <v>7</v>
      </c>
      <c r="T80">
        <v>2633</v>
      </c>
      <c r="U80">
        <v>2664</v>
      </c>
      <c r="V80">
        <v>1422</v>
      </c>
      <c r="W80">
        <v>4.59</v>
      </c>
      <c r="X80">
        <v>3317070</v>
      </c>
      <c r="Y80" s="3" t="s">
        <v>31</v>
      </c>
      <c r="Z80">
        <v>110.423</v>
      </c>
      <c r="AA80">
        <v>3000000</v>
      </c>
      <c r="AB80" s="3" t="s">
        <v>9</v>
      </c>
      <c r="AC80" s="3" t="s">
        <v>10</v>
      </c>
      <c r="AD80">
        <v>3345303</v>
      </c>
      <c r="AE80">
        <v>3345303</v>
      </c>
      <c r="AF80" s="3" t="s">
        <v>640</v>
      </c>
    </row>
    <row r="81" spans="1:32" x14ac:dyDescent="0.35">
      <c r="A81" s="3" t="s">
        <v>608</v>
      </c>
      <c r="B81" s="3" t="s">
        <v>608</v>
      </c>
      <c r="C81" s="3" t="s">
        <v>608</v>
      </c>
      <c r="D81" s="3" t="s">
        <v>608</v>
      </c>
      <c r="E81" s="3" t="s">
        <v>608</v>
      </c>
      <c r="F81" s="3" t="s">
        <v>166</v>
      </c>
      <c r="G81" s="3" t="s">
        <v>166</v>
      </c>
      <c r="H81" s="3" t="s">
        <v>167</v>
      </c>
      <c r="I81" s="3" t="s">
        <v>165</v>
      </c>
      <c r="J81" s="3" t="s">
        <v>4</v>
      </c>
      <c r="K81" s="3" t="s">
        <v>709</v>
      </c>
      <c r="L81" s="3" t="s">
        <v>30</v>
      </c>
      <c r="M81" s="3" t="s">
        <v>14</v>
      </c>
      <c r="N81">
        <v>-2000000</v>
      </c>
      <c r="O81">
        <v>108.294</v>
      </c>
      <c r="P81">
        <v>48</v>
      </c>
      <c r="Q81">
        <v>-1280</v>
      </c>
      <c r="R81">
        <v>-96</v>
      </c>
      <c r="S81" s="3" t="s">
        <v>7</v>
      </c>
      <c r="T81">
        <v>-1009</v>
      </c>
      <c r="U81">
        <v>-1020</v>
      </c>
      <c r="V81">
        <v>-489</v>
      </c>
      <c r="W81">
        <v>-1.58</v>
      </c>
      <c r="X81">
        <v>-2165880</v>
      </c>
      <c r="Y81" s="3" t="s">
        <v>31</v>
      </c>
      <c r="Z81">
        <v>108.23</v>
      </c>
      <c r="AA81">
        <v>-2000000</v>
      </c>
      <c r="AB81" s="3" t="s">
        <v>9</v>
      </c>
      <c r="AC81" s="3" t="s">
        <v>10</v>
      </c>
      <c r="AD81">
        <v>-2172496</v>
      </c>
      <c r="AE81">
        <v>2172496</v>
      </c>
      <c r="AF81" s="3" t="s">
        <v>640</v>
      </c>
    </row>
    <row r="82" spans="1:32" x14ac:dyDescent="0.35">
      <c r="A82" s="3" t="s">
        <v>608</v>
      </c>
      <c r="B82" s="3" t="s">
        <v>608</v>
      </c>
      <c r="C82" s="3" t="s">
        <v>608</v>
      </c>
      <c r="D82" s="3" t="s">
        <v>608</v>
      </c>
      <c r="E82" s="3" t="s">
        <v>608</v>
      </c>
      <c r="F82" s="3" t="s">
        <v>168</v>
      </c>
      <c r="G82" s="3" t="s">
        <v>168</v>
      </c>
      <c r="H82" s="3" t="s">
        <v>169</v>
      </c>
      <c r="I82" s="3" t="s">
        <v>165</v>
      </c>
      <c r="J82" s="3" t="s">
        <v>4</v>
      </c>
      <c r="K82" s="3" t="s">
        <v>710</v>
      </c>
      <c r="L82" s="3" t="s">
        <v>30</v>
      </c>
      <c r="M82" s="3" t="s">
        <v>14</v>
      </c>
      <c r="N82">
        <v>-5300000</v>
      </c>
      <c r="O82">
        <v>104.408</v>
      </c>
      <c r="P82">
        <v>46</v>
      </c>
      <c r="Q82">
        <v>-2756</v>
      </c>
      <c r="R82">
        <v>-145</v>
      </c>
      <c r="S82" s="3" t="s">
        <v>7</v>
      </c>
      <c r="T82">
        <v>-2380</v>
      </c>
      <c r="U82">
        <v>-2404</v>
      </c>
      <c r="V82">
        <v>-1107</v>
      </c>
      <c r="W82">
        <v>-3.57</v>
      </c>
      <c r="X82">
        <v>-5533624</v>
      </c>
      <c r="Y82" s="3" t="s">
        <v>31</v>
      </c>
      <c r="Z82">
        <v>104.35599999999999</v>
      </c>
      <c r="AA82">
        <v>-5300000</v>
      </c>
      <c r="AB82" s="3" t="s">
        <v>9</v>
      </c>
      <c r="AC82" s="3" t="s">
        <v>10</v>
      </c>
      <c r="AD82">
        <v>-5566876</v>
      </c>
      <c r="AE82">
        <v>5566876</v>
      </c>
      <c r="AF82" s="3" t="s">
        <v>640</v>
      </c>
    </row>
    <row r="83" spans="1:32" x14ac:dyDescent="0.35">
      <c r="A83" s="3" t="s">
        <v>608</v>
      </c>
      <c r="B83" s="3" t="s">
        <v>608</v>
      </c>
      <c r="C83" s="3" t="s">
        <v>608</v>
      </c>
      <c r="D83" s="3" t="s">
        <v>608</v>
      </c>
      <c r="E83" s="3" t="s">
        <v>608</v>
      </c>
      <c r="F83" s="3" t="s">
        <v>170</v>
      </c>
      <c r="G83" s="3" t="s">
        <v>170</v>
      </c>
      <c r="H83" s="3" t="s">
        <v>171</v>
      </c>
      <c r="I83" s="3" t="s">
        <v>172</v>
      </c>
      <c r="J83" s="3" t="s">
        <v>4</v>
      </c>
      <c r="K83" s="3" t="s">
        <v>711</v>
      </c>
      <c r="L83" s="3" t="s">
        <v>30</v>
      </c>
      <c r="M83" s="3" t="s">
        <v>14</v>
      </c>
      <c r="N83">
        <v>9019000</v>
      </c>
      <c r="O83">
        <v>108.354</v>
      </c>
      <c r="P83">
        <v>45</v>
      </c>
      <c r="Q83">
        <v>22908</v>
      </c>
      <c r="R83">
        <v>247</v>
      </c>
      <c r="S83" s="3" t="s">
        <v>7</v>
      </c>
      <c r="T83">
        <v>12669</v>
      </c>
      <c r="U83">
        <v>12841</v>
      </c>
      <c r="V83">
        <v>5803</v>
      </c>
      <c r="W83">
        <v>18.72</v>
      </c>
      <c r="X83">
        <v>9772447</v>
      </c>
      <c r="Y83" s="3" t="s">
        <v>31</v>
      </c>
      <c r="Z83">
        <v>108.1</v>
      </c>
      <c r="AA83">
        <v>9019000</v>
      </c>
      <c r="AB83" s="3" t="s">
        <v>9</v>
      </c>
      <c r="AC83" s="3" t="s">
        <v>10</v>
      </c>
      <c r="AD83">
        <v>9789003</v>
      </c>
      <c r="AE83">
        <v>9789003</v>
      </c>
      <c r="AF83" s="3" t="s">
        <v>640</v>
      </c>
    </row>
    <row r="84" spans="1:32" x14ac:dyDescent="0.35">
      <c r="A84" s="3" t="s">
        <v>608</v>
      </c>
      <c r="B84" s="3" t="s">
        <v>608</v>
      </c>
      <c r="C84" s="3" t="s">
        <v>608</v>
      </c>
      <c r="D84" s="3" t="s">
        <v>608</v>
      </c>
      <c r="E84" s="3" t="s">
        <v>608</v>
      </c>
      <c r="F84" s="3" t="s">
        <v>173</v>
      </c>
      <c r="G84" s="3" t="s">
        <v>173</v>
      </c>
      <c r="H84" s="3" t="s">
        <v>174</v>
      </c>
      <c r="I84" s="3" t="s">
        <v>172</v>
      </c>
      <c r="J84" s="3" t="s">
        <v>4</v>
      </c>
      <c r="K84" s="3" t="s">
        <v>712</v>
      </c>
      <c r="L84" s="3" t="s">
        <v>30</v>
      </c>
      <c r="M84" s="3" t="s">
        <v>14</v>
      </c>
      <c r="N84">
        <v>-5651000</v>
      </c>
      <c r="O84">
        <v>106.66</v>
      </c>
      <c r="P84">
        <v>32</v>
      </c>
      <c r="Q84">
        <v>-2712</v>
      </c>
      <c r="R84">
        <v>-194</v>
      </c>
      <c r="S84" s="3" t="s">
        <v>7</v>
      </c>
      <c r="T84">
        <v>-2817</v>
      </c>
      <c r="U84">
        <v>-2846</v>
      </c>
      <c r="V84">
        <v>-902</v>
      </c>
      <c r="W84">
        <v>-2.91</v>
      </c>
      <c r="X84">
        <v>-6027357</v>
      </c>
      <c r="Y84" s="3" t="s">
        <v>31</v>
      </c>
      <c r="Z84">
        <v>106.61199999999999</v>
      </c>
      <c r="AA84">
        <v>-5651000</v>
      </c>
      <c r="AB84" s="3" t="s">
        <v>9</v>
      </c>
      <c r="AC84" s="3" t="s">
        <v>10</v>
      </c>
      <c r="AD84">
        <v>-6043226</v>
      </c>
      <c r="AE84">
        <v>6043226</v>
      </c>
      <c r="AF84" s="3" t="s">
        <v>640</v>
      </c>
    </row>
    <row r="85" spans="1:32" x14ac:dyDescent="0.35">
      <c r="A85" s="3" t="s">
        <v>608</v>
      </c>
      <c r="B85" s="3" t="s">
        <v>608</v>
      </c>
      <c r="C85" s="3" t="s">
        <v>608</v>
      </c>
      <c r="D85" s="3" t="s">
        <v>608</v>
      </c>
      <c r="E85" s="3" t="s">
        <v>608</v>
      </c>
      <c r="F85" s="3" t="s">
        <v>1379</v>
      </c>
      <c r="G85" s="3" t="s">
        <v>1379</v>
      </c>
      <c r="H85" s="3" t="s">
        <v>1380</v>
      </c>
      <c r="I85" s="3" t="s">
        <v>388</v>
      </c>
      <c r="J85" s="3" t="s">
        <v>4</v>
      </c>
      <c r="K85" s="3" t="s">
        <v>1398</v>
      </c>
      <c r="L85" s="3" t="s">
        <v>30</v>
      </c>
      <c r="M85" s="3" t="s">
        <v>14</v>
      </c>
      <c r="N85">
        <v>-1400000</v>
      </c>
      <c r="O85">
        <v>105.544</v>
      </c>
      <c r="P85">
        <v>46</v>
      </c>
      <c r="Q85">
        <v>-1036</v>
      </c>
      <c r="R85">
        <v>-48</v>
      </c>
      <c r="S85" s="3" t="s">
        <v>7</v>
      </c>
      <c r="T85">
        <v>-638</v>
      </c>
      <c r="U85">
        <v>-644</v>
      </c>
      <c r="V85">
        <v>-296</v>
      </c>
      <c r="W85">
        <v>-0.96</v>
      </c>
      <c r="X85">
        <v>-1477616</v>
      </c>
      <c r="Y85" s="3" t="s">
        <v>31</v>
      </c>
      <c r="Z85">
        <v>105.47</v>
      </c>
      <c r="AA85">
        <v>-1400000</v>
      </c>
      <c r="AB85" s="3" t="s">
        <v>9</v>
      </c>
      <c r="AC85" s="3" t="s">
        <v>10</v>
      </c>
      <c r="AD85">
        <v>-1487972</v>
      </c>
      <c r="AE85">
        <v>1487972</v>
      </c>
      <c r="AF85" s="3" t="s">
        <v>640</v>
      </c>
    </row>
    <row r="86" spans="1:32" x14ac:dyDescent="0.35">
      <c r="A86" s="3" t="s">
        <v>608</v>
      </c>
      <c r="B86" s="3" t="s">
        <v>608</v>
      </c>
      <c r="C86" s="3" t="s">
        <v>608</v>
      </c>
      <c r="D86" s="3" t="s">
        <v>608</v>
      </c>
      <c r="E86" s="3" t="s">
        <v>608</v>
      </c>
      <c r="F86" s="3" t="s">
        <v>175</v>
      </c>
      <c r="G86" s="3" t="s">
        <v>175</v>
      </c>
      <c r="H86" s="3" t="s">
        <v>176</v>
      </c>
      <c r="I86" s="3" t="s">
        <v>177</v>
      </c>
      <c r="J86" s="3" t="s">
        <v>4</v>
      </c>
      <c r="K86" s="3" t="s">
        <v>713</v>
      </c>
      <c r="L86" s="3" t="s">
        <v>30</v>
      </c>
      <c r="M86" s="3" t="s">
        <v>14</v>
      </c>
      <c r="N86">
        <v>-174000</v>
      </c>
      <c r="O86">
        <v>104.372</v>
      </c>
      <c r="P86">
        <v>47</v>
      </c>
      <c r="Q86">
        <v>-17</v>
      </c>
      <c r="R86">
        <v>-7</v>
      </c>
      <c r="S86" s="3" t="s">
        <v>7</v>
      </c>
      <c r="T86">
        <v>-51</v>
      </c>
      <c r="U86">
        <v>-51</v>
      </c>
      <c r="V86">
        <v>-24</v>
      </c>
      <c r="W86">
        <v>-0.08</v>
      </c>
      <c r="X86">
        <v>-181607</v>
      </c>
      <c r="Y86" s="3" t="s">
        <v>31</v>
      </c>
      <c r="Z86">
        <v>104.36199999999999</v>
      </c>
      <c r="AA86">
        <v>-174000</v>
      </c>
      <c r="AB86" s="3" t="s">
        <v>9</v>
      </c>
      <c r="AC86" s="3" t="s">
        <v>10</v>
      </c>
      <c r="AD86">
        <v>-182022</v>
      </c>
      <c r="AE86">
        <v>182022</v>
      </c>
      <c r="AF86" s="3" t="s">
        <v>640</v>
      </c>
    </row>
    <row r="87" spans="1:32" x14ac:dyDescent="0.35">
      <c r="A87" s="3" t="s">
        <v>608</v>
      </c>
      <c r="B87" s="3" t="s">
        <v>608</v>
      </c>
      <c r="C87" s="3" t="s">
        <v>608</v>
      </c>
      <c r="D87" s="3" t="s">
        <v>608</v>
      </c>
      <c r="E87" s="3" t="s">
        <v>608</v>
      </c>
      <c r="F87" s="3" t="s">
        <v>178</v>
      </c>
      <c r="G87" s="3" t="s">
        <v>178</v>
      </c>
      <c r="H87" s="3" t="s">
        <v>179</v>
      </c>
      <c r="I87" s="3" t="s">
        <v>180</v>
      </c>
      <c r="J87" s="3" t="s">
        <v>4</v>
      </c>
      <c r="K87" s="3" t="s">
        <v>714</v>
      </c>
      <c r="L87" s="3" t="s">
        <v>30</v>
      </c>
      <c r="M87" s="3" t="s">
        <v>14</v>
      </c>
      <c r="N87">
        <v>-1285000</v>
      </c>
      <c r="O87">
        <v>104.815</v>
      </c>
      <c r="P87">
        <v>35</v>
      </c>
      <c r="Q87">
        <v>-630</v>
      </c>
      <c r="R87">
        <v>-31</v>
      </c>
      <c r="S87" s="3" t="s">
        <v>7</v>
      </c>
      <c r="T87">
        <v>-654</v>
      </c>
      <c r="U87">
        <v>-660</v>
      </c>
      <c r="V87">
        <v>-233</v>
      </c>
      <c r="W87">
        <v>-0.75</v>
      </c>
      <c r="X87">
        <v>-1346873</v>
      </c>
      <c r="Y87" s="3" t="s">
        <v>31</v>
      </c>
      <c r="Z87">
        <v>104.76600000000001</v>
      </c>
      <c r="AA87">
        <v>-1285000</v>
      </c>
      <c r="AB87" s="3" t="s">
        <v>9</v>
      </c>
      <c r="AC87" s="3" t="s">
        <v>10</v>
      </c>
      <c r="AD87">
        <v>-1347643</v>
      </c>
      <c r="AE87">
        <v>1347643</v>
      </c>
      <c r="AF87" s="3" t="s">
        <v>640</v>
      </c>
    </row>
    <row r="88" spans="1:32" x14ac:dyDescent="0.35">
      <c r="A88" s="3" t="s">
        <v>608</v>
      </c>
      <c r="B88" s="3" t="s">
        <v>608</v>
      </c>
      <c r="C88" s="3" t="s">
        <v>608</v>
      </c>
      <c r="D88" s="3" t="s">
        <v>608</v>
      </c>
      <c r="E88" s="3" t="s">
        <v>608</v>
      </c>
      <c r="F88" s="3" t="s">
        <v>1453</v>
      </c>
      <c r="G88" s="3" t="s">
        <v>1453</v>
      </c>
      <c r="H88" s="3" t="s">
        <v>1455</v>
      </c>
      <c r="I88" s="3" t="s">
        <v>395</v>
      </c>
      <c r="J88" s="3" t="s">
        <v>4</v>
      </c>
      <c r="K88" s="3" t="s">
        <v>1456</v>
      </c>
      <c r="L88" s="3" t="s">
        <v>30</v>
      </c>
      <c r="M88" s="3" t="s">
        <v>14</v>
      </c>
      <c r="N88">
        <v>3000000</v>
      </c>
      <c r="O88">
        <v>160.82400000000001</v>
      </c>
      <c r="P88">
        <v>85</v>
      </c>
      <c r="Q88">
        <v>8370</v>
      </c>
      <c r="R88">
        <v>482</v>
      </c>
      <c r="S88" s="3" t="s">
        <v>7</v>
      </c>
      <c r="T88">
        <v>4698</v>
      </c>
      <c r="U88">
        <v>4750</v>
      </c>
      <c r="V88">
        <v>4031</v>
      </c>
      <c r="W88">
        <v>13</v>
      </c>
      <c r="X88">
        <v>4824720</v>
      </c>
      <c r="Y88" s="3" t="s">
        <v>31</v>
      </c>
      <c r="Z88">
        <v>160.54499999999999</v>
      </c>
      <c r="AA88">
        <v>3000000</v>
      </c>
      <c r="AB88" s="3" t="s">
        <v>9</v>
      </c>
      <c r="AC88" s="3" t="s">
        <v>10</v>
      </c>
      <c r="AD88">
        <v>4958593</v>
      </c>
      <c r="AE88">
        <v>4958593</v>
      </c>
      <c r="AF88" s="3" t="s">
        <v>640</v>
      </c>
    </row>
    <row r="89" spans="1:32" x14ac:dyDescent="0.35">
      <c r="A89" s="3" t="s">
        <v>608</v>
      </c>
      <c r="B89" s="3" t="s">
        <v>608</v>
      </c>
      <c r="C89" s="3" t="s">
        <v>608</v>
      </c>
      <c r="D89" s="3" t="s">
        <v>608</v>
      </c>
      <c r="E89" s="3" t="s">
        <v>608</v>
      </c>
      <c r="F89" s="3" t="s">
        <v>1449</v>
      </c>
      <c r="G89" s="3" t="s">
        <v>1449</v>
      </c>
      <c r="H89" s="3" t="s">
        <v>1451</v>
      </c>
      <c r="I89" s="3" t="s">
        <v>395</v>
      </c>
      <c r="J89" s="3" t="s">
        <v>4</v>
      </c>
      <c r="K89" s="3" t="s">
        <v>1452</v>
      </c>
      <c r="L89" s="3" t="s">
        <v>30</v>
      </c>
      <c r="M89" s="3" t="s">
        <v>14</v>
      </c>
      <c r="N89">
        <v>-2700000</v>
      </c>
      <c r="O89">
        <v>108.14700000000001</v>
      </c>
      <c r="P89">
        <v>53</v>
      </c>
      <c r="Q89">
        <v>-2835</v>
      </c>
      <c r="R89">
        <v>-107</v>
      </c>
      <c r="S89" s="3" t="s">
        <v>7</v>
      </c>
      <c r="T89">
        <v>-1739</v>
      </c>
      <c r="U89">
        <v>-1757</v>
      </c>
      <c r="V89">
        <v>-926</v>
      </c>
      <c r="W89">
        <v>-2.99</v>
      </c>
      <c r="X89">
        <v>-2919969</v>
      </c>
      <c r="Y89" s="3" t="s">
        <v>31</v>
      </c>
      <c r="Z89">
        <v>108.042</v>
      </c>
      <c r="AA89">
        <v>-2700000</v>
      </c>
      <c r="AB89" s="3" t="s">
        <v>9</v>
      </c>
      <c r="AC89" s="3" t="s">
        <v>10</v>
      </c>
      <c r="AD89">
        <v>-2952100</v>
      </c>
      <c r="AE89">
        <v>2952100</v>
      </c>
      <c r="AF89" s="3" t="s">
        <v>640</v>
      </c>
    </row>
    <row r="90" spans="1:32" x14ac:dyDescent="0.35">
      <c r="A90" s="3" t="s">
        <v>608</v>
      </c>
      <c r="B90" s="3" t="s">
        <v>608</v>
      </c>
      <c r="C90" s="3" t="s">
        <v>608</v>
      </c>
      <c r="D90" s="3" t="s">
        <v>608</v>
      </c>
      <c r="E90" s="3" t="s">
        <v>608</v>
      </c>
      <c r="F90" s="3" t="s">
        <v>1666</v>
      </c>
      <c r="G90" s="3" t="s">
        <v>1666</v>
      </c>
      <c r="H90" s="3" t="s">
        <v>1667</v>
      </c>
      <c r="I90" s="3" t="s">
        <v>183</v>
      </c>
      <c r="J90" s="3" t="s">
        <v>4</v>
      </c>
      <c r="K90" s="3" t="s">
        <v>640</v>
      </c>
      <c r="L90" s="3" t="s">
        <v>30</v>
      </c>
      <c r="M90" s="3" t="s">
        <v>14</v>
      </c>
      <c r="N90">
        <v>1500000</v>
      </c>
      <c r="O90">
        <v>99.36</v>
      </c>
      <c r="P90">
        <v>31</v>
      </c>
      <c r="Q90">
        <v>2085</v>
      </c>
      <c r="R90">
        <v>0</v>
      </c>
      <c r="S90" s="3" t="s">
        <v>7</v>
      </c>
      <c r="T90">
        <v>1773</v>
      </c>
      <c r="U90">
        <v>1797</v>
      </c>
      <c r="V90">
        <v>558</v>
      </c>
      <c r="W90">
        <v>1.8</v>
      </c>
      <c r="X90">
        <v>1490400</v>
      </c>
      <c r="Y90" s="3" t="s">
        <v>31</v>
      </c>
      <c r="Z90">
        <v>99.241</v>
      </c>
      <c r="AA90">
        <v>3000000</v>
      </c>
      <c r="AB90" s="3" t="s">
        <v>9</v>
      </c>
      <c r="AC90" s="3" t="s">
        <v>10</v>
      </c>
      <c r="AD90">
        <v>1490400</v>
      </c>
      <c r="AE90">
        <v>1490400</v>
      </c>
      <c r="AF90" s="3" t="s">
        <v>640</v>
      </c>
    </row>
    <row r="91" spans="1:32" x14ac:dyDescent="0.35">
      <c r="A91" s="3" t="s">
        <v>608</v>
      </c>
      <c r="B91" s="3" t="s">
        <v>608</v>
      </c>
      <c r="C91" s="3" t="s">
        <v>608</v>
      </c>
      <c r="D91" s="3" t="s">
        <v>608</v>
      </c>
      <c r="E91" s="3" t="s">
        <v>608</v>
      </c>
      <c r="F91" s="3" t="s">
        <v>1668</v>
      </c>
      <c r="G91" s="3" t="s">
        <v>1668</v>
      </c>
      <c r="H91" s="3" t="s">
        <v>1669</v>
      </c>
      <c r="I91" s="3" t="s">
        <v>183</v>
      </c>
      <c r="J91" s="3" t="s">
        <v>4</v>
      </c>
      <c r="K91" s="3" t="s">
        <v>640</v>
      </c>
      <c r="L91" s="3" t="s">
        <v>30</v>
      </c>
      <c r="M91" s="3" t="s">
        <v>14</v>
      </c>
      <c r="N91">
        <v>1000000</v>
      </c>
      <c r="O91">
        <v>99.724999999999994</v>
      </c>
      <c r="P91">
        <v>46</v>
      </c>
      <c r="Q91">
        <v>4160</v>
      </c>
      <c r="R91">
        <v>0</v>
      </c>
      <c r="S91" s="3" t="s">
        <v>7</v>
      </c>
      <c r="T91">
        <v>1893</v>
      </c>
      <c r="U91">
        <v>1922</v>
      </c>
      <c r="V91">
        <v>881</v>
      </c>
      <c r="W91">
        <v>2.84</v>
      </c>
      <c r="X91">
        <v>997250</v>
      </c>
      <c r="Y91" s="3" t="s">
        <v>31</v>
      </c>
      <c r="Z91">
        <v>99.432000000000002</v>
      </c>
      <c r="AA91">
        <v>2000000</v>
      </c>
      <c r="AB91" s="3" t="s">
        <v>9</v>
      </c>
      <c r="AC91" s="3" t="s">
        <v>10</v>
      </c>
      <c r="AD91">
        <v>997250</v>
      </c>
      <c r="AE91">
        <v>997250</v>
      </c>
      <c r="AF91" s="3" t="s">
        <v>640</v>
      </c>
    </row>
    <row r="92" spans="1:32" x14ac:dyDescent="0.35">
      <c r="A92" s="3" t="s">
        <v>608</v>
      </c>
      <c r="B92" s="3" t="s">
        <v>608</v>
      </c>
      <c r="C92" s="3" t="s">
        <v>608</v>
      </c>
      <c r="D92" s="3" t="s">
        <v>608</v>
      </c>
      <c r="E92" s="3" t="s">
        <v>608</v>
      </c>
      <c r="F92" s="3" t="s">
        <v>1384</v>
      </c>
      <c r="G92" s="3" t="s">
        <v>1384</v>
      </c>
      <c r="H92" s="3" t="s">
        <v>1385</v>
      </c>
      <c r="I92" s="3" t="s">
        <v>186</v>
      </c>
      <c r="J92" s="3" t="s">
        <v>4</v>
      </c>
      <c r="K92" s="3" t="s">
        <v>1386</v>
      </c>
      <c r="L92" s="3" t="s">
        <v>30</v>
      </c>
      <c r="M92" s="3" t="s">
        <v>14</v>
      </c>
      <c r="N92">
        <v>1000000</v>
      </c>
      <c r="O92">
        <v>116.752</v>
      </c>
      <c r="P92">
        <v>56</v>
      </c>
      <c r="Q92">
        <v>4590</v>
      </c>
      <c r="R92">
        <v>0</v>
      </c>
      <c r="S92" s="3" t="s">
        <v>7</v>
      </c>
      <c r="T92">
        <v>1912</v>
      </c>
      <c r="U92">
        <v>1938</v>
      </c>
      <c r="V92">
        <v>1085</v>
      </c>
      <c r="W92">
        <v>3.5</v>
      </c>
      <c r="X92">
        <v>1167520</v>
      </c>
      <c r="Y92" s="3" t="s">
        <v>31</v>
      </c>
      <c r="Z92">
        <v>116.29300000000001</v>
      </c>
      <c r="AA92">
        <v>1000000</v>
      </c>
      <c r="AB92" s="3" t="s">
        <v>9</v>
      </c>
      <c r="AC92" s="3" t="s">
        <v>10</v>
      </c>
      <c r="AD92">
        <v>1174711</v>
      </c>
      <c r="AE92">
        <v>1174711</v>
      </c>
      <c r="AF92" s="3" t="s">
        <v>640</v>
      </c>
    </row>
    <row r="93" spans="1:32" x14ac:dyDescent="0.35">
      <c r="A93" s="3" t="s">
        <v>608</v>
      </c>
      <c r="B93" s="3" t="s">
        <v>608</v>
      </c>
      <c r="C93" s="3" t="s">
        <v>608</v>
      </c>
      <c r="D93" s="3" t="s">
        <v>608</v>
      </c>
      <c r="E93" s="3" t="s">
        <v>608</v>
      </c>
      <c r="F93" s="3" t="s">
        <v>187</v>
      </c>
      <c r="G93" s="3" t="s">
        <v>187</v>
      </c>
      <c r="H93" s="3" t="s">
        <v>188</v>
      </c>
      <c r="I93" s="3" t="s">
        <v>186</v>
      </c>
      <c r="J93" s="3" t="s">
        <v>4</v>
      </c>
      <c r="K93" s="3" t="s">
        <v>717</v>
      </c>
      <c r="L93" s="3" t="s">
        <v>30</v>
      </c>
      <c r="M93" s="3" t="s">
        <v>14</v>
      </c>
      <c r="N93">
        <v>0</v>
      </c>
      <c r="O93">
        <v>105.574</v>
      </c>
      <c r="P93">
        <v>30</v>
      </c>
      <c r="Q93">
        <v>0</v>
      </c>
      <c r="R93">
        <v>19</v>
      </c>
      <c r="S93" s="3" t="s">
        <v>7</v>
      </c>
      <c r="T93">
        <v>0</v>
      </c>
      <c r="U93">
        <v>0</v>
      </c>
      <c r="V93">
        <v>0</v>
      </c>
      <c r="W93">
        <v>0</v>
      </c>
      <c r="X93">
        <v>0</v>
      </c>
      <c r="Y93" s="3" t="s">
        <v>31</v>
      </c>
      <c r="Z93">
        <v>105.574</v>
      </c>
      <c r="AA93">
        <v>0</v>
      </c>
      <c r="AB93" s="3" t="s">
        <v>9</v>
      </c>
      <c r="AC93" s="3" t="s">
        <v>10</v>
      </c>
      <c r="AD93">
        <v>0</v>
      </c>
      <c r="AE93">
        <v>0</v>
      </c>
      <c r="AF93" s="3" t="s">
        <v>640</v>
      </c>
    </row>
    <row r="94" spans="1:32" x14ac:dyDescent="0.35">
      <c r="A94" s="3" t="s">
        <v>608</v>
      </c>
      <c r="B94" s="3" t="s">
        <v>608</v>
      </c>
      <c r="C94" s="3" t="s">
        <v>608</v>
      </c>
      <c r="D94" s="3" t="s">
        <v>608</v>
      </c>
      <c r="E94" s="3" t="s">
        <v>608</v>
      </c>
      <c r="F94" s="3" t="s">
        <v>191</v>
      </c>
      <c r="G94" s="3" t="s">
        <v>191</v>
      </c>
      <c r="H94" s="3" t="s">
        <v>192</v>
      </c>
      <c r="I94" s="3" t="s">
        <v>186</v>
      </c>
      <c r="J94" s="3" t="s">
        <v>4</v>
      </c>
      <c r="K94" s="3" t="s">
        <v>719</v>
      </c>
      <c r="L94" s="3" t="s">
        <v>30</v>
      </c>
      <c r="M94" s="3" t="s">
        <v>14</v>
      </c>
      <c r="N94">
        <v>0</v>
      </c>
      <c r="O94">
        <v>107.46</v>
      </c>
      <c r="P94">
        <v>22</v>
      </c>
      <c r="Q94">
        <v>0</v>
      </c>
      <c r="R94">
        <v>0</v>
      </c>
      <c r="S94" s="3" t="s">
        <v>7</v>
      </c>
      <c r="T94">
        <v>0</v>
      </c>
      <c r="U94">
        <v>0</v>
      </c>
      <c r="V94">
        <v>0</v>
      </c>
      <c r="W94">
        <v>0</v>
      </c>
      <c r="X94">
        <v>0</v>
      </c>
      <c r="Y94" s="3" t="s">
        <v>31</v>
      </c>
      <c r="Z94">
        <v>107.46</v>
      </c>
      <c r="AA94">
        <v>0</v>
      </c>
      <c r="AB94" s="3" t="s">
        <v>9</v>
      </c>
      <c r="AC94" s="3" t="s">
        <v>10</v>
      </c>
      <c r="AD94">
        <v>0</v>
      </c>
      <c r="AE94">
        <v>0</v>
      </c>
      <c r="AF94" s="3" t="s">
        <v>640</v>
      </c>
    </row>
    <row r="95" spans="1:32" x14ac:dyDescent="0.35">
      <c r="A95" s="3" t="s">
        <v>608</v>
      </c>
      <c r="B95" s="3" t="s">
        <v>608</v>
      </c>
      <c r="C95" s="3" t="s">
        <v>608</v>
      </c>
      <c r="D95" s="3" t="s">
        <v>608</v>
      </c>
      <c r="E95" s="3" t="s">
        <v>608</v>
      </c>
      <c r="F95" s="3" t="s">
        <v>193</v>
      </c>
      <c r="G95" s="3" t="s">
        <v>193</v>
      </c>
      <c r="H95" s="3" t="s">
        <v>194</v>
      </c>
      <c r="I95" s="3" t="s">
        <v>186</v>
      </c>
      <c r="J95" s="3" t="s">
        <v>4</v>
      </c>
      <c r="K95" s="3" t="s">
        <v>720</v>
      </c>
      <c r="L95" s="3" t="s">
        <v>30</v>
      </c>
      <c r="M95" s="3" t="s">
        <v>14</v>
      </c>
      <c r="N95">
        <v>-900000</v>
      </c>
      <c r="O95">
        <v>115.23099999999999</v>
      </c>
      <c r="P95">
        <v>12</v>
      </c>
      <c r="Q95">
        <v>-306</v>
      </c>
      <c r="R95">
        <v>-62</v>
      </c>
      <c r="S95" s="3" t="s">
        <v>7</v>
      </c>
      <c r="T95">
        <v>-530</v>
      </c>
      <c r="U95">
        <v>-535</v>
      </c>
      <c r="V95">
        <v>-63</v>
      </c>
      <c r="W95">
        <v>-0.2</v>
      </c>
      <c r="X95">
        <v>-1037079</v>
      </c>
      <c r="Y95" s="3" t="s">
        <v>31</v>
      </c>
      <c r="Z95">
        <v>115.197</v>
      </c>
      <c r="AA95">
        <v>-900000</v>
      </c>
      <c r="AB95" s="3" t="s">
        <v>9</v>
      </c>
      <c r="AC95" s="3" t="s">
        <v>10</v>
      </c>
      <c r="AD95">
        <v>-1051750</v>
      </c>
      <c r="AE95">
        <v>1051750</v>
      </c>
      <c r="AF95" s="3" t="s">
        <v>640</v>
      </c>
    </row>
    <row r="96" spans="1:32" x14ac:dyDescent="0.35">
      <c r="A96" s="3" t="s">
        <v>608</v>
      </c>
      <c r="B96" s="3" t="s">
        <v>608</v>
      </c>
      <c r="C96" s="3" t="s">
        <v>608</v>
      </c>
      <c r="D96" s="3" t="s">
        <v>608</v>
      </c>
      <c r="E96" s="3" t="s">
        <v>608</v>
      </c>
      <c r="F96" s="3" t="s">
        <v>195</v>
      </c>
      <c r="G96" s="3" t="s">
        <v>195</v>
      </c>
      <c r="H96" s="3" t="s">
        <v>196</v>
      </c>
      <c r="I96" s="3" t="s">
        <v>186</v>
      </c>
      <c r="J96" s="3" t="s">
        <v>4</v>
      </c>
      <c r="K96" s="3" t="s">
        <v>721</v>
      </c>
      <c r="L96" s="3" t="s">
        <v>30</v>
      </c>
      <c r="M96" s="3" t="s">
        <v>14</v>
      </c>
      <c r="N96">
        <v>5000000</v>
      </c>
      <c r="O96">
        <v>107.59</v>
      </c>
      <c r="P96">
        <v>11</v>
      </c>
      <c r="Q96">
        <v>-1100</v>
      </c>
      <c r="R96">
        <v>188</v>
      </c>
      <c r="S96" s="3" t="s">
        <v>7</v>
      </c>
      <c r="T96">
        <v>2288</v>
      </c>
      <c r="U96">
        <v>2311</v>
      </c>
      <c r="V96">
        <v>252</v>
      </c>
      <c r="W96">
        <v>0.81</v>
      </c>
      <c r="X96">
        <v>5379500</v>
      </c>
      <c r="Y96" s="3" t="s">
        <v>31</v>
      </c>
      <c r="Z96">
        <v>107.61199999999999</v>
      </c>
      <c r="AA96">
        <v>5000000</v>
      </c>
      <c r="AB96" s="3" t="s">
        <v>9</v>
      </c>
      <c r="AC96" s="3" t="s">
        <v>10</v>
      </c>
      <c r="AD96">
        <v>5425459</v>
      </c>
      <c r="AE96">
        <v>5425459</v>
      </c>
      <c r="AF96" s="3" t="s">
        <v>640</v>
      </c>
    </row>
    <row r="97" spans="1:32" x14ac:dyDescent="0.35">
      <c r="A97" s="3" t="s">
        <v>608</v>
      </c>
      <c r="B97" s="3" t="s">
        <v>608</v>
      </c>
      <c r="C97" s="3" t="s">
        <v>608</v>
      </c>
      <c r="D97" s="3" t="s">
        <v>608</v>
      </c>
      <c r="E97" s="3" t="s">
        <v>608</v>
      </c>
      <c r="F97" s="3" t="s">
        <v>197</v>
      </c>
      <c r="G97" s="3" t="s">
        <v>197</v>
      </c>
      <c r="H97" s="3" t="s">
        <v>198</v>
      </c>
      <c r="I97" s="3" t="s">
        <v>199</v>
      </c>
      <c r="J97" s="3" t="s">
        <v>4</v>
      </c>
      <c r="K97" s="3" t="s">
        <v>722</v>
      </c>
      <c r="L97" s="3" t="s">
        <v>30</v>
      </c>
      <c r="M97" s="3" t="s">
        <v>14</v>
      </c>
      <c r="N97">
        <v>-317000</v>
      </c>
      <c r="O97">
        <v>105.69499999999999</v>
      </c>
      <c r="P97">
        <v>41</v>
      </c>
      <c r="Q97">
        <v>-894</v>
      </c>
      <c r="R97">
        <v>-7</v>
      </c>
      <c r="S97" s="3" t="s">
        <v>7</v>
      </c>
      <c r="T97">
        <v>-376</v>
      </c>
      <c r="U97">
        <v>-381</v>
      </c>
      <c r="V97">
        <v>-155</v>
      </c>
      <c r="W97">
        <v>-0.5</v>
      </c>
      <c r="X97">
        <v>-335053</v>
      </c>
      <c r="Y97" s="3" t="s">
        <v>31</v>
      </c>
      <c r="Z97">
        <v>105.413</v>
      </c>
      <c r="AA97">
        <v>-317000</v>
      </c>
      <c r="AB97" s="3" t="s">
        <v>9</v>
      </c>
      <c r="AC97" s="3" t="s">
        <v>10</v>
      </c>
      <c r="AD97">
        <v>-335815</v>
      </c>
      <c r="AE97">
        <v>335815</v>
      </c>
      <c r="AF97" s="3" t="s">
        <v>640</v>
      </c>
    </row>
    <row r="98" spans="1:32" x14ac:dyDescent="0.35">
      <c r="A98" s="3" t="s">
        <v>608</v>
      </c>
      <c r="B98" s="3" t="s">
        <v>608</v>
      </c>
      <c r="C98" s="3" t="s">
        <v>608</v>
      </c>
      <c r="D98" s="3" t="s">
        <v>608</v>
      </c>
      <c r="E98" s="3" t="s">
        <v>608</v>
      </c>
      <c r="F98" s="3" t="s">
        <v>1275</v>
      </c>
      <c r="G98" s="3" t="s">
        <v>1275</v>
      </c>
      <c r="H98" s="3" t="s">
        <v>1276</v>
      </c>
      <c r="I98" s="3" t="s">
        <v>199</v>
      </c>
      <c r="J98" s="3" t="s">
        <v>4</v>
      </c>
      <c r="K98" s="3" t="s">
        <v>1317</v>
      </c>
      <c r="L98" s="3" t="s">
        <v>30</v>
      </c>
      <c r="M98" s="3" t="s">
        <v>14</v>
      </c>
      <c r="N98">
        <v>0</v>
      </c>
      <c r="O98">
        <v>109.845</v>
      </c>
      <c r="P98">
        <v>29</v>
      </c>
      <c r="Q98">
        <v>3800</v>
      </c>
      <c r="R98">
        <v>75</v>
      </c>
      <c r="S98" s="3" t="s">
        <v>7</v>
      </c>
      <c r="T98">
        <v>0</v>
      </c>
      <c r="U98">
        <v>0</v>
      </c>
      <c r="V98">
        <v>0</v>
      </c>
      <c r="W98">
        <v>0</v>
      </c>
      <c r="X98">
        <v>0</v>
      </c>
      <c r="Y98" s="3" t="s">
        <v>31</v>
      </c>
      <c r="Z98">
        <v>109.655</v>
      </c>
      <c r="AA98">
        <v>2000000</v>
      </c>
      <c r="AB98" s="3" t="s">
        <v>9</v>
      </c>
      <c r="AC98" s="3" t="s">
        <v>10</v>
      </c>
      <c r="AD98">
        <v>-75</v>
      </c>
      <c r="AE98">
        <v>75</v>
      </c>
      <c r="AF98" s="3" t="s">
        <v>640</v>
      </c>
    </row>
    <row r="99" spans="1:32" x14ac:dyDescent="0.35">
      <c r="A99" s="3" t="s">
        <v>608</v>
      </c>
      <c r="B99" s="3" t="s">
        <v>608</v>
      </c>
      <c r="C99" s="3" t="s">
        <v>608</v>
      </c>
      <c r="D99" s="3" t="s">
        <v>608</v>
      </c>
      <c r="E99" s="3" t="s">
        <v>608</v>
      </c>
      <c r="F99" s="3" t="s">
        <v>1457</v>
      </c>
      <c r="G99" s="3" t="s">
        <v>1457</v>
      </c>
      <c r="H99" s="3" t="s">
        <v>1459</v>
      </c>
      <c r="I99" s="3" t="s">
        <v>199</v>
      </c>
      <c r="J99" s="3" t="s">
        <v>4</v>
      </c>
      <c r="K99" s="3" t="s">
        <v>1460</v>
      </c>
      <c r="L99" s="3" t="s">
        <v>30</v>
      </c>
      <c r="M99" s="3" t="s">
        <v>14</v>
      </c>
      <c r="N99">
        <v>1900000</v>
      </c>
      <c r="O99">
        <v>101.59</v>
      </c>
      <c r="P99">
        <v>25</v>
      </c>
      <c r="Q99">
        <v>836</v>
      </c>
      <c r="R99">
        <v>7</v>
      </c>
      <c r="S99" s="3" t="s">
        <v>7</v>
      </c>
      <c r="T99">
        <v>903</v>
      </c>
      <c r="U99">
        <v>912</v>
      </c>
      <c r="V99">
        <v>224</v>
      </c>
      <c r="W99">
        <v>0.72</v>
      </c>
      <c r="X99">
        <v>1930210</v>
      </c>
      <c r="Y99" s="3" t="s">
        <v>31</v>
      </c>
      <c r="Z99">
        <v>101.54600000000001</v>
      </c>
      <c r="AA99">
        <v>1900000</v>
      </c>
      <c r="AB99" s="3" t="s">
        <v>9</v>
      </c>
      <c r="AC99" s="3" t="s">
        <v>10</v>
      </c>
      <c r="AD99">
        <v>1930965</v>
      </c>
      <c r="AE99">
        <v>1930965</v>
      </c>
      <c r="AF99" s="3" t="s">
        <v>640</v>
      </c>
    </row>
    <row r="100" spans="1:32" x14ac:dyDescent="0.35">
      <c r="A100" s="3" t="s">
        <v>608</v>
      </c>
      <c r="B100" s="3" t="s">
        <v>608</v>
      </c>
      <c r="C100" s="3" t="s">
        <v>608</v>
      </c>
      <c r="D100" s="3" t="s">
        <v>608</v>
      </c>
      <c r="E100" s="3" t="s">
        <v>608</v>
      </c>
      <c r="F100" s="3" t="s">
        <v>205</v>
      </c>
      <c r="G100" s="3" t="s">
        <v>205</v>
      </c>
      <c r="H100" s="3" t="s">
        <v>206</v>
      </c>
      <c r="I100" s="3" t="s">
        <v>202</v>
      </c>
      <c r="J100" s="3" t="s">
        <v>4</v>
      </c>
      <c r="K100" s="3" t="s">
        <v>725</v>
      </c>
      <c r="L100" s="3" t="s">
        <v>30</v>
      </c>
      <c r="M100" s="3" t="s">
        <v>14</v>
      </c>
      <c r="N100">
        <v>-4000000</v>
      </c>
      <c r="O100">
        <v>112.093</v>
      </c>
      <c r="P100">
        <v>30</v>
      </c>
      <c r="Q100">
        <v>-5520</v>
      </c>
      <c r="R100">
        <v>-164</v>
      </c>
      <c r="S100" s="3" t="s">
        <v>7</v>
      </c>
      <c r="T100">
        <v>-3360</v>
      </c>
      <c r="U100">
        <v>-3398</v>
      </c>
      <c r="V100">
        <v>-1005</v>
      </c>
      <c r="W100">
        <v>-3.24</v>
      </c>
      <c r="X100">
        <v>-4483720</v>
      </c>
      <c r="Y100" s="3" t="s">
        <v>31</v>
      </c>
      <c r="Z100">
        <v>111.955</v>
      </c>
      <c r="AA100">
        <v>-4000000</v>
      </c>
      <c r="AB100" s="3" t="s">
        <v>9</v>
      </c>
      <c r="AC100" s="3" t="s">
        <v>10</v>
      </c>
      <c r="AD100">
        <v>-4492597</v>
      </c>
      <c r="AE100">
        <v>4492597</v>
      </c>
      <c r="AF100" s="3" t="s">
        <v>640</v>
      </c>
    </row>
    <row r="101" spans="1:32" x14ac:dyDescent="0.35">
      <c r="A101" s="3" t="s">
        <v>608</v>
      </c>
      <c r="B101" s="3" t="s">
        <v>608</v>
      </c>
      <c r="C101" s="3" t="s">
        <v>608</v>
      </c>
      <c r="D101" s="3" t="s">
        <v>608</v>
      </c>
      <c r="E101" s="3" t="s">
        <v>608</v>
      </c>
      <c r="F101" s="3" t="s">
        <v>594</v>
      </c>
      <c r="G101" s="3" t="s">
        <v>594</v>
      </c>
      <c r="H101" s="3" t="s">
        <v>595</v>
      </c>
      <c r="I101" s="3" t="s">
        <v>209</v>
      </c>
      <c r="J101" s="3" t="s">
        <v>4</v>
      </c>
      <c r="K101" s="3" t="s">
        <v>726</v>
      </c>
      <c r="L101" s="3" t="s">
        <v>30</v>
      </c>
      <c r="M101" s="3" t="s">
        <v>14</v>
      </c>
      <c r="N101">
        <v>600000</v>
      </c>
      <c r="O101">
        <v>171.03100000000001</v>
      </c>
      <c r="P101">
        <v>63</v>
      </c>
      <c r="Q101">
        <v>1956</v>
      </c>
      <c r="R101">
        <v>100</v>
      </c>
      <c r="S101" s="3" t="s">
        <v>7</v>
      </c>
      <c r="T101">
        <v>1050</v>
      </c>
      <c r="U101">
        <v>1061</v>
      </c>
      <c r="V101">
        <v>665</v>
      </c>
      <c r="W101">
        <v>2.14</v>
      </c>
      <c r="X101">
        <v>1026186</v>
      </c>
      <c r="Y101" s="3" t="s">
        <v>31</v>
      </c>
      <c r="Z101">
        <v>170.70500000000001</v>
      </c>
      <c r="AA101">
        <v>600000</v>
      </c>
      <c r="AB101" s="3" t="s">
        <v>9</v>
      </c>
      <c r="AC101" s="3" t="s">
        <v>10</v>
      </c>
      <c r="AD101">
        <v>1062233</v>
      </c>
      <c r="AE101">
        <v>1062233</v>
      </c>
      <c r="AF101" s="3" t="s">
        <v>640</v>
      </c>
    </row>
    <row r="102" spans="1:32" x14ac:dyDescent="0.35">
      <c r="A102" s="3" t="s">
        <v>608</v>
      </c>
      <c r="B102" s="3" t="s">
        <v>608</v>
      </c>
      <c r="C102" s="3" t="s">
        <v>608</v>
      </c>
      <c r="D102" s="3" t="s">
        <v>608</v>
      </c>
      <c r="E102" s="3" t="s">
        <v>608</v>
      </c>
      <c r="F102" s="3" t="s">
        <v>1465</v>
      </c>
      <c r="G102" s="3" t="s">
        <v>1465</v>
      </c>
      <c r="H102" s="3" t="s">
        <v>1467</v>
      </c>
      <c r="I102" s="3" t="s">
        <v>209</v>
      </c>
      <c r="J102" s="3" t="s">
        <v>4</v>
      </c>
      <c r="K102" s="3" t="s">
        <v>1468</v>
      </c>
      <c r="L102" s="3" t="s">
        <v>30</v>
      </c>
      <c r="M102" s="3" t="s">
        <v>14</v>
      </c>
      <c r="N102">
        <v>-4000000</v>
      </c>
      <c r="O102">
        <v>103.80800000000001</v>
      </c>
      <c r="P102">
        <v>50</v>
      </c>
      <c r="Q102">
        <v>-7880</v>
      </c>
      <c r="R102">
        <v>-73</v>
      </c>
      <c r="S102" s="3" t="s">
        <v>7</v>
      </c>
      <c r="T102">
        <v>-4083</v>
      </c>
      <c r="U102">
        <v>-4135</v>
      </c>
      <c r="V102">
        <v>-2084</v>
      </c>
      <c r="W102">
        <v>-6.72</v>
      </c>
      <c r="X102">
        <v>-4152320</v>
      </c>
      <c r="Y102" s="3" t="s">
        <v>31</v>
      </c>
      <c r="Z102">
        <v>103.611</v>
      </c>
      <c r="AA102">
        <v>-4000000</v>
      </c>
      <c r="AB102" s="3" t="s">
        <v>9</v>
      </c>
      <c r="AC102" s="3" t="s">
        <v>10</v>
      </c>
      <c r="AD102">
        <v>-4174671</v>
      </c>
      <c r="AE102">
        <v>4174671</v>
      </c>
      <c r="AF102" s="3" t="s">
        <v>640</v>
      </c>
    </row>
    <row r="103" spans="1:32" x14ac:dyDescent="0.35">
      <c r="A103" s="3" t="s">
        <v>608</v>
      </c>
      <c r="B103" s="3" t="s">
        <v>608</v>
      </c>
      <c r="C103" s="3" t="s">
        <v>608</v>
      </c>
      <c r="D103" s="3" t="s">
        <v>608</v>
      </c>
      <c r="E103" s="3" t="s">
        <v>608</v>
      </c>
      <c r="F103" s="3" t="s">
        <v>207</v>
      </c>
      <c r="G103" s="3" t="s">
        <v>207</v>
      </c>
      <c r="H103" s="3" t="s">
        <v>208</v>
      </c>
      <c r="I103" s="3" t="s">
        <v>209</v>
      </c>
      <c r="J103" s="3" t="s">
        <v>4</v>
      </c>
      <c r="K103" s="3" t="s">
        <v>727</v>
      </c>
      <c r="L103" s="3" t="s">
        <v>30</v>
      </c>
      <c r="M103" s="3" t="s">
        <v>14</v>
      </c>
      <c r="N103">
        <v>-2300000</v>
      </c>
      <c r="O103">
        <v>108.462</v>
      </c>
      <c r="P103">
        <v>45</v>
      </c>
      <c r="Q103">
        <v>-3220</v>
      </c>
      <c r="R103">
        <v>-79</v>
      </c>
      <c r="S103" s="3" t="s">
        <v>7</v>
      </c>
      <c r="T103">
        <v>-1777</v>
      </c>
      <c r="U103">
        <v>-1799</v>
      </c>
      <c r="V103">
        <v>-816</v>
      </c>
      <c r="W103">
        <v>-2.63</v>
      </c>
      <c r="X103">
        <v>-2494626</v>
      </c>
      <c r="Y103" s="3" t="s">
        <v>31</v>
      </c>
      <c r="Z103">
        <v>108.322</v>
      </c>
      <c r="AA103">
        <v>-2300000</v>
      </c>
      <c r="AB103" s="3" t="s">
        <v>9</v>
      </c>
      <c r="AC103" s="3" t="s">
        <v>10</v>
      </c>
      <c r="AD103">
        <v>-2511718</v>
      </c>
      <c r="AE103">
        <v>2511718</v>
      </c>
      <c r="AF103" s="3" t="s">
        <v>640</v>
      </c>
    </row>
    <row r="104" spans="1:32" x14ac:dyDescent="0.35">
      <c r="A104" s="3" t="s">
        <v>608</v>
      </c>
      <c r="B104" s="3" t="s">
        <v>608</v>
      </c>
      <c r="C104" s="3" t="s">
        <v>608</v>
      </c>
      <c r="D104" s="3" t="s">
        <v>608</v>
      </c>
      <c r="E104" s="3" t="s">
        <v>608</v>
      </c>
      <c r="F104" s="3" t="s">
        <v>1470</v>
      </c>
      <c r="G104" s="3" t="s">
        <v>1470</v>
      </c>
      <c r="H104" s="3" t="s">
        <v>1472</v>
      </c>
      <c r="I104" s="3" t="s">
        <v>209</v>
      </c>
      <c r="J104" s="3" t="s">
        <v>4</v>
      </c>
      <c r="K104" s="3" t="s">
        <v>1473</v>
      </c>
      <c r="L104" s="3" t="s">
        <v>30</v>
      </c>
      <c r="M104" s="3" t="s">
        <v>14</v>
      </c>
      <c r="N104">
        <v>6200000</v>
      </c>
      <c r="O104">
        <v>110.806</v>
      </c>
      <c r="P104">
        <v>44</v>
      </c>
      <c r="Q104">
        <v>6200</v>
      </c>
      <c r="R104">
        <v>269</v>
      </c>
      <c r="S104" s="3" t="s">
        <v>7</v>
      </c>
      <c r="T104">
        <v>4688</v>
      </c>
      <c r="U104">
        <v>4739</v>
      </c>
      <c r="V104">
        <v>2074</v>
      </c>
      <c r="W104">
        <v>6.69</v>
      </c>
      <c r="X104">
        <v>6869972</v>
      </c>
      <c r="Y104" s="3" t="s">
        <v>31</v>
      </c>
      <c r="Z104">
        <v>110.706</v>
      </c>
      <c r="AA104">
        <v>6200000</v>
      </c>
      <c r="AB104" s="3" t="s">
        <v>9</v>
      </c>
      <c r="AC104" s="3" t="s">
        <v>10</v>
      </c>
      <c r="AD104">
        <v>6954277</v>
      </c>
      <c r="AE104">
        <v>6954277</v>
      </c>
      <c r="AF104" s="3" t="s">
        <v>640</v>
      </c>
    </row>
    <row r="105" spans="1:32" x14ac:dyDescent="0.35">
      <c r="A105" s="3" t="s">
        <v>608</v>
      </c>
      <c r="B105" s="3" t="s">
        <v>608</v>
      </c>
      <c r="C105" s="3" t="s">
        <v>608</v>
      </c>
      <c r="D105" s="3" t="s">
        <v>608</v>
      </c>
      <c r="E105" s="3" t="s">
        <v>608</v>
      </c>
      <c r="F105" s="3" t="s">
        <v>210</v>
      </c>
      <c r="G105" s="3" t="s">
        <v>210</v>
      </c>
      <c r="H105" s="3" t="s">
        <v>211</v>
      </c>
      <c r="I105" s="3" t="s">
        <v>209</v>
      </c>
      <c r="J105" s="3" t="s">
        <v>4</v>
      </c>
      <c r="K105" s="3" t="s">
        <v>728</v>
      </c>
      <c r="L105" s="3" t="s">
        <v>30</v>
      </c>
      <c r="M105" s="3" t="s">
        <v>14</v>
      </c>
      <c r="N105">
        <v>0</v>
      </c>
      <c r="O105">
        <v>129.53</v>
      </c>
      <c r="P105">
        <v>37</v>
      </c>
      <c r="Q105">
        <v>0</v>
      </c>
      <c r="R105">
        <v>76</v>
      </c>
      <c r="S105" s="3" t="s">
        <v>7</v>
      </c>
      <c r="T105">
        <v>0</v>
      </c>
      <c r="U105">
        <v>0</v>
      </c>
      <c r="V105">
        <v>0</v>
      </c>
      <c r="W105">
        <v>0</v>
      </c>
      <c r="X105">
        <v>0</v>
      </c>
      <c r="Y105" s="3" t="s">
        <v>31</v>
      </c>
      <c r="Z105">
        <v>129.53</v>
      </c>
      <c r="AA105">
        <v>0</v>
      </c>
      <c r="AB105" s="3" t="s">
        <v>9</v>
      </c>
      <c r="AC105" s="3" t="s">
        <v>10</v>
      </c>
      <c r="AD105">
        <v>0</v>
      </c>
      <c r="AE105">
        <v>0</v>
      </c>
      <c r="AF105" s="3" t="s">
        <v>640</v>
      </c>
    </row>
    <row r="106" spans="1:32" x14ac:dyDescent="0.35">
      <c r="A106" s="3" t="s">
        <v>608</v>
      </c>
      <c r="B106" s="3" t="s">
        <v>608</v>
      </c>
      <c r="C106" s="3" t="s">
        <v>608</v>
      </c>
      <c r="D106" s="3" t="s">
        <v>608</v>
      </c>
      <c r="E106" s="3" t="s">
        <v>608</v>
      </c>
      <c r="F106" s="3" t="s">
        <v>212</v>
      </c>
      <c r="G106" s="3" t="s">
        <v>212</v>
      </c>
      <c r="H106" s="3" t="s">
        <v>213</v>
      </c>
      <c r="I106" s="3" t="s">
        <v>209</v>
      </c>
      <c r="J106" s="3" t="s">
        <v>4</v>
      </c>
      <c r="K106" s="3" t="s">
        <v>729</v>
      </c>
      <c r="L106" s="3" t="s">
        <v>30</v>
      </c>
      <c r="M106" s="3" t="s">
        <v>14</v>
      </c>
      <c r="N106">
        <v>-500000</v>
      </c>
      <c r="O106">
        <v>109.643</v>
      </c>
      <c r="P106">
        <v>31</v>
      </c>
      <c r="Q106">
        <v>-385</v>
      </c>
      <c r="R106">
        <v>-82</v>
      </c>
      <c r="S106" s="3" t="s">
        <v>7</v>
      </c>
      <c r="T106">
        <v>-320</v>
      </c>
      <c r="U106">
        <v>-323</v>
      </c>
      <c r="V106">
        <v>-101</v>
      </c>
      <c r="W106">
        <v>-0.33</v>
      </c>
      <c r="X106">
        <v>-548215</v>
      </c>
      <c r="Y106" s="3" t="s">
        <v>31</v>
      </c>
      <c r="Z106">
        <v>109.566</v>
      </c>
      <c r="AA106">
        <v>-500000</v>
      </c>
      <c r="AB106" s="3" t="s">
        <v>9</v>
      </c>
      <c r="AC106" s="3" t="s">
        <v>10</v>
      </c>
      <c r="AD106">
        <v>-555450</v>
      </c>
      <c r="AE106">
        <v>555450</v>
      </c>
      <c r="AF106" s="3" t="s">
        <v>640</v>
      </c>
    </row>
    <row r="107" spans="1:32" x14ac:dyDescent="0.35">
      <c r="A107" s="3" t="s">
        <v>608</v>
      </c>
      <c r="B107" s="3" t="s">
        <v>608</v>
      </c>
      <c r="C107" s="3" t="s">
        <v>608</v>
      </c>
      <c r="D107" s="3" t="s">
        <v>608</v>
      </c>
      <c r="E107" s="3" t="s">
        <v>608</v>
      </c>
      <c r="F107" s="3" t="s">
        <v>1711</v>
      </c>
      <c r="G107" s="3" t="s">
        <v>1711</v>
      </c>
      <c r="H107" s="3" t="s">
        <v>1712</v>
      </c>
      <c r="I107" s="3" t="s">
        <v>209</v>
      </c>
      <c r="J107" s="3" t="s">
        <v>4</v>
      </c>
      <c r="K107" s="3" t="s">
        <v>1716</v>
      </c>
      <c r="L107" s="3" t="s">
        <v>30</v>
      </c>
      <c r="M107" s="3" t="s">
        <v>14</v>
      </c>
      <c r="N107">
        <v>1200000</v>
      </c>
      <c r="O107">
        <v>103.218</v>
      </c>
      <c r="P107">
        <v>38</v>
      </c>
      <c r="Q107">
        <v>1596</v>
      </c>
      <c r="R107">
        <v>0</v>
      </c>
      <c r="S107" s="3" t="s">
        <v>7</v>
      </c>
      <c r="T107">
        <v>387</v>
      </c>
      <c r="U107">
        <v>391</v>
      </c>
      <c r="V107">
        <v>147</v>
      </c>
      <c r="W107">
        <v>0.47</v>
      </c>
      <c r="X107">
        <v>1238616</v>
      </c>
      <c r="Y107" s="3" t="s">
        <v>31</v>
      </c>
      <c r="Z107">
        <v>0</v>
      </c>
      <c r="AA107">
        <v>0</v>
      </c>
      <c r="AB107" s="3" t="s">
        <v>9</v>
      </c>
      <c r="AC107" s="3" t="s">
        <v>10</v>
      </c>
      <c r="AD107">
        <v>1247682</v>
      </c>
      <c r="AE107">
        <v>1247682</v>
      </c>
      <c r="AF107" s="3" t="s">
        <v>640</v>
      </c>
    </row>
    <row r="108" spans="1:32" x14ac:dyDescent="0.35">
      <c r="A108" s="3" t="s">
        <v>608</v>
      </c>
      <c r="B108" s="3" t="s">
        <v>608</v>
      </c>
      <c r="C108" s="3" t="s">
        <v>608</v>
      </c>
      <c r="D108" s="3" t="s">
        <v>608</v>
      </c>
      <c r="E108" s="3" t="s">
        <v>608</v>
      </c>
      <c r="F108" s="3" t="s">
        <v>214</v>
      </c>
      <c r="G108" s="3" t="s">
        <v>214</v>
      </c>
      <c r="H108" s="3" t="s">
        <v>215</v>
      </c>
      <c r="I108" s="3" t="s">
        <v>209</v>
      </c>
      <c r="J108" s="3" t="s">
        <v>4</v>
      </c>
      <c r="K108" s="3" t="s">
        <v>730</v>
      </c>
      <c r="L108" s="3" t="s">
        <v>30</v>
      </c>
      <c r="M108" s="3" t="s">
        <v>14</v>
      </c>
      <c r="N108">
        <v>900000</v>
      </c>
      <c r="O108">
        <v>101.432</v>
      </c>
      <c r="P108">
        <v>32</v>
      </c>
      <c r="Q108">
        <v>189</v>
      </c>
      <c r="R108">
        <v>8</v>
      </c>
      <c r="S108" s="3" t="s">
        <v>7</v>
      </c>
      <c r="T108">
        <v>262</v>
      </c>
      <c r="U108">
        <v>264</v>
      </c>
      <c r="V108">
        <v>86</v>
      </c>
      <c r="W108">
        <v>0.28000000000000003</v>
      </c>
      <c r="X108">
        <v>912888</v>
      </c>
      <c r="Y108" s="3" t="s">
        <v>31</v>
      </c>
      <c r="Z108">
        <v>101.411</v>
      </c>
      <c r="AA108">
        <v>900000</v>
      </c>
      <c r="AB108" s="3" t="s">
        <v>9</v>
      </c>
      <c r="AC108" s="3" t="s">
        <v>10</v>
      </c>
      <c r="AD108">
        <v>913236</v>
      </c>
      <c r="AE108">
        <v>913236</v>
      </c>
      <c r="AF108" s="3" t="s">
        <v>640</v>
      </c>
    </row>
    <row r="109" spans="1:32" x14ac:dyDescent="0.35">
      <c r="A109" s="3" t="s">
        <v>608</v>
      </c>
      <c r="B109" s="3" t="s">
        <v>608</v>
      </c>
      <c r="C109" s="3" t="s">
        <v>608</v>
      </c>
      <c r="D109" s="3" t="s">
        <v>608</v>
      </c>
      <c r="E109" s="3" t="s">
        <v>608</v>
      </c>
      <c r="F109" s="3" t="s">
        <v>970</v>
      </c>
      <c r="G109" s="3" t="s">
        <v>970</v>
      </c>
      <c r="H109" s="3" t="s">
        <v>971</v>
      </c>
      <c r="I109" s="3" t="s">
        <v>428</v>
      </c>
      <c r="J109" s="3" t="s">
        <v>4</v>
      </c>
      <c r="K109" s="3" t="s">
        <v>1189</v>
      </c>
      <c r="L109" s="3" t="s">
        <v>30</v>
      </c>
      <c r="M109" s="3" t="s">
        <v>14</v>
      </c>
      <c r="N109">
        <v>-300000</v>
      </c>
      <c r="O109">
        <v>127.786</v>
      </c>
      <c r="P109">
        <v>110</v>
      </c>
      <c r="Q109">
        <v>-1338</v>
      </c>
      <c r="R109">
        <v>-24</v>
      </c>
      <c r="S109" s="3" t="s">
        <v>7</v>
      </c>
      <c r="T109">
        <v>-536</v>
      </c>
      <c r="U109">
        <v>-542</v>
      </c>
      <c r="V109">
        <v>-597</v>
      </c>
      <c r="W109">
        <v>-1.93</v>
      </c>
      <c r="X109">
        <v>-383358</v>
      </c>
      <c r="Y109" s="3" t="s">
        <v>31</v>
      </c>
      <c r="Z109">
        <v>127.34</v>
      </c>
      <c r="AA109">
        <v>-300000</v>
      </c>
      <c r="AB109" s="3" t="s">
        <v>9</v>
      </c>
      <c r="AC109" s="3" t="s">
        <v>10</v>
      </c>
      <c r="AD109">
        <v>-391936</v>
      </c>
      <c r="AE109">
        <v>391936</v>
      </c>
      <c r="AF109" s="3" t="s">
        <v>640</v>
      </c>
    </row>
    <row r="110" spans="1:32" x14ac:dyDescent="0.35">
      <c r="A110" s="3" t="s">
        <v>608</v>
      </c>
      <c r="B110" s="3" t="s">
        <v>608</v>
      </c>
      <c r="C110" s="3" t="s">
        <v>608</v>
      </c>
      <c r="D110" s="3" t="s">
        <v>608</v>
      </c>
      <c r="E110" s="3" t="s">
        <v>608</v>
      </c>
      <c r="F110" s="3" t="s">
        <v>1475</v>
      </c>
      <c r="G110" s="3" t="s">
        <v>1475</v>
      </c>
      <c r="H110" s="3" t="s">
        <v>1477</v>
      </c>
      <c r="I110" s="3" t="s">
        <v>216</v>
      </c>
      <c r="J110" s="3" t="s">
        <v>4</v>
      </c>
      <c r="K110" s="3" t="s">
        <v>1478</v>
      </c>
      <c r="L110" s="3" t="s">
        <v>30</v>
      </c>
      <c r="M110" s="3" t="s">
        <v>14</v>
      </c>
      <c r="N110">
        <v>1000000</v>
      </c>
      <c r="O110">
        <v>143.31200000000001</v>
      </c>
      <c r="P110">
        <v>141</v>
      </c>
      <c r="Q110">
        <v>3660</v>
      </c>
      <c r="R110">
        <v>113</v>
      </c>
      <c r="S110" s="3" t="s">
        <v>7</v>
      </c>
      <c r="T110">
        <v>1972</v>
      </c>
      <c r="U110">
        <v>1993</v>
      </c>
      <c r="V110">
        <v>2810</v>
      </c>
      <c r="W110">
        <v>9.06</v>
      </c>
      <c r="X110">
        <v>1433120</v>
      </c>
      <c r="Y110" s="3" t="s">
        <v>31</v>
      </c>
      <c r="Z110">
        <v>142.946</v>
      </c>
      <c r="AA110">
        <v>1000000</v>
      </c>
      <c r="AB110" s="3" t="s">
        <v>9</v>
      </c>
      <c r="AC110" s="3" t="s">
        <v>10</v>
      </c>
      <c r="AD110">
        <v>1433346</v>
      </c>
      <c r="AE110">
        <v>1433346</v>
      </c>
      <c r="AF110" s="3" t="s">
        <v>640</v>
      </c>
    </row>
    <row r="111" spans="1:32" x14ac:dyDescent="0.35">
      <c r="A111" s="3" t="s">
        <v>608</v>
      </c>
      <c r="B111" s="3" t="s">
        <v>608</v>
      </c>
      <c r="C111" s="3" t="s">
        <v>608</v>
      </c>
      <c r="D111" s="3" t="s">
        <v>608</v>
      </c>
      <c r="E111" s="3" t="s">
        <v>608</v>
      </c>
      <c r="F111" s="3" t="s">
        <v>994</v>
      </c>
      <c r="G111" s="3" t="s">
        <v>994</v>
      </c>
      <c r="H111" s="3" t="s">
        <v>995</v>
      </c>
      <c r="I111" s="3" t="s">
        <v>216</v>
      </c>
      <c r="J111" s="3" t="s">
        <v>4</v>
      </c>
      <c r="K111" s="3" t="s">
        <v>1190</v>
      </c>
      <c r="L111" s="3" t="s">
        <v>30</v>
      </c>
      <c r="M111" s="3" t="s">
        <v>14</v>
      </c>
      <c r="N111">
        <v>5300000</v>
      </c>
      <c r="O111">
        <v>105.994</v>
      </c>
      <c r="P111">
        <v>49</v>
      </c>
      <c r="Q111">
        <v>-159</v>
      </c>
      <c r="R111">
        <v>363</v>
      </c>
      <c r="S111" s="3" t="s">
        <v>7</v>
      </c>
      <c r="T111">
        <v>1316</v>
      </c>
      <c r="U111">
        <v>1328</v>
      </c>
      <c r="V111">
        <v>653</v>
      </c>
      <c r="W111">
        <v>2.11</v>
      </c>
      <c r="X111">
        <v>5617682</v>
      </c>
      <c r="Y111" s="3" t="s">
        <v>31</v>
      </c>
      <c r="Z111">
        <v>105.997</v>
      </c>
      <c r="AA111">
        <v>5300000</v>
      </c>
      <c r="AB111" s="3" t="s">
        <v>9</v>
      </c>
      <c r="AC111" s="3" t="s">
        <v>10</v>
      </c>
      <c r="AD111">
        <v>5699723</v>
      </c>
      <c r="AE111">
        <v>5699723</v>
      </c>
      <c r="AF111" s="3" t="s">
        <v>640</v>
      </c>
    </row>
    <row r="112" spans="1:32" x14ac:dyDescent="0.35">
      <c r="A112" s="3" t="s">
        <v>608</v>
      </c>
      <c r="B112" s="3" t="s">
        <v>608</v>
      </c>
      <c r="C112" s="3" t="s">
        <v>608</v>
      </c>
      <c r="D112" s="3" t="s">
        <v>608</v>
      </c>
      <c r="E112" s="3" t="s">
        <v>608</v>
      </c>
      <c r="F112" s="3" t="s">
        <v>217</v>
      </c>
      <c r="G112" s="3" t="s">
        <v>217</v>
      </c>
      <c r="H112" s="3" t="s">
        <v>218</v>
      </c>
      <c r="I112" s="3" t="s">
        <v>219</v>
      </c>
      <c r="J112" s="3" t="s">
        <v>4</v>
      </c>
      <c r="K112" s="3" t="s">
        <v>731</v>
      </c>
      <c r="L112" s="3" t="s">
        <v>30</v>
      </c>
      <c r="M112" s="3" t="s">
        <v>14</v>
      </c>
      <c r="N112">
        <v>-1300000</v>
      </c>
      <c r="O112">
        <v>108.708</v>
      </c>
      <c r="P112">
        <v>97</v>
      </c>
      <c r="Q112">
        <v>-4927</v>
      </c>
      <c r="R112">
        <v>-53</v>
      </c>
      <c r="S112" s="3" t="s">
        <v>7</v>
      </c>
      <c r="T112">
        <v>-2331</v>
      </c>
      <c r="U112">
        <v>-2362</v>
      </c>
      <c r="V112">
        <v>-2287</v>
      </c>
      <c r="W112">
        <v>-7.38</v>
      </c>
      <c r="X112">
        <v>-1413204</v>
      </c>
      <c r="Y112" s="3" t="s">
        <v>31</v>
      </c>
      <c r="Z112">
        <v>108.32899999999999</v>
      </c>
      <c r="AA112">
        <v>-1300000</v>
      </c>
      <c r="AB112" s="3" t="s">
        <v>9</v>
      </c>
      <c r="AC112" s="3" t="s">
        <v>10</v>
      </c>
      <c r="AD112">
        <v>-1416409</v>
      </c>
      <c r="AE112">
        <v>1416409</v>
      </c>
      <c r="AF112" s="3" t="s">
        <v>640</v>
      </c>
    </row>
    <row r="113" spans="1:32" x14ac:dyDescent="0.35">
      <c r="A113" s="3" t="s">
        <v>608</v>
      </c>
      <c r="B113" s="3" t="s">
        <v>608</v>
      </c>
      <c r="C113" s="3" t="s">
        <v>608</v>
      </c>
      <c r="D113" s="3" t="s">
        <v>608</v>
      </c>
      <c r="E113" s="3" t="s">
        <v>608</v>
      </c>
      <c r="F113" s="3" t="s">
        <v>220</v>
      </c>
      <c r="G113" s="3" t="s">
        <v>220</v>
      </c>
      <c r="H113" s="3" t="s">
        <v>221</v>
      </c>
      <c r="I113" s="3" t="s">
        <v>219</v>
      </c>
      <c r="J113" s="3" t="s">
        <v>4</v>
      </c>
      <c r="K113" s="3" t="s">
        <v>732</v>
      </c>
      <c r="L113" s="3" t="s">
        <v>30</v>
      </c>
      <c r="M113" s="3" t="s">
        <v>14</v>
      </c>
      <c r="N113">
        <v>456000</v>
      </c>
      <c r="O113">
        <v>103.85599999999999</v>
      </c>
      <c r="P113">
        <v>69</v>
      </c>
      <c r="Q113">
        <v>953</v>
      </c>
      <c r="R113">
        <v>23</v>
      </c>
      <c r="S113" s="3" t="s">
        <v>7</v>
      </c>
      <c r="T113">
        <v>511</v>
      </c>
      <c r="U113">
        <v>518</v>
      </c>
      <c r="V113">
        <v>358</v>
      </c>
      <c r="W113">
        <v>1.1499999999999999</v>
      </c>
      <c r="X113">
        <v>473583</v>
      </c>
      <c r="Y113" s="3" t="s">
        <v>31</v>
      </c>
      <c r="Z113">
        <v>103.64700000000001</v>
      </c>
      <c r="AA113">
        <v>456000</v>
      </c>
      <c r="AB113" s="3" t="s">
        <v>9</v>
      </c>
      <c r="AC113" s="3" t="s">
        <v>10</v>
      </c>
      <c r="AD113">
        <v>476251</v>
      </c>
      <c r="AE113">
        <v>476251</v>
      </c>
      <c r="AF113" s="3" t="s">
        <v>640</v>
      </c>
    </row>
    <row r="114" spans="1:32" x14ac:dyDescent="0.35">
      <c r="A114" s="3" t="s">
        <v>608</v>
      </c>
      <c r="B114" s="3" t="s">
        <v>608</v>
      </c>
      <c r="C114" s="3" t="s">
        <v>608</v>
      </c>
      <c r="D114" s="3" t="s">
        <v>608</v>
      </c>
      <c r="E114" s="3" t="s">
        <v>608</v>
      </c>
      <c r="F114" s="3" t="s">
        <v>228</v>
      </c>
      <c r="G114" s="3" t="s">
        <v>229</v>
      </c>
      <c r="H114" s="3" t="s">
        <v>229</v>
      </c>
      <c r="I114" s="3" t="s">
        <v>640</v>
      </c>
      <c r="J114" s="3" t="s">
        <v>4</v>
      </c>
      <c r="K114" s="3" t="s">
        <v>652</v>
      </c>
      <c r="L114" s="3" t="s">
        <v>5</v>
      </c>
      <c r="M114" s="3" t="s">
        <v>6</v>
      </c>
      <c r="N114">
        <v>1500000</v>
      </c>
      <c r="O114">
        <v>0.92100000000000004</v>
      </c>
      <c r="P114">
        <v>118</v>
      </c>
      <c r="Q114">
        <v>1032</v>
      </c>
      <c r="R114">
        <v>-42</v>
      </c>
      <c r="S114" s="3" t="s">
        <v>7</v>
      </c>
      <c r="T114">
        <v>-4</v>
      </c>
      <c r="U114">
        <v>-751</v>
      </c>
      <c r="V114">
        <v>-888</v>
      </c>
      <c r="W114">
        <v>-2.86</v>
      </c>
      <c r="X114">
        <v>13815</v>
      </c>
      <c r="Y114" s="3" t="s">
        <v>640</v>
      </c>
      <c r="Z114">
        <v>0.85199999999999998</v>
      </c>
      <c r="AA114">
        <v>1500000</v>
      </c>
      <c r="AB114" s="3" t="s">
        <v>230</v>
      </c>
      <c r="AC114" s="3" t="s">
        <v>10</v>
      </c>
      <c r="AD114">
        <v>-1500000</v>
      </c>
      <c r="AE114">
        <v>1500000</v>
      </c>
      <c r="AF114" s="3" t="s">
        <v>640</v>
      </c>
    </row>
    <row r="115" spans="1:32" x14ac:dyDescent="0.35">
      <c r="A115" s="3" t="s">
        <v>608</v>
      </c>
      <c r="B115" s="3" t="s">
        <v>608</v>
      </c>
      <c r="C115" s="3" t="s">
        <v>608</v>
      </c>
      <c r="D115" s="3" t="s">
        <v>608</v>
      </c>
      <c r="E115" s="3" t="s">
        <v>608</v>
      </c>
      <c r="F115" s="3" t="s">
        <v>231</v>
      </c>
      <c r="G115" s="3" t="s">
        <v>232</v>
      </c>
      <c r="H115" s="3" t="s">
        <v>232</v>
      </c>
      <c r="I115" s="3" t="s">
        <v>640</v>
      </c>
      <c r="J115" s="3" t="s">
        <v>4</v>
      </c>
      <c r="K115" s="3" t="s">
        <v>652</v>
      </c>
      <c r="L115" s="3" t="s">
        <v>5</v>
      </c>
      <c r="M115" s="3" t="s">
        <v>6</v>
      </c>
      <c r="N115">
        <v>-3000000</v>
      </c>
      <c r="O115">
        <v>-1.851</v>
      </c>
      <c r="P115">
        <v>64</v>
      </c>
      <c r="Q115">
        <v>-1163</v>
      </c>
      <c r="R115">
        <v>83</v>
      </c>
      <c r="S115" s="3" t="s">
        <v>7</v>
      </c>
      <c r="T115">
        <v>-15</v>
      </c>
      <c r="U115">
        <v>1550</v>
      </c>
      <c r="V115">
        <v>987</v>
      </c>
      <c r="W115">
        <v>3.18</v>
      </c>
      <c r="X115">
        <v>55517</v>
      </c>
      <c r="Y115" s="3" t="s">
        <v>640</v>
      </c>
      <c r="Z115">
        <v>-1.889</v>
      </c>
      <c r="AA115">
        <v>-3000000</v>
      </c>
      <c r="AB115" s="3" t="s">
        <v>230</v>
      </c>
      <c r="AC115" s="3" t="s">
        <v>10</v>
      </c>
      <c r="AD115">
        <v>3000000</v>
      </c>
      <c r="AE115">
        <v>3000000</v>
      </c>
      <c r="AF115" s="3" t="s">
        <v>640</v>
      </c>
    </row>
    <row r="116" spans="1:32" x14ac:dyDescent="0.35">
      <c r="A116" s="3" t="s">
        <v>608</v>
      </c>
      <c r="B116" s="3" t="s">
        <v>608</v>
      </c>
      <c r="C116" s="3" t="s">
        <v>608</v>
      </c>
      <c r="D116" s="3" t="s">
        <v>608</v>
      </c>
      <c r="E116" s="3" t="s">
        <v>608</v>
      </c>
      <c r="F116" s="3" t="s">
        <v>11</v>
      </c>
      <c r="G116" s="3" t="s">
        <v>12</v>
      </c>
      <c r="H116" s="3" t="s">
        <v>12</v>
      </c>
      <c r="I116" s="3" t="s">
        <v>640</v>
      </c>
      <c r="J116" s="3" t="s">
        <v>4</v>
      </c>
      <c r="K116" s="3" t="s">
        <v>640</v>
      </c>
      <c r="L116" s="3" t="s">
        <v>13</v>
      </c>
      <c r="M116" s="3" t="s">
        <v>14</v>
      </c>
      <c r="N116">
        <v>-4</v>
      </c>
      <c r="O116">
        <v>175.2</v>
      </c>
      <c r="P116">
        <v>-84</v>
      </c>
      <c r="Q116">
        <v>-1080</v>
      </c>
      <c r="R116">
        <v>0</v>
      </c>
      <c r="S116" s="3" t="s">
        <v>640</v>
      </c>
      <c r="T116">
        <v>-594</v>
      </c>
      <c r="U116">
        <v>0</v>
      </c>
      <c r="V116">
        <v>0</v>
      </c>
      <c r="W116">
        <v>0</v>
      </c>
      <c r="X116">
        <v>2796</v>
      </c>
      <c r="Y116" s="3" t="s">
        <v>15</v>
      </c>
      <c r="Z116">
        <v>174.93</v>
      </c>
      <c r="AA116">
        <v>-4</v>
      </c>
      <c r="AB116" s="3" t="s">
        <v>230</v>
      </c>
      <c r="AC116" s="3" t="s">
        <v>10</v>
      </c>
      <c r="AD116">
        <v>0</v>
      </c>
      <c r="AE116">
        <v>0</v>
      </c>
      <c r="AF116" s="3" t="s">
        <v>640</v>
      </c>
    </row>
    <row r="117" spans="1:32" x14ac:dyDescent="0.35">
      <c r="A117" s="3" t="s">
        <v>608</v>
      </c>
      <c r="B117" s="3" t="s">
        <v>608</v>
      </c>
      <c r="C117" s="3" t="s">
        <v>608</v>
      </c>
      <c r="D117" s="3" t="s">
        <v>608</v>
      </c>
      <c r="E117" s="3" t="s">
        <v>608</v>
      </c>
      <c r="F117" s="3" t="s">
        <v>16</v>
      </c>
      <c r="G117" s="3" t="s">
        <v>17</v>
      </c>
      <c r="H117" s="3" t="s">
        <v>17</v>
      </c>
      <c r="I117" s="3" t="s">
        <v>640</v>
      </c>
      <c r="J117" s="3" t="s">
        <v>4</v>
      </c>
      <c r="K117" s="3" t="s">
        <v>640</v>
      </c>
      <c r="L117" s="3" t="s">
        <v>13</v>
      </c>
      <c r="M117" s="3" t="s">
        <v>14</v>
      </c>
      <c r="N117">
        <v>-2</v>
      </c>
      <c r="O117">
        <v>135.37</v>
      </c>
      <c r="P117">
        <v>-46</v>
      </c>
      <c r="Q117">
        <v>-140</v>
      </c>
      <c r="R117">
        <v>0</v>
      </c>
      <c r="S117" s="3" t="s">
        <v>640</v>
      </c>
      <c r="T117">
        <v>-124</v>
      </c>
      <c r="U117">
        <v>0</v>
      </c>
      <c r="V117">
        <v>0</v>
      </c>
      <c r="W117">
        <v>0</v>
      </c>
      <c r="X117">
        <v>-400</v>
      </c>
      <c r="Y117" s="3" t="s">
        <v>15</v>
      </c>
      <c r="Z117">
        <v>135.30000000000001</v>
      </c>
      <c r="AA117">
        <v>-2</v>
      </c>
      <c r="AB117" s="3" t="s">
        <v>230</v>
      </c>
      <c r="AC117" s="3" t="s">
        <v>10</v>
      </c>
      <c r="AD117">
        <v>0</v>
      </c>
      <c r="AE117">
        <v>0</v>
      </c>
      <c r="AF117" s="3" t="s">
        <v>640</v>
      </c>
    </row>
    <row r="118" spans="1:32" x14ac:dyDescent="0.35">
      <c r="A118" s="3" t="s">
        <v>608</v>
      </c>
      <c r="B118" s="3" t="s">
        <v>608</v>
      </c>
      <c r="C118" s="3" t="s">
        <v>608</v>
      </c>
      <c r="D118" s="3" t="s">
        <v>608</v>
      </c>
      <c r="E118" s="3" t="s">
        <v>608</v>
      </c>
      <c r="F118" s="3" t="s">
        <v>25</v>
      </c>
      <c r="G118" s="3" t="s">
        <v>26</v>
      </c>
      <c r="H118" s="3" t="s">
        <v>26</v>
      </c>
      <c r="I118" s="3" t="s">
        <v>640</v>
      </c>
      <c r="J118" s="3" t="s">
        <v>4</v>
      </c>
      <c r="K118" s="3" t="s">
        <v>640</v>
      </c>
      <c r="L118" s="3" t="s">
        <v>13</v>
      </c>
      <c r="M118" s="3" t="s">
        <v>14</v>
      </c>
      <c r="N118">
        <v>0</v>
      </c>
      <c r="O118">
        <v>226</v>
      </c>
      <c r="P118">
        <v>-14</v>
      </c>
      <c r="Q118">
        <v>0</v>
      </c>
      <c r="R118">
        <v>0</v>
      </c>
      <c r="S118" s="3" t="s">
        <v>640</v>
      </c>
      <c r="T118">
        <v>0</v>
      </c>
      <c r="U118">
        <v>0</v>
      </c>
      <c r="V118">
        <v>0</v>
      </c>
      <c r="W118">
        <v>0</v>
      </c>
      <c r="X118">
        <v>0</v>
      </c>
      <c r="Y118" s="3" t="s">
        <v>15</v>
      </c>
      <c r="Z118">
        <v>224.94</v>
      </c>
      <c r="AA118">
        <v>0</v>
      </c>
      <c r="AB118" s="3" t="s">
        <v>230</v>
      </c>
      <c r="AC118" s="3" t="s">
        <v>10</v>
      </c>
      <c r="AD118">
        <v>0</v>
      </c>
      <c r="AE118">
        <v>0</v>
      </c>
      <c r="AF118" s="3" t="s">
        <v>640</v>
      </c>
    </row>
    <row r="119" spans="1:32" x14ac:dyDescent="0.35">
      <c r="A119" s="3" t="s">
        <v>608</v>
      </c>
      <c r="B119" s="3" t="s">
        <v>608</v>
      </c>
      <c r="C119" s="3" t="s">
        <v>608</v>
      </c>
      <c r="D119" s="3" t="s">
        <v>608</v>
      </c>
      <c r="E119" s="3" t="s">
        <v>608</v>
      </c>
      <c r="F119" s="3" t="s">
        <v>1484</v>
      </c>
      <c r="G119" s="3" t="s">
        <v>1484</v>
      </c>
      <c r="H119" s="3" t="s">
        <v>1485</v>
      </c>
      <c r="I119" s="3" t="s">
        <v>1486</v>
      </c>
      <c r="J119" s="3" t="s">
        <v>266</v>
      </c>
      <c r="K119" s="3" t="s">
        <v>1487</v>
      </c>
      <c r="L119" s="3" t="s">
        <v>30</v>
      </c>
      <c r="M119" s="3" t="s">
        <v>14</v>
      </c>
      <c r="N119">
        <v>0</v>
      </c>
      <c r="O119">
        <v>100.7</v>
      </c>
      <c r="P119">
        <v>285</v>
      </c>
      <c r="Q119">
        <v>0</v>
      </c>
      <c r="R119">
        <v>0</v>
      </c>
      <c r="S119" s="3" t="s">
        <v>263</v>
      </c>
      <c r="T119">
        <v>0</v>
      </c>
      <c r="U119">
        <v>0</v>
      </c>
      <c r="V119">
        <v>0</v>
      </c>
      <c r="W119">
        <v>0</v>
      </c>
      <c r="X119">
        <v>0</v>
      </c>
      <c r="Y119" s="3" t="s">
        <v>1488</v>
      </c>
      <c r="Z119">
        <v>100.7</v>
      </c>
      <c r="AA119">
        <v>0</v>
      </c>
      <c r="AB119" s="3" t="s">
        <v>230</v>
      </c>
      <c r="AC119" s="3" t="s">
        <v>10</v>
      </c>
      <c r="AD119">
        <v>0</v>
      </c>
      <c r="AE119">
        <v>0</v>
      </c>
      <c r="AF119" s="3" t="s">
        <v>640</v>
      </c>
    </row>
    <row r="120" spans="1:32" x14ac:dyDescent="0.35">
      <c r="A120" s="3" t="s">
        <v>608</v>
      </c>
      <c r="B120" s="3" t="s">
        <v>608</v>
      </c>
      <c r="C120" s="3" t="s">
        <v>608</v>
      </c>
      <c r="D120" s="3" t="s">
        <v>608</v>
      </c>
      <c r="E120" s="3" t="s">
        <v>608</v>
      </c>
      <c r="F120" s="3" t="s">
        <v>1489</v>
      </c>
      <c r="G120" s="3" t="s">
        <v>1489</v>
      </c>
      <c r="H120" s="3" t="s">
        <v>1490</v>
      </c>
      <c r="I120" s="3" t="s">
        <v>1486</v>
      </c>
      <c r="J120" s="3" t="s">
        <v>4</v>
      </c>
      <c r="K120" s="3" t="s">
        <v>640</v>
      </c>
      <c r="L120" s="3" t="s">
        <v>30</v>
      </c>
      <c r="M120" s="3" t="s">
        <v>14</v>
      </c>
      <c r="N120">
        <v>0</v>
      </c>
      <c r="O120">
        <v>100</v>
      </c>
      <c r="P120">
        <v>287</v>
      </c>
      <c r="Q120">
        <v>0</v>
      </c>
      <c r="R120">
        <v>0</v>
      </c>
      <c r="S120" s="3" t="s">
        <v>263</v>
      </c>
      <c r="T120">
        <v>0</v>
      </c>
      <c r="U120">
        <v>0</v>
      </c>
      <c r="V120">
        <v>0</v>
      </c>
      <c r="W120">
        <v>0</v>
      </c>
      <c r="X120">
        <v>0</v>
      </c>
      <c r="Y120" s="3" t="s">
        <v>640</v>
      </c>
      <c r="Z120">
        <v>100</v>
      </c>
      <c r="AA120">
        <v>0</v>
      </c>
      <c r="AB120" s="3" t="s">
        <v>230</v>
      </c>
      <c r="AC120" s="3" t="s">
        <v>10</v>
      </c>
      <c r="AD120">
        <v>0</v>
      </c>
      <c r="AE120">
        <v>0</v>
      </c>
      <c r="AF120" s="3" t="s">
        <v>640</v>
      </c>
    </row>
    <row r="121" spans="1:32" x14ac:dyDescent="0.35">
      <c r="A121" s="3" t="s">
        <v>608</v>
      </c>
      <c r="B121" s="3" t="s">
        <v>608</v>
      </c>
      <c r="C121" s="3" t="s">
        <v>608</v>
      </c>
      <c r="D121" s="3" t="s">
        <v>608</v>
      </c>
      <c r="E121" s="3" t="s">
        <v>608</v>
      </c>
      <c r="F121" s="3" t="s">
        <v>239</v>
      </c>
      <c r="G121" s="3" t="s">
        <v>239</v>
      </c>
      <c r="H121" s="3" t="s">
        <v>240</v>
      </c>
      <c r="I121" s="3" t="s">
        <v>241</v>
      </c>
      <c r="J121" s="3" t="s">
        <v>4</v>
      </c>
      <c r="K121" s="3" t="s">
        <v>737</v>
      </c>
      <c r="L121" s="3" t="s">
        <v>30</v>
      </c>
      <c r="M121" s="3" t="s">
        <v>14</v>
      </c>
      <c r="N121">
        <v>1000000</v>
      </c>
      <c r="O121">
        <v>108.944</v>
      </c>
      <c r="P121">
        <v>64</v>
      </c>
      <c r="Q121">
        <v>850</v>
      </c>
      <c r="R121">
        <v>45</v>
      </c>
      <c r="S121" s="3" t="s">
        <v>7</v>
      </c>
      <c r="T121">
        <v>677</v>
      </c>
      <c r="U121">
        <v>684</v>
      </c>
      <c r="V121">
        <v>437</v>
      </c>
      <c r="W121">
        <v>1.41</v>
      </c>
      <c r="X121">
        <v>1089440</v>
      </c>
      <c r="Y121" s="3" t="s">
        <v>31</v>
      </c>
      <c r="Z121">
        <v>108.85899999999999</v>
      </c>
      <c r="AA121">
        <v>1000000</v>
      </c>
      <c r="AB121" s="3" t="s">
        <v>230</v>
      </c>
      <c r="AC121" s="3" t="s">
        <v>10</v>
      </c>
      <c r="AD121">
        <v>1097697</v>
      </c>
      <c r="AE121">
        <v>1097697</v>
      </c>
      <c r="AF121" s="3" t="s">
        <v>640</v>
      </c>
    </row>
    <row r="122" spans="1:32" x14ac:dyDescent="0.35">
      <c r="A122" s="3" t="s">
        <v>608</v>
      </c>
      <c r="B122" s="3" t="s">
        <v>608</v>
      </c>
      <c r="C122" s="3" t="s">
        <v>608</v>
      </c>
      <c r="D122" s="3" t="s">
        <v>608</v>
      </c>
      <c r="E122" s="3" t="s">
        <v>608</v>
      </c>
      <c r="F122" s="3" t="s">
        <v>242</v>
      </c>
      <c r="G122" s="3" t="s">
        <v>243</v>
      </c>
      <c r="H122" s="3" t="s">
        <v>243</v>
      </c>
      <c r="I122" s="3" t="s">
        <v>244</v>
      </c>
      <c r="J122" s="3" t="s">
        <v>4</v>
      </c>
      <c r="K122" s="3" t="s">
        <v>652</v>
      </c>
      <c r="L122" s="3" t="s">
        <v>245</v>
      </c>
      <c r="M122" s="3" t="s">
        <v>6</v>
      </c>
      <c r="N122">
        <v>1750000</v>
      </c>
      <c r="O122">
        <v>-1.9359999999999999</v>
      </c>
      <c r="P122">
        <v>62</v>
      </c>
      <c r="Q122">
        <v>18</v>
      </c>
      <c r="R122">
        <v>-49</v>
      </c>
      <c r="S122" s="3" t="s">
        <v>246</v>
      </c>
      <c r="T122">
        <v>-9</v>
      </c>
      <c r="U122">
        <v>-906</v>
      </c>
      <c r="V122">
        <v>-561</v>
      </c>
      <c r="W122">
        <v>-1.81</v>
      </c>
      <c r="X122">
        <v>-33873</v>
      </c>
      <c r="Y122" s="3" t="s">
        <v>640</v>
      </c>
      <c r="Z122">
        <v>-1.9370000000000001</v>
      </c>
      <c r="AA122">
        <v>1750000</v>
      </c>
      <c r="AB122" s="3" t="s">
        <v>230</v>
      </c>
      <c r="AC122" s="3" t="s">
        <v>10</v>
      </c>
      <c r="AD122">
        <v>-1750000</v>
      </c>
      <c r="AE122">
        <v>1750000</v>
      </c>
      <c r="AF122" s="3" t="s">
        <v>640</v>
      </c>
    </row>
    <row r="123" spans="1:32" x14ac:dyDescent="0.35">
      <c r="A123" s="3" t="s">
        <v>608</v>
      </c>
      <c r="B123" s="3" t="s">
        <v>608</v>
      </c>
      <c r="C123" s="3" t="s">
        <v>608</v>
      </c>
      <c r="D123" s="3" t="s">
        <v>608</v>
      </c>
      <c r="E123" s="3" t="s">
        <v>608</v>
      </c>
      <c r="F123" s="3" t="s">
        <v>247</v>
      </c>
      <c r="G123" s="3" t="s">
        <v>247</v>
      </c>
      <c r="H123" s="3" t="s">
        <v>248</v>
      </c>
      <c r="I123" s="3" t="s">
        <v>249</v>
      </c>
      <c r="J123" s="3" t="s">
        <v>4</v>
      </c>
      <c r="K123" s="3" t="s">
        <v>738</v>
      </c>
      <c r="L123" s="3" t="s">
        <v>30</v>
      </c>
      <c r="M123" s="3" t="s">
        <v>14</v>
      </c>
      <c r="N123">
        <v>0</v>
      </c>
      <c r="O123">
        <v>101.988</v>
      </c>
      <c r="P123">
        <v>161</v>
      </c>
      <c r="Q123">
        <v>0</v>
      </c>
      <c r="R123">
        <v>0</v>
      </c>
      <c r="S123" s="3" t="s">
        <v>250</v>
      </c>
      <c r="T123">
        <v>0</v>
      </c>
      <c r="U123">
        <v>0</v>
      </c>
      <c r="V123">
        <v>0</v>
      </c>
      <c r="W123">
        <v>0</v>
      </c>
      <c r="X123">
        <v>0</v>
      </c>
      <c r="Y123" s="3" t="s">
        <v>31</v>
      </c>
      <c r="Z123">
        <v>101.988</v>
      </c>
      <c r="AA123">
        <v>0</v>
      </c>
      <c r="AB123" s="3" t="s">
        <v>230</v>
      </c>
      <c r="AC123" s="3" t="s">
        <v>10</v>
      </c>
      <c r="AD123">
        <v>0</v>
      </c>
      <c r="AE123">
        <v>0</v>
      </c>
      <c r="AF123" s="3" t="s">
        <v>640</v>
      </c>
    </row>
    <row r="124" spans="1:32" x14ac:dyDescent="0.35">
      <c r="A124" s="3" t="s">
        <v>608</v>
      </c>
      <c r="B124" s="3" t="s">
        <v>608</v>
      </c>
      <c r="C124" s="3" t="s">
        <v>608</v>
      </c>
      <c r="D124" s="3" t="s">
        <v>608</v>
      </c>
      <c r="E124" s="3" t="s">
        <v>608</v>
      </c>
      <c r="F124" s="3" t="s">
        <v>2</v>
      </c>
      <c r="G124" s="3" t="s">
        <v>3</v>
      </c>
      <c r="H124" s="3" t="s">
        <v>3</v>
      </c>
      <c r="I124" s="3" t="s">
        <v>640</v>
      </c>
      <c r="J124" s="3" t="s">
        <v>4</v>
      </c>
      <c r="K124" s="3" t="s">
        <v>652</v>
      </c>
      <c r="L124" s="3" t="s">
        <v>5</v>
      </c>
      <c r="M124" s="3" t="s">
        <v>6</v>
      </c>
      <c r="N124">
        <v>5000000</v>
      </c>
      <c r="O124">
        <v>-2.5609999999999999</v>
      </c>
      <c r="P124">
        <v>50</v>
      </c>
      <c r="Q124">
        <v>818</v>
      </c>
      <c r="R124">
        <v>-139</v>
      </c>
      <c r="S124" s="3" t="s">
        <v>7</v>
      </c>
      <c r="T124">
        <v>34</v>
      </c>
      <c r="U124">
        <v>-2614</v>
      </c>
      <c r="V124">
        <v>-1306</v>
      </c>
      <c r="W124">
        <v>-4.21</v>
      </c>
      <c r="X124">
        <v>-128073</v>
      </c>
      <c r="Y124" s="3" t="s">
        <v>640</v>
      </c>
      <c r="Z124">
        <v>-2.5779999999999998</v>
      </c>
      <c r="AA124">
        <v>5000000</v>
      </c>
      <c r="AB124" s="3" t="s">
        <v>256</v>
      </c>
      <c r="AC124" s="3" t="s">
        <v>10</v>
      </c>
      <c r="AD124">
        <v>-5000000</v>
      </c>
      <c r="AE124">
        <v>5000000</v>
      </c>
      <c r="AF124" s="3" t="s">
        <v>640</v>
      </c>
    </row>
    <row r="125" spans="1:32" x14ac:dyDescent="0.35">
      <c r="A125" s="3" t="s">
        <v>608</v>
      </c>
      <c r="B125" s="3" t="s">
        <v>608</v>
      </c>
      <c r="C125" s="3" t="s">
        <v>608</v>
      </c>
      <c r="D125" s="3" t="s">
        <v>608</v>
      </c>
      <c r="E125" s="3" t="s">
        <v>608</v>
      </c>
      <c r="F125" s="3" t="s">
        <v>254</v>
      </c>
      <c r="G125" s="3" t="s">
        <v>255</v>
      </c>
      <c r="H125" s="3" t="s">
        <v>255</v>
      </c>
      <c r="I125" s="3" t="s">
        <v>640</v>
      </c>
      <c r="J125" s="3" t="s">
        <v>4</v>
      </c>
      <c r="K125" s="3" t="s">
        <v>652</v>
      </c>
      <c r="L125" s="3" t="s">
        <v>5</v>
      </c>
      <c r="M125" s="3" t="s">
        <v>6</v>
      </c>
      <c r="N125">
        <v>0</v>
      </c>
      <c r="O125">
        <v>-9.907</v>
      </c>
      <c r="P125">
        <v>286</v>
      </c>
      <c r="Q125">
        <v>1739</v>
      </c>
      <c r="R125">
        <v>-556</v>
      </c>
      <c r="S125" s="3" t="s">
        <v>7</v>
      </c>
      <c r="T125">
        <v>0</v>
      </c>
      <c r="U125">
        <v>0</v>
      </c>
      <c r="V125">
        <v>0</v>
      </c>
      <c r="W125">
        <v>0</v>
      </c>
      <c r="X125">
        <v>0</v>
      </c>
      <c r="Y125" s="3" t="s">
        <v>640</v>
      </c>
      <c r="Z125">
        <v>-10.013</v>
      </c>
      <c r="AA125">
        <v>4000000</v>
      </c>
      <c r="AB125" s="3" t="s">
        <v>256</v>
      </c>
      <c r="AC125" s="3" t="s">
        <v>10</v>
      </c>
      <c r="AD125">
        <v>0</v>
      </c>
      <c r="AE125">
        <v>0</v>
      </c>
      <c r="AF125" s="3" t="s">
        <v>640</v>
      </c>
    </row>
    <row r="126" spans="1:32" x14ac:dyDescent="0.35">
      <c r="A126" s="3" t="s">
        <v>608</v>
      </c>
      <c r="B126" s="3" t="s">
        <v>608</v>
      </c>
      <c r="C126" s="3" t="s">
        <v>608</v>
      </c>
      <c r="D126" s="3" t="s">
        <v>608</v>
      </c>
      <c r="E126" s="3" t="s">
        <v>608</v>
      </c>
      <c r="F126" s="3" t="s">
        <v>1366</v>
      </c>
      <c r="G126" s="3" t="s">
        <v>1366</v>
      </c>
      <c r="H126" s="3" t="s">
        <v>1368</v>
      </c>
      <c r="I126" s="3" t="s">
        <v>1370</v>
      </c>
      <c r="J126" s="3" t="s">
        <v>4</v>
      </c>
      <c r="K126" s="3" t="s">
        <v>1369</v>
      </c>
      <c r="L126" s="3" t="s">
        <v>30</v>
      </c>
      <c r="M126" s="3" t="s">
        <v>14</v>
      </c>
      <c r="N126">
        <v>-700000</v>
      </c>
      <c r="O126">
        <v>91.284000000000006</v>
      </c>
      <c r="P126">
        <v>545</v>
      </c>
      <c r="Q126">
        <v>-882</v>
      </c>
      <c r="R126">
        <v>-50</v>
      </c>
      <c r="S126" s="3" t="s">
        <v>263</v>
      </c>
      <c r="T126">
        <v>-245</v>
      </c>
      <c r="U126">
        <v>-247</v>
      </c>
      <c r="V126">
        <v>-1348</v>
      </c>
      <c r="W126">
        <v>-4.3499999999999996</v>
      </c>
      <c r="X126">
        <v>-638988</v>
      </c>
      <c r="Y126" s="3" t="s">
        <v>31</v>
      </c>
      <c r="Z126">
        <v>91.158000000000001</v>
      </c>
      <c r="AA126">
        <v>-700000</v>
      </c>
      <c r="AB126" s="3" t="s">
        <v>256</v>
      </c>
      <c r="AC126" s="3" t="s">
        <v>10</v>
      </c>
      <c r="AD126">
        <v>-649157</v>
      </c>
      <c r="AE126">
        <v>649157</v>
      </c>
      <c r="AF126" s="3" t="s">
        <v>640</v>
      </c>
    </row>
    <row r="127" spans="1:32" x14ac:dyDescent="0.35">
      <c r="A127" s="3" t="s">
        <v>608</v>
      </c>
      <c r="B127" s="3" t="s">
        <v>608</v>
      </c>
      <c r="C127" s="3" t="s">
        <v>608</v>
      </c>
      <c r="D127" s="3" t="s">
        <v>608</v>
      </c>
      <c r="E127" s="3" t="s">
        <v>608</v>
      </c>
      <c r="F127" s="3" t="s">
        <v>1237</v>
      </c>
      <c r="G127" s="3" t="s">
        <v>1237</v>
      </c>
      <c r="H127" s="3" t="s">
        <v>1238</v>
      </c>
      <c r="I127" s="3" t="s">
        <v>989</v>
      </c>
      <c r="J127" s="3" t="s">
        <v>4</v>
      </c>
      <c r="K127" s="3" t="s">
        <v>1239</v>
      </c>
      <c r="L127" s="3" t="s">
        <v>30</v>
      </c>
      <c r="M127" s="3" t="s">
        <v>14</v>
      </c>
      <c r="N127">
        <v>-400000</v>
      </c>
      <c r="O127">
        <v>105.205</v>
      </c>
      <c r="P127">
        <v>174</v>
      </c>
      <c r="Q127">
        <v>-464</v>
      </c>
      <c r="R127">
        <v>-30</v>
      </c>
      <c r="S127" s="3" t="s">
        <v>263</v>
      </c>
      <c r="T127">
        <v>-144</v>
      </c>
      <c r="U127">
        <v>-145</v>
      </c>
      <c r="V127">
        <v>-253</v>
      </c>
      <c r="W127">
        <v>-0.82</v>
      </c>
      <c r="X127">
        <v>-420820</v>
      </c>
      <c r="Y127" s="3" t="s">
        <v>31</v>
      </c>
      <c r="Z127">
        <v>105.089</v>
      </c>
      <c r="AA127">
        <v>-400000</v>
      </c>
      <c r="AB127" s="3" t="s">
        <v>256</v>
      </c>
      <c r="AC127" s="3" t="s">
        <v>10</v>
      </c>
      <c r="AD127">
        <v>-422688</v>
      </c>
      <c r="AE127">
        <v>422688</v>
      </c>
      <c r="AF127" s="3" t="s">
        <v>640</v>
      </c>
    </row>
    <row r="128" spans="1:32" x14ac:dyDescent="0.35">
      <c r="A128" s="3" t="s">
        <v>608</v>
      </c>
      <c r="B128" s="3" t="s">
        <v>608</v>
      </c>
      <c r="C128" s="3" t="s">
        <v>608</v>
      </c>
      <c r="D128" s="3" t="s">
        <v>608</v>
      </c>
      <c r="E128" s="3" t="s">
        <v>608</v>
      </c>
      <c r="F128" s="3" t="s">
        <v>257</v>
      </c>
      <c r="G128" s="3" t="s">
        <v>257</v>
      </c>
      <c r="H128" s="3" t="s">
        <v>258</v>
      </c>
      <c r="I128" s="3" t="s">
        <v>259</v>
      </c>
      <c r="J128" s="3" t="s">
        <v>4</v>
      </c>
      <c r="K128" s="3" t="s">
        <v>739</v>
      </c>
      <c r="L128" s="3" t="s">
        <v>30</v>
      </c>
      <c r="M128" s="3" t="s">
        <v>14</v>
      </c>
      <c r="N128">
        <v>945000</v>
      </c>
      <c r="O128">
        <v>105.379</v>
      </c>
      <c r="P128">
        <v>227</v>
      </c>
      <c r="Q128">
        <v>775</v>
      </c>
      <c r="R128">
        <v>100</v>
      </c>
      <c r="S128" s="3" t="s">
        <v>250</v>
      </c>
      <c r="T128">
        <v>250</v>
      </c>
      <c r="U128">
        <v>253</v>
      </c>
      <c r="V128">
        <v>574</v>
      </c>
      <c r="W128">
        <v>1.85</v>
      </c>
      <c r="X128">
        <v>995832</v>
      </c>
      <c r="Y128" s="3" t="s">
        <v>31</v>
      </c>
      <c r="Z128">
        <v>105.297</v>
      </c>
      <c r="AA128">
        <v>945000</v>
      </c>
      <c r="AB128" s="3" t="s">
        <v>256</v>
      </c>
      <c r="AC128" s="3" t="s">
        <v>10</v>
      </c>
      <c r="AD128">
        <v>1000246</v>
      </c>
      <c r="AE128">
        <v>1000246</v>
      </c>
      <c r="AF128" s="3" t="s">
        <v>640</v>
      </c>
    </row>
    <row r="129" spans="1:32" x14ac:dyDescent="0.35">
      <c r="A129" s="3" t="s">
        <v>608</v>
      </c>
      <c r="B129" s="3" t="s">
        <v>608</v>
      </c>
      <c r="C129" s="3" t="s">
        <v>608</v>
      </c>
      <c r="D129" s="3" t="s">
        <v>608</v>
      </c>
      <c r="E129" s="3" t="s">
        <v>608</v>
      </c>
      <c r="F129" s="3" t="s">
        <v>267</v>
      </c>
      <c r="G129" s="3" t="s">
        <v>267</v>
      </c>
      <c r="H129" s="3" t="s">
        <v>268</v>
      </c>
      <c r="I129" s="3" t="s">
        <v>269</v>
      </c>
      <c r="J129" s="3" t="s">
        <v>4</v>
      </c>
      <c r="K129" s="3" t="s">
        <v>742</v>
      </c>
      <c r="L129" s="3" t="s">
        <v>30</v>
      </c>
      <c r="M129" s="3" t="s">
        <v>14</v>
      </c>
      <c r="N129">
        <v>177000</v>
      </c>
      <c r="O129">
        <v>100.29600000000001</v>
      </c>
      <c r="P129">
        <v>337</v>
      </c>
      <c r="Q129">
        <v>57</v>
      </c>
      <c r="R129">
        <v>15</v>
      </c>
      <c r="S129" s="3" t="s">
        <v>263</v>
      </c>
      <c r="T129">
        <v>39</v>
      </c>
      <c r="U129">
        <v>39</v>
      </c>
      <c r="V129">
        <v>133</v>
      </c>
      <c r="W129">
        <v>0.43</v>
      </c>
      <c r="X129">
        <v>177524</v>
      </c>
      <c r="Y129" s="3" t="s">
        <v>31</v>
      </c>
      <c r="Z129">
        <v>100.264</v>
      </c>
      <c r="AA129">
        <v>177000</v>
      </c>
      <c r="AB129" s="3" t="s">
        <v>256</v>
      </c>
      <c r="AC129" s="3" t="s">
        <v>10</v>
      </c>
      <c r="AD129">
        <v>181248</v>
      </c>
      <c r="AE129">
        <v>181248</v>
      </c>
      <c r="AF129" s="3" t="s">
        <v>640</v>
      </c>
    </row>
    <row r="130" spans="1:32" x14ac:dyDescent="0.35">
      <c r="A130" s="3" t="s">
        <v>608</v>
      </c>
      <c r="B130" s="3" t="s">
        <v>608</v>
      </c>
      <c r="C130" s="3" t="s">
        <v>608</v>
      </c>
      <c r="D130" s="3" t="s">
        <v>608</v>
      </c>
      <c r="E130" s="3" t="s">
        <v>608</v>
      </c>
      <c r="F130" s="3" t="s">
        <v>270</v>
      </c>
      <c r="G130" s="3" t="s">
        <v>270</v>
      </c>
      <c r="H130" s="3" t="s">
        <v>271</v>
      </c>
      <c r="I130" s="3" t="s">
        <v>272</v>
      </c>
      <c r="J130" s="3" t="s">
        <v>4</v>
      </c>
      <c r="K130" s="3" t="s">
        <v>743</v>
      </c>
      <c r="L130" s="3" t="s">
        <v>30</v>
      </c>
      <c r="M130" s="3" t="s">
        <v>14</v>
      </c>
      <c r="N130">
        <v>0</v>
      </c>
      <c r="O130">
        <v>101.98</v>
      </c>
      <c r="P130">
        <v>317</v>
      </c>
      <c r="Q130">
        <v>0</v>
      </c>
      <c r="R130">
        <v>0</v>
      </c>
      <c r="S130" s="3" t="s">
        <v>263</v>
      </c>
      <c r="T130">
        <v>0</v>
      </c>
      <c r="U130">
        <v>0</v>
      </c>
      <c r="V130">
        <v>0</v>
      </c>
      <c r="W130">
        <v>0</v>
      </c>
      <c r="X130">
        <v>0</v>
      </c>
      <c r="Y130" s="3" t="s">
        <v>31</v>
      </c>
      <c r="Z130">
        <v>101.98</v>
      </c>
      <c r="AA130">
        <v>0</v>
      </c>
      <c r="AB130" s="3" t="s">
        <v>256</v>
      </c>
      <c r="AC130" s="3" t="s">
        <v>10</v>
      </c>
      <c r="AD130">
        <v>0</v>
      </c>
      <c r="AE130">
        <v>0</v>
      </c>
      <c r="AF130" s="3" t="s">
        <v>640</v>
      </c>
    </row>
    <row r="131" spans="1:32" x14ac:dyDescent="0.35">
      <c r="A131" s="3" t="s">
        <v>608</v>
      </c>
      <c r="B131" s="3" t="s">
        <v>608</v>
      </c>
      <c r="C131" s="3" t="s">
        <v>608</v>
      </c>
      <c r="D131" s="3" t="s">
        <v>608</v>
      </c>
      <c r="E131" s="3" t="s">
        <v>608</v>
      </c>
      <c r="F131" s="3" t="s">
        <v>273</v>
      </c>
      <c r="G131" s="3" t="s">
        <v>273</v>
      </c>
      <c r="H131" s="3" t="s">
        <v>274</v>
      </c>
      <c r="I131" s="3" t="s">
        <v>272</v>
      </c>
      <c r="J131" s="3" t="s">
        <v>4</v>
      </c>
      <c r="K131" s="3" t="s">
        <v>744</v>
      </c>
      <c r="L131" s="3" t="s">
        <v>30</v>
      </c>
      <c r="M131" s="3" t="s">
        <v>14</v>
      </c>
      <c r="N131">
        <v>1700000</v>
      </c>
      <c r="O131">
        <v>100.345</v>
      </c>
      <c r="P131">
        <v>276</v>
      </c>
      <c r="Q131">
        <v>901</v>
      </c>
      <c r="R131">
        <v>436</v>
      </c>
      <c r="S131" s="3" t="s">
        <v>263</v>
      </c>
      <c r="T131">
        <v>680</v>
      </c>
      <c r="U131">
        <v>687</v>
      </c>
      <c r="V131">
        <v>1898</v>
      </c>
      <c r="W131">
        <v>6.12</v>
      </c>
      <c r="X131">
        <v>1705865</v>
      </c>
      <c r="Y131" s="3" t="s">
        <v>31</v>
      </c>
      <c r="Z131">
        <v>100.292</v>
      </c>
      <c r="AA131">
        <v>1700000</v>
      </c>
      <c r="AB131" s="3" t="s">
        <v>256</v>
      </c>
      <c r="AC131" s="3" t="s">
        <v>10</v>
      </c>
      <c r="AD131">
        <v>1726882</v>
      </c>
      <c r="AE131">
        <v>1726882</v>
      </c>
      <c r="AF131" s="3" t="s">
        <v>640</v>
      </c>
    </row>
    <row r="132" spans="1:32" x14ac:dyDescent="0.35">
      <c r="A132" s="3" t="s">
        <v>608</v>
      </c>
      <c r="B132" s="3" t="s">
        <v>608</v>
      </c>
      <c r="C132" s="3" t="s">
        <v>608</v>
      </c>
      <c r="D132" s="3" t="s">
        <v>608</v>
      </c>
      <c r="E132" s="3" t="s">
        <v>608</v>
      </c>
      <c r="F132" s="3" t="s">
        <v>1400</v>
      </c>
      <c r="G132" s="3" t="s">
        <v>1400</v>
      </c>
      <c r="H132" s="3" t="s">
        <v>1401</v>
      </c>
      <c r="I132" s="3" t="s">
        <v>45</v>
      </c>
      <c r="J132" s="3" t="s">
        <v>266</v>
      </c>
      <c r="K132" s="3" t="s">
        <v>1402</v>
      </c>
      <c r="L132" s="3" t="s">
        <v>30</v>
      </c>
      <c r="M132" s="3" t="s">
        <v>14</v>
      </c>
      <c r="N132">
        <v>-5000000</v>
      </c>
      <c r="O132">
        <v>109.495</v>
      </c>
      <c r="P132">
        <v>287</v>
      </c>
      <c r="Q132">
        <v>-7632</v>
      </c>
      <c r="R132">
        <v>-571</v>
      </c>
      <c r="S132" s="3" t="s">
        <v>263</v>
      </c>
      <c r="T132">
        <v>-3493</v>
      </c>
      <c r="U132">
        <v>-3550</v>
      </c>
      <c r="V132">
        <v>-10187</v>
      </c>
      <c r="W132">
        <v>-32.86</v>
      </c>
      <c r="X132">
        <v>-4616147</v>
      </c>
      <c r="Y132" s="3" t="s">
        <v>31</v>
      </c>
      <c r="Z132">
        <v>109.313</v>
      </c>
      <c r="AA132">
        <v>-5000000</v>
      </c>
      <c r="AB132" s="3" t="s">
        <v>256</v>
      </c>
      <c r="AC132" s="3" t="s">
        <v>10</v>
      </c>
      <c r="AD132">
        <v>-4715001</v>
      </c>
      <c r="AE132">
        <v>4715001</v>
      </c>
      <c r="AF132" s="3" t="s">
        <v>640</v>
      </c>
    </row>
    <row r="133" spans="1:32" x14ac:dyDescent="0.35">
      <c r="A133" s="3" t="s">
        <v>608</v>
      </c>
      <c r="B133" s="3" t="s">
        <v>608</v>
      </c>
      <c r="C133" s="3" t="s">
        <v>608</v>
      </c>
      <c r="D133" s="3" t="s">
        <v>608</v>
      </c>
      <c r="E133" s="3" t="s">
        <v>608</v>
      </c>
      <c r="F133" s="3" t="s">
        <v>596</v>
      </c>
      <c r="G133" s="3" t="s">
        <v>596</v>
      </c>
      <c r="H133" s="3" t="s">
        <v>597</v>
      </c>
      <c r="I133" s="3" t="s">
        <v>45</v>
      </c>
      <c r="J133" s="3" t="s">
        <v>4</v>
      </c>
      <c r="K133" s="3" t="s">
        <v>746</v>
      </c>
      <c r="L133" s="3" t="s">
        <v>30</v>
      </c>
      <c r="M133" s="3" t="s">
        <v>14</v>
      </c>
      <c r="N133">
        <v>0</v>
      </c>
      <c r="O133">
        <v>107.096</v>
      </c>
      <c r="P133">
        <v>298</v>
      </c>
      <c r="Q133">
        <v>-188</v>
      </c>
      <c r="R133">
        <v>-13</v>
      </c>
      <c r="S133" s="3" t="s">
        <v>263</v>
      </c>
      <c r="T133">
        <v>0</v>
      </c>
      <c r="U133">
        <v>0</v>
      </c>
      <c r="V133">
        <v>0</v>
      </c>
      <c r="W133">
        <v>0</v>
      </c>
      <c r="X133">
        <v>0</v>
      </c>
      <c r="Y133" s="3" t="s">
        <v>31</v>
      </c>
      <c r="Z133">
        <v>106.977</v>
      </c>
      <c r="AA133">
        <v>-127000</v>
      </c>
      <c r="AB133" s="3" t="s">
        <v>256</v>
      </c>
      <c r="AC133" s="3" t="s">
        <v>10</v>
      </c>
      <c r="AD133">
        <v>13</v>
      </c>
      <c r="AE133">
        <v>13</v>
      </c>
      <c r="AF133" s="3" t="s">
        <v>640</v>
      </c>
    </row>
    <row r="134" spans="1:32" x14ac:dyDescent="0.35">
      <c r="A134" s="3" t="s">
        <v>608</v>
      </c>
      <c r="B134" s="3" t="s">
        <v>608</v>
      </c>
      <c r="C134" s="3" t="s">
        <v>608</v>
      </c>
      <c r="D134" s="3" t="s">
        <v>608</v>
      </c>
      <c r="E134" s="3" t="s">
        <v>608</v>
      </c>
      <c r="F134" s="3" t="s">
        <v>1760</v>
      </c>
      <c r="G134" s="3" t="s">
        <v>1760</v>
      </c>
      <c r="H134" s="3" t="s">
        <v>1761</v>
      </c>
      <c r="I134" s="3" t="s">
        <v>45</v>
      </c>
      <c r="J134" s="3" t="s">
        <v>283</v>
      </c>
      <c r="K134" s="3" t="s">
        <v>1762</v>
      </c>
      <c r="L134" s="3" t="s">
        <v>30</v>
      </c>
      <c r="M134" s="3" t="s">
        <v>14</v>
      </c>
      <c r="N134">
        <v>1000000</v>
      </c>
      <c r="O134">
        <v>106.304</v>
      </c>
      <c r="P134">
        <v>279</v>
      </c>
      <c r="Q134">
        <v>-793</v>
      </c>
      <c r="R134">
        <v>0</v>
      </c>
      <c r="S134" s="3" t="s">
        <v>250</v>
      </c>
      <c r="T134">
        <v>657</v>
      </c>
      <c r="U134">
        <v>669</v>
      </c>
      <c r="V134">
        <v>1868</v>
      </c>
      <c r="W134">
        <v>6.03</v>
      </c>
      <c r="X134">
        <v>1187184</v>
      </c>
      <c r="Y134" s="3" t="s">
        <v>31</v>
      </c>
      <c r="Z134">
        <v>105.986</v>
      </c>
      <c r="AA134">
        <v>0</v>
      </c>
      <c r="AB134" s="3" t="s">
        <v>256</v>
      </c>
      <c r="AC134" s="3" t="s">
        <v>10</v>
      </c>
      <c r="AD134">
        <v>1204650</v>
      </c>
      <c r="AE134">
        <v>1204650</v>
      </c>
      <c r="AF134" s="3" t="s">
        <v>640</v>
      </c>
    </row>
    <row r="135" spans="1:32" x14ac:dyDescent="0.35">
      <c r="A135" s="3" t="s">
        <v>608</v>
      </c>
      <c r="B135" s="3" t="s">
        <v>608</v>
      </c>
      <c r="C135" s="3" t="s">
        <v>608</v>
      </c>
      <c r="D135" s="3" t="s">
        <v>608</v>
      </c>
      <c r="E135" s="3" t="s">
        <v>608</v>
      </c>
      <c r="F135" s="3" t="s">
        <v>1638</v>
      </c>
      <c r="G135" s="3" t="s">
        <v>1638</v>
      </c>
      <c r="H135" s="3" t="s">
        <v>1639</v>
      </c>
      <c r="I135" s="3" t="s">
        <v>45</v>
      </c>
      <c r="J135" s="3" t="s">
        <v>266</v>
      </c>
      <c r="K135" s="3" t="s">
        <v>1640</v>
      </c>
      <c r="L135" s="3" t="s">
        <v>30</v>
      </c>
      <c r="M135" s="3" t="s">
        <v>14</v>
      </c>
      <c r="N135">
        <v>11000000</v>
      </c>
      <c r="O135">
        <v>106.52800000000001</v>
      </c>
      <c r="P135">
        <v>244</v>
      </c>
      <c r="Q135">
        <v>5695</v>
      </c>
      <c r="R135">
        <v>0</v>
      </c>
      <c r="S135" s="3" t="s">
        <v>263</v>
      </c>
      <c r="T135">
        <v>4115</v>
      </c>
      <c r="U135">
        <v>4183</v>
      </c>
      <c r="V135">
        <v>10192</v>
      </c>
      <c r="W135">
        <v>32.880000000000003</v>
      </c>
      <c r="X135">
        <v>9880337</v>
      </c>
      <c r="Y135" s="3" t="s">
        <v>31</v>
      </c>
      <c r="Z135">
        <v>106.434</v>
      </c>
      <c r="AA135">
        <v>4000000</v>
      </c>
      <c r="AB135" s="3" t="s">
        <v>256</v>
      </c>
      <c r="AC135" s="3" t="s">
        <v>10</v>
      </c>
      <c r="AD135">
        <v>9956049</v>
      </c>
      <c r="AE135">
        <v>9956049</v>
      </c>
      <c r="AF135" s="3" t="s">
        <v>640</v>
      </c>
    </row>
    <row r="136" spans="1:32" x14ac:dyDescent="0.35">
      <c r="A136" s="3" t="s">
        <v>608</v>
      </c>
      <c r="B136" s="3" t="s">
        <v>608</v>
      </c>
      <c r="C136" s="3" t="s">
        <v>608</v>
      </c>
      <c r="D136" s="3" t="s">
        <v>608</v>
      </c>
      <c r="E136" s="3" t="s">
        <v>608</v>
      </c>
      <c r="F136" s="3" t="s">
        <v>280</v>
      </c>
      <c r="G136" s="3" t="s">
        <v>280</v>
      </c>
      <c r="H136" s="3" t="s">
        <v>281</v>
      </c>
      <c r="I136" s="3" t="s">
        <v>282</v>
      </c>
      <c r="J136" s="3" t="s">
        <v>283</v>
      </c>
      <c r="K136" s="3" t="s">
        <v>748</v>
      </c>
      <c r="L136" s="3" t="s">
        <v>30</v>
      </c>
      <c r="M136" s="3" t="s">
        <v>14</v>
      </c>
      <c r="N136">
        <v>-9960000</v>
      </c>
      <c r="O136">
        <v>106.735</v>
      </c>
      <c r="P136">
        <v>336</v>
      </c>
      <c r="Q136">
        <v>-15793</v>
      </c>
      <c r="R136">
        <v>-1604</v>
      </c>
      <c r="S136" s="3" t="s">
        <v>263</v>
      </c>
      <c r="T136">
        <v>-4659</v>
      </c>
      <c r="U136">
        <v>-4731</v>
      </c>
      <c r="V136">
        <v>-15892</v>
      </c>
      <c r="W136">
        <v>-51.26</v>
      </c>
      <c r="X136">
        <v>-11872292</v>
      </c>
      <c r="Y136" s="3" t="s">
        <v>31</v>
      </c>
      <c r="Z136">
        <v>106.592</v>
      </c>
      <c r="AA136">
        <v>-9960000</v>
      </c>
      <c r="AB136" s="3" t="s">
        <v>256</v>
      </c>
      <c r="AC136" s="3" t="s">
        <v>10</v>
      </c>
      <c r="AD136">
        <v>-11928317</v>
      </c>
      <c r="AE136">
        <v>11928317</v>
      </c>
      <c r="AF136" s="3" t="s">
        <v>640</v>
      </c>
    </row>
    <row r="137" spans="1:32" x14ac:dyDescent="0.35">
      <c r="A137" s="3" t="s">
        <v>608</v>
      </c>
      <c r="B137" s="3" t="s">
        <v>608</v>
      </c>
      <c r="C137" s="3" t="s">
        <v>608</v>
      </c>
      <c r="D137" s="3" t="s">
        <v>608</v>
      </c>
      <c r="E137" s="3" t="s">
        <v>608</v>
      </c>
      <c r="F137" s="3" t="s">
        <v>284</v>
      </c>
      <c r="G137" s="3" t="s">
        <v>284</v>
      </c>
      <c r="H137" s="3" t="s">
        <v>285</v>
      </c>
      <c r="I137" s="3" t="s">
        <v>282</v>
      </c>
      <c r="J137" s="3" t="s">
        <v>4</v>
      </c>
      <c r="K137" s="3" t="s">
        <v>749</v>
      </c>
      <c r="L137" s="3" t="s">
        <v>30</v>
      </c>
      <c r="M137" s="3" t="s">
        <v>14</v>
      </c>
      <c r="N137">
        <v>16558000</v>
      </c>
      <c r="O137">
        <v>100.66800000000001</v>
      </c>
      <c r="P137">
        <v>175</v>
      </c>
      <c r="Q137">
        <v>662</v>
      </c>
      <c r="R137">
        <v>1361</v>
      </c>
      <c r="S137" s="3" t="s">
        <v>263</v>
      </c>
      <c r="T137">
        <v>657</v>
      </c>
      <c r="U137">
        <v>667</v>
      </c>
      <c r="V137">
        <v>1171</v>
      </c>
      <c r="W137">
        <v>3.78</v>
      </c>
      <c r="X137">
        <v>16668607</v>
      </c>
      <c r="Y137" s="3" t="s">
        <v>31</v>
      </c>
      <c r="Z137">
        <v>100.664</v>
      </c>
      <c r="AA137">
        <v>16558000</v>
      </c>
      <c r="AB137" s="3" t="s">
        <v>256</v>
      </c>
      <c r="AC137" s="3" t="s">
        <v>10</v>
      </c>
      <c r="AD137">
        <v>16970734</v>
      </c>
      <c r="AE137">
        <v>16970734</v>
      </c>
      <c r="AF137" s="3" t="s">
        <v>640</v>
      </c>
    </row>
    <row r="138" spans="1:32" x14ac:dyDescent="0.35">
      <c r="A138" s="3" t="s">
        <v>608</v>
      </c>
      <c r="B138" s="3" t="s">
        <v>608</v>
      </c>
      <c r="C138" s="3" t="s">
        <v>608</v>
      </c>
      <c r="D138" s="3" t="s">
        <v>608</v>
      </c>
      <c r="E138" s="3" t="s">
        <v>608</v>
      </c>
      <c r="F138" s="3" t="s">
        <v>598</v>
      </c>
      <c r="G138" s="3" t="s">
        <v>598</v>
      </c>
      <c r="H138" s="3" t="s">
        <v>599</v>
      </c>
      <c r="I138" s="3" t="s">
        <v>600</v>
      </c>
      <c r="J138" s="3" t="s">
        <v>4</v>
      </c>
      <c r="K138" s="3" t="s">
        <v>750</v>
      </c>
      <c r="L138" s="3" t="s">
        <v>30</v>
      </c>
      <c r="M138" s="3" t="s">
        <v>14</v>
      </c>
      <c r="N138">
        <v>0</v>
      </c>
      <c r="O138">
        <v>99.438000000000002</v>
      </c>
      <c r="P138">
        <v>541</v>
      </c>
      <c r="Q138">
        <v>6385</v>
      </c>
      <c r="R138">
        <v>293</v>
      </c>
      <c r="S138" s="3" t="s">
        <v>250</v>
      </c>
      <c r="T138">
        <v>0</v>
      </c>
      <c r="U138">
        <v>0</v>
      </c>
      <c r="V138">
        <v>0</v>
      </c>
      <c r="W138">
        <v>0</v>
      </c>
      <c r="X138">
        <v>0</v>
      </c>
      <c r="Y138" s="3" t="s">
        <v>31</v>
      </c>
      <c r="Z138">
        <v>99.209000000000003</v>
      </c>
      <c r="AA138">
        <v>2194000</v>
      </c>
      <c r="AB138" s="3" t="s">
        <v>256</v>
      </c>
      <c r="AC138" s="3" t="s">
        <v>10</v>
      </c>
      <c r="AD138">
        <v>-293</v>
      </c>
      <c r="AE138">
        <v>293</v>
      </c>
      <c r="AF138" s="3" t="s">
        <v>640</v>
      </c>
    </row>
    <row r="139" spans="1:32" x14ac:dyDescent="0.35">
      <c r="A139" s="3" t="s">
        <v>608</v>
      </c>
      <c r="B139" s="3" t="s">
        <v>608</v>
      </c>
      <c r="C139" s="3" t="s">
        <v>608</v>
      </c>
      <c r="D139" s="3" t="s">
        <v>608</v>
      </c>
      <c r="E139" s="3" t="s">
        <v>608</v>
      </c>
      <c r="F139" s="3" t="s">
        <v>601</v>
      </c>
      <c r="G139" s="3" t="s">
        <v>601</v>
      </c>
      <c r="H139" s="3" t="s">
        <v>599</v>
      </c>
      <c r="I139" s="3" t="s">
        <v>600</v>
      </c>
      <c r="J139" s="3" t="s">
        <v>4</v>
      </c>
      <c r="K139" s="3" t="s">
        <v>751</v>
      </c>
      <c r="L139" s="3" t="s">
        <v>30</v>
      </c>
      <c r="M139" s="3" t="s">
        <v>14</v>
      </c>
      <c r="N139">
        <v>-2916000</v>
      </c>
      <c r="O139">
        <v>100.92700000000001</v>
      </c>
      <c r="P139">
        <v>511</v>
      </c>
      <c r="Q139">
        <v>-5424</v>
      </c>
      <c r="R139">
        <v>-389</v>
      </c>
      <c r="S139" s="3" t="s">
        <v>250</v>
      </c>
      <c r="T139">
        <v>-1203</v>
      </c>
      <c r="U139">
        <v>-1215</v>
      </c>
      <c r="V139">
        <v>-6210</v>
      </c>
      <c r="W139">
        <v>-20.03</v>
      </c>
      <c r="X139">
        <v>-2943031</v>
      </c>
      <c r="Y139" s="3" t="s">
        <v>31</v>
      </c>
      <c r="Z139">
        <v>100.741</v>
      </c>
      <c r="AA139">
        <v>-2916000</v>
      </c>
      <c r="AB139" s="3" t="s">
        <v>256</v>
      </c>
      <c r="AC139" s="3" t="s">
        <v>10</v>
      </c>
      <c r="AD139">
        <v>-2955884</v>
      </c>
      <c r="AE139">
        <v>2955884</v>
      </c>
      <c r="AF139" s="3" t="s">
        <v>640</v>
      </c>
    </row>
    <row r="140" spans="1:32" x14ac:dyDescent="0.35">
      <c r="A140" s="3" t="s">
        <v>608</v>
      </c>
      <c r="B140" s="3" t="s">
        <v>608</v>
      </c>
      <c r="C140" s="3" t="s">
        <v>608</v>
      </c>
      <c r="D140" s="3" t="s">
        <v>608</v>
      </c>
      <c r="E140" s="3" t="s">
        <v>608</v>
      </c>
      <c r="F140" s="3" t="s">
        <v>286</v>
      </c>
      <c r="G140" s="3" t="s">
        <v>286</v>
      </c>
      <c r="H140" s="3" t="s">
        <v>287</v>
      </c>
      <c r="I140" s="3" t="s">
        <v>288</v>
      </c>
      <c r="J140" s="3" t="s">
        <v>4</v>
      </c>
      <c r="K140" s="3" t="s">
        <v>752</v>
      </c>
      <c r="L140" s="3" t="s">
        <v>30</v>
      </c>
      <c r="M140" s="3" t="s">
        <v>14</v>
      </c>
      <c r="N140">
        <v>-1300000</v>
      </c>
      <c r="O140">
        <v>102.089</v>
      </c>
      <c r="P140">
        <v>164</v>
      </c>
      <c r="Q140">
        <v>-1235</v>
      </c>
      <c r="R140">
        <v>-57</v>
      </c>
      <c r="S140" s="3" t="s">
        <v>263</v>
      </c>
      <c r="T140">
        <v>-1069</v>
      </c>
      <c r="U140">
        <v>-1082</v>
      </c>
      <c r="V140">
        <v>-1774</v>
      </c>
      <c r="W140">
        <v>-5.72</v>
      </c>
      <c r="X140">
        <v>-1327157</v>
      </c>
      <c r="Y140" s="3" t="s">
        <v>31</v>
      </c>
      <c r="Z140">
        <v>101.994</v>
      </c>
      <c r="AA140">
        <v>-1300000</v>
      </c>
      <c r="AB140" s="3" t="s">
        <v>256</v>
      </c>
      <c r="AC140" s="3" t="s">
        <v>10</v>
      </c>
      <c r="AD140">
        <v>-1328924</v>
      </c>
      <c r="AE140">
        <v>1328924</v>
      </c>
      <c r="AF140" s="3" t="s">
        <v>640</v>
      </c>
    </row>
    <row r="141" spans="1:32" x14ac:dyDescent="0.35">
      <c r="A141" s="3" t="s">
        <v>608</v>
      </c>
      <c r="B141" s="3" t="s">
        <v>608</v>
      </c>
      <c r="C141" s="3" t="s">
        <v>608</v>
      </c>
      <c r="D141" s="3" t="s">
        <v>608</v>
      </c>
      <c r="E141" s="3" t="s">
        <v>608</v>
      </c>
      <c r="F141" s="3" t="s">
        <v>289</v>
      </c>
      <c r="G141" s="3" t="s">
        <v>289</v>
      </c>
      <c r="H141" s="3" t="s">
        <v>290</v>
      </c>
      <c r="I141" s="3" t="s">
        <v>291</v>
      </c>
      <c r="J141" s="3" t="s">
        <v>4</v>
      </c>
      <c r="K141" s="3" t="s">
        <v>753</v>
      </c>
      <c r="L141" s="3" t="s">
        <v>30</v>
      </c>
      <c r="M141" s="3" t="s">
        <v>14</v>
      </c>
      <c r="N141">
        <v>-12600000</v>
      </c>
      <c r="O141">
        <v>101.583</v>
      </c>
      <c r="P141">
        <v>139</v>
      </c>
      <c r="Q141">
        <v>-4032</v>
      </c>
      <c r="R141">
        <v>-432</v>
      </c>
      <c r="S141" s="3" t="s">
        <v>250</v>
      </c>
      <c r="T141">
        <v>-7755</v>
      </c>
      <c r="U141">
        <v>-7837</v>
      </c>
      <c r="V141">
        <v>-10881</v>
      </c>
      <c r="W141">
        <v>-35.1</v>
      </c>
      <c r="X141">
        <v>-12799458</v>
      </c>
      <c r="Y141" s="3" t="s">
        <v>31</v>
      </c>
      <c r="Z141">
        <v>101.551</v>
      </c>
      <c r="AA141">
        <v>-12600000</v>
      </c>
      <c r="AB141" s="3" t="s">
        <v>256</v>
      </c>
      <c r="AC141" s="3" t="s">
        <v>10</v>
      </c>
      <c r="AD141">
        <v>-12866342</v>
      </c>
      <c r="AE141">
        <v>12866342</v>
      </c>
      <c r="AF141" s="3" t="s">
        <v>640</v>
      </c>
    </row>
    <row r="142" spans="1:32" x14ac:dyDescent="0.35">
      <c r="A142" s="3" t="s">
        <v>608</v>
      </c>
      <c r="B142" s="3" t="s">
        <v>608</v>
      </c>
      <c r="C142" s="3" t="s">
        <v>608</v>
      </c>
      <c r="D142" s="3" t="s">
        <v>608</v>
      </c>
      <c r="E142" s="3" t="s">
        <v>608</v>
      </c>
      <c r="F142" s="3" t="s">
        <v>292</v>
      </c>
      <c r="G142" s="3" t="s">
        <v>292</v>
      </c>
      <c r="H142" s="3" t="s">
        <v>293</v>
      </c>
      <c r="I142" s="3" t="s">
        <v>294</v>
      </c>
      <c r="J142" s="3" t="s">
        <v>4</v>
      </c>
      <c r="K142" s="3" t="s">
        <v>754</v>
      </c>
      <c r="L142" s="3" t="s">
        <v>30</v>
      </c>
      <c r="M142" s="3" t="s">
        <v>14</v>
      </c>
      <c r="N142">
        <v>4200000</v>
      </c>
      <c r="O142">
        <v>104.735</v>
      </c>
      <c r="P142">
        <v>307</v>
      </c>
      <c r="Q142">
        <v>4620</v>
      </c>
      <c r="R142">
        <v>0</v>
      </c>
      <c r="S142" s="3" t="s">
        <v>263</v>
      </c>
      <c r="T142">
        <v>3581</v>
      </c>
      <c r="U142">
        <v>3623</v>
      </c>
      <c r="V142">
        <v>11117</v>
      </c>
      <c r="W142">
        <v>35.86</v>
      </c>
      <c r="X142">
        <v>4398870</v>
      </c>
      <c r="Y142" s="3" t="s">
        <v>31</v>
      </c>
      <c r="Z142">
        <v>101.745</v>
      </c>
      <c r="AA142">
        <v>0</v>
      </c>
      <c r="AB142" s="3" t="s">
        <v>256</v>
      </c>
      <c r="AC142" s="3" t="s">
        <v>10</v>
      </c>
      <c r="AD142">
        <v>4424113</v>
      </c>
      <c r="AE142">
        <v>4424113</v>
      </c>
      <c r="AF142" s="3" t="s">
        <v>640</v>
      </c>
    </row>
    <row r="143" spans="1:32" x14ac:dyDescent="0.35">
      <c r="A143" s="3" t="s">
        <v>608</v>
      </c>
      <c r="B143" s="3" t="s">
        <v>608</v>
      </c>
      <c r="C143" s="3" t="s">
        <v>608</v>
      </c>
      <c r="D143" s="3" t="s">
        <v>608</v>
      </c>
      <c r="E143" s="3" t="s">
        <v>608</v>
      </c>
      <c r="F143" s="3" t="s">
        <v>606</v>
      </c>
      <c r="G143" s="3" t="s">
        <v>606</v>
      </c>
      <c r="H143" s="3" t="s">
        <v>607</v>
      </c>
      <c r="I143" s="3" t="s">
        <v>294</v>
      </c>
      <c r="J143" s="3" t="s">
        <v>283</v>
      </c>
      <c r="K143" s="3" t="s">
        <v>755</v>
      </c>
      <c r="L143" s="3" t="s">
        <v>30</v>
      </c>
      <c r="M143" s="3" t="s">
        <v>14</v>
      </c>
      <c r="N143">
        <v>0</v>
      </c>
      <c r="O143">
        <v>112.55</v>
      </c>
      <c r="P143">
        <v>363</v>
      </c>
      <c r="Q143">
        <v>0</v>
      </c>
      <c r="R143">
        <v>71</v>
      </c>
      <c r="S143" s="3" t="s">
        <v>263</v>
      </c>
      <c r="T143">
        <v>0</v>
      </c>
      <c r="U143">
        <v>0</v>
      </c>
      <c r="V143">
        <v>0</v>
      </c>
      <c r="W143">
        <v>0</v>
      </c>
      <c r="X143">
        <v>0</v>
      </c>
      <c r="Y143" s="3" t="s">
        <v>31</v>
      </c>
      <c r="Z143">
        <v>112.55</v>
      </c>
      <c r="AA143">
        <v>0</v>
      </c>
      <c r="AB143" s="3" t="s">
        <v>256</v>
      </c>
      <c r="AC143" s="3" t="s">
        <v>10</v>
      </c>
      <c r="AD143">
        <v>0</v>
      </c>
      <c r="AE143">
        <v>0</v>
      </c>
      <c r="AF143" s="3" t="s">
        <v>640</v>
      </c>
    </row>
    <row r="144" spans="1:32" x14ac:dyDescent="0.35">
      <c r="A144" s="3" t="s">
        <v>608</v>
      </c>
      <c r="B144" s="3" t="s">
        <v>608</v>
      </c>
      <c r="C144" s="3" t="s">
        <v>608</v>
      </c>
      <c r="D144" s="3" t="s">
        <v>608</v>
      </c>
      <c r="E144" s="3" t="s">
        <v>608</v>
      </c>
      <c r="F144" s="3" t="s">
        <v>297</v>
      </c>
      <c r="G144" s="3" t="s">
        <v>297</v>
      </c>
      <c r="H144" s="3" t="s">
        <v>298</v>
      </c>
      <c r="I144" s="3" t="s">
        <v>294</v>
      </c>
      <c r="J144" s="3" t="s">
        <v>4</v>
      </c>
      <c r="K144" s="3" t="s">
        <v>757</v>
      </c>
      <c r="L144" s="3" t="s">
        <v>30</v>
      </c>
      <c r="M144" s="3" t="s">
        <v>14</v>
      </c>
      <c r="N144">
        <v>-4200000</v>
      </c>
      <c r="O144">
        <v>103.679</v>
      </c>
      <c r="P144">
        <v>263</v>
      </c>
      <c r="Q144">
        <v>10482</v>
      </c>
      <c r="R144">
        <v>0</v>
      </c>
      <c r="S144" s="3" t="s">
        <v>263</v>
      </c>
      <c r="T144">
        <v>-2412</v>
      </c>
      <c r="U144">
        <v>-2437</v>
      </c>
      <c r="V144">
        <v>-6419</v>
      </c>
      <c r="W144">
        <v>-20.71</v>
      </c>
      <c r="X144">
        <v>-4354518</v>
      </c>
      <c r="Y144" s="3" t="s">
        <v>31</v>
      </c>
      <c r="Z144">
        <v>103.5</v>
      </c>
      <c r="AA144">
        <v>3000000</v>
      </c>
      <c r="AB144" s="3" t="s">
        <v>256</v>
      </c>
      <c r="AC144" s="3" t="s">
        <v>10</v>
      </c>
      <c r="AD144">
        <v>-4376258</v>
      </c>
      <c r="AE144">
        <v>4376258</v>
      </c>
      <c r="AF144" s="3" t="s">
        <v>640</v>
      </c>
    </row>
    <row r="145" spans="1:32" x14ac:dyDescent="0.35">
      <c r="A145" s="3" t="s">
        <v>608</v>
      </c>
      <c r="B145" s="3" t="s">
        <v>608</v>
      </c>
      <c r="C145" s="3" t="s">
        <v>608</v>
      </c>
      <c r="D145" s="3" t="s">
        <v>608</v>
      </c>
      <c r="E145" s="3" t="s">
        <v>608</v>
      </c>
      <c r="F145" s="3" t="s">
        <v>299</v>
      </c>
      <c r="G145" s="3" t="s">
        <v>299</v>
      </c>
      <c r="H145" s="3" t="s">
        <v>300</v>
      </c>
      <c r="I145" s="3" t="s">
        <v>294</v>
      </c>
      <c r="J145" s="3" t="s">
        <v>283</v>
      </c>
      <c r="K145" s="3" t="s">
        <v>758</v>
      </c>
      <c r="L145" s="3" t="s">
        <v>30</v>
      </c>
      <c r="M145" s="3" t="s">
        <v>14</v>
      </c>
      <c r="N145">
        <v>0</v>
      </c>
      <c r="O145">
        <v>112.432</v>
      </c>
      <c r="P145">
        <v>311</v>
      </c>
      <c r="Q145">
        <v>-21608</v>
      </c>
      <c r="R145">
        <v>-819</v>
      </c>
      <c r="S145" s="3" t="s">
        <v>263</v>
      </c>
      <c r="T145">
        <v>0</v>
      </c>
      <c r="U145">
        <v>0</v>
      </c>
      <c r="V145">
        <v>0</v>
      </c>
      <c r="W145">
        <v>0</v>
      </c>
      <c r="X145">
        <v>0</v>
      </c>
      <c r="Y145" s="3" t="s">
        <v>31</v>
      </c>
      <c r="Z145">
        <v>112.224</v>
      </c>
      <c r="AA145">
        <v>-4500000</v>
      </c>
      <c r="AB145" s="3" t="s">
        <v>256</v>
      </c>
      <c r="AC145" s="3" t="s">
        <v>10</v>
      </c>
      <c r="AD145">
        <v>734</v>
      </c>
      <c r="AE145">
        <v>734</v>
      </c>
      <c r="AF145" s="3" t="s">
        <v>640</v>
      </c>
    </row>
    <row r="146" spans="1:32" x14ac:dyDescent="0.35">
      <c r="A146" s="3" t="s">
        <v>608</v>
      </c>
      <c r="B146" s="3" t="s">
        <v>608</v>
      </c>
      <c r="C146" s="3" t="s">
        <v>608</v>
      </c>
      <c r="D146" s="3" t="s">
        <v>608</v>
      </c>
      <c r="E146" s="3" t="s">
        <v>608</v>
      </c>
      <c r="F146" s="3" t="s">
        <v>1221</v>
      </c>
      <c r="G146" s="3" t="s">
        <v>1221</v>
      </c>
      <c r="H146" s="3" t="s">
        <v>1222</v>
      </c>
      <c r="I146" s="3" t="s">
        <v>294</v>
      </c>
      <c r="J146" s="3" t="s">
        <v>4</v>
      </c>
      <c r="K146" s="3" t="s">
        <v>1223</v>
      </c>
      <c r="L146" s="3" t="s">
        <v>30</v>
      </c>
      <c r="M146" s="3" t="s">
        <v>14</v>
      </c>
      <c r="N146">
        <v>1200000</v>
      </c>
      <c r="O146">
        <v>113.815</v>
      </c>
      <c r="P146">
        <v>260</v>
      </c>
      <c r="Q146">
        <v>2232</v>
      </c>
      <c r="R146">
        <v>96</v>
      </c>
      <c r="S146" s="3" t="s">
        <v>263</v>
      </c>
      <c r="T146">
        <v>632</v>
      </c>
      <c r="U146">
        <v>638</v>
      </c>
      <c r="V146">
        <v>1656</v>
      </c>
      <c r="W146">
        <v>5.34</v>
      </c>
      <c r="X146">
        <v>1365780</v>
      </c>
      <c r="Y146" s="3" t="s">
        <v>31</v>
      </c>
      <c r="Z146">
        <v>113.629</v>
      </c>
      <c r="AA146">
        <v>1200000</v>
      </c>
      <c r="AB146" s="3" t="s">
        <v>256</v>
      </c>
      <c r="AC146" s="3" t="s">
        <v>10</v>
      </c>
      <c r="AD146">
        <v>1415124</v>
      </c>
      <c r="AE146">
        <v>1415124</v>
      </c>
      <c r="AF146" s="3" t="s">
        <v>640</v>
      </c>
    </row>
    <row r="147" spans="1:32" x14ac:dyDescent="0.35">
      <c r="A147" s="3" t="s">
        <v>608</v>
      </c>
      <c r="B147" s="3" t="s">
        <v>608</v>
      </c>
      <c r="C147" s="3" t="s">
        <v>608</v>
      </c>
      <c r="D147" s="3" t="s">
        <v>608</v>
      </c>
      <c r="E147" s="3" t="s">
        <v>608</v>
      </c>
      <c r="F147" s="3" t="s">
        <v>301</v>
      </c>
      <c r="G147" s="3" t="s">
        <v>301</v>
      </c>
      <c r="H147" s="3" t="s">
        <v>302</v>
      </c>
      <c r="I147" s="3" t="s">
        <v>294</v>
      </c>
      <c r="J147" s="3" t="s">
        <v>4</v>
      </c>
      <c r="K147" s="3" t="s">
        <v>759</v>
      </c>
      <c r="L147" s="3" t="s">
        <v>30</v>
      </c>
      <c r="M147" s="3" t="s">
        <v>14</v>
      </c>
      <c r="N147">
        <v>-700000</v>
      </c>
      <c r="O147">
        <v>113.78</v>
      </c>
      <c r="P147">
        <v>240</v>
      </c>
      <c r="Q147">
        <v>-518</v>
      </c>
      <c r="R147">
        <v>-294</v>
      </c>
      <c r="S147" s="3" t="s">
        <v>263</v>
      </c>
      <c r="T147">
        <v>-304</v>
      </c>
      <c r="U147">
        <v>-307</v>
      </c>
      <c r="V147">
        <v>-737</v>
      </c>
      <c r="W147">
        <v>-2.38</v>
      </c>
      <c r="X147">
        <v>-796460</v>
      </c>
      <c r="Y147" s="3" t="s">
        <v>31</v>
      </c>
      <c r="Z147">
        <v>113.706</v>
      </c>
      <c r="AA147">
        <v>-700000</v>
      </c>
      <c r="AB147" s="3" t="s">
        <v>256</v>
      </c>
      <c r="AC147" s="3" t="s">
        <v>10</v>
      </c>
      <c r="AD147">
        <v>-826683</v>
      </c>
      <c r="AE147">
        <v>826683</v>
      </c>
      <c r="AF147" s="3" t="s">
        <v>640</v>
      </c>
    </row>
    <row r="148" spans="1:32" x14ac:dyDescent="0.35">
      <c r="A148" s="3" t="s">
        <v>608</v>
      </c>
      <c r="B148" s="3" t="s">
        <v>608</v>
      </c>
      <c r="C148" s="3" t="s">
        <v>608</v>
      </c>
      <c r="D148" s="3" t="s">
        <v>608</v>
      </c>
      <c r="E148" s="3" t="s">
        <v>608</v>
      </c>
      <c r="F148" s="3" t="s">
        <v>1243</v>
      </c>
      <c r="G148" s="3" t="s">
        <v>1243</v>
      </c>
      <c r="H148" s="3" t="s">
        <v>1244</v>
      </c>
      <c r="I148" s="3" t="s">
        <v>294</v>
      </c>
      <c r="J148" s="3" t="s">
        <v>266</v>
      </c>
      <c r="K148" s="3" t="s">
        <v>1245</v>
      </c>
      <c r="L148" s="3" t="s">
        <v>30</v>
      </c>
      <c r="M148" s="3" t="s">
        <v>14</v>
      </c>
      <c r="N148">
        <v>-1475000</v>
      </c>
      <c r="O148">
        <v>107.521</v>
      </c>
      <c r="P148">
        <v>280</v>
      </c>
      <c r="Q148">
        <v>-2206</v>
      </c>
      <c r="R148">
        <v>-366</v>
      </c>
      <c r="S148" s="3" t="s">
        <v>263</v>
      </c>
      <c r="T148">
        <v>-390</v>
      </c>
      <c r="U148">
        <v>-396</v>
      </c>
      <c r="V148">
        <v>-1111</v>
      </c>
      <c r="W148">
        <v>-3.58</v>
      </c>
      <c r="X148">
        <v>-1337213</v>
      </c>
      <c r="Y148" s="3" t="s">
        <v>31</v>
      </c>
      <c r="Z148">
        <v>107.43300000000001</v>
      </c>
      <c r="AA148">
        <v>-2275000</v>
      </c>
      <c r="AB148" s="3" t="s">
        <v>256</v>
      </c>
      <c r="AC148" s="3" t="s">
        <v>10</v>
      </c>
      <c r="AD148">
        <v>-1363822</v>
      </c>
      <c r="AE148">
        <v>1363822</v>
      </c>
      <c r="AF148" s="3" t="s">
        <v>640</v>
      </c>
    </row>
    <row r="149" spans="1:32" x14ac:dyDescent="0.35">
      <c r="A149" s="3" t="s">
        <v>608</v>
      </c>
      <c r="B149" s="3" t="s">
        <v>608</v>
      </c>
      <c r="C149" s="3" t="s">
        <v>608</v>
      </c>
      <c r="D149" s="3" t="s">
        <v>608</v>
      </c>
      <c r="E149" s="3" t="s">
        <v>608</v>
      </c>
      <c r="F149" s="3" t="s">
        <v>948</v>
      </c>
      <c r="G149" s="3" t="s">
        <v>948</v>
      </c>
      <c r="H149" s="3" t="s">
        <v>949</v>
      </c>
      <c r="I149" s="3" t="s">
        <v>294</v>
      </c>
      <c r="J149" s="3" t="s">
        <v>266</v>
      </c>
      <c r="K149" s="3" t="s">
        <v>950</v>
      </c>
      <c r="L149" s="3" t="s">
        <v>30</v>
      </c>
      <c r="M149" s="3" t="s">
        <v>14</v>
      </c>
      <c r="N149">
        <v>3100000</v>
      </c>
      <c r="O149">
        <v>105.52800000000001</v>
      </c>
      <c r="P149">
        <v>237</v>
      </c>
      <c r="Q149">
        <v>1774</v>
      </c>
      <c r="R149">
        <v>246</v>
      </c>
      <c r="S149" s="3" t="s">
        <v>263</v>
      </c>
      <c r="T149">
        <v>573</v>
      </c>
      <c r="U149">
        <v>583</v>
      </c>
      <c r="V149">
        <v>1379</v>
      </c>
      <c r="W149">
        <v>4.45</v>
      </c>
      <c r="X149">
        <v>2758320</v>
      </c>
      <c r="Y149" s="3" t="s">
        <v>31</v>
      </c>
      <c r="Z149">
        <v>105.506</v>
      </c>
      <c r="AA149">
        <v>3300000</v>
      </c>
      <c r="AB149" s="3" t="s">
        <v>256</v>
      </c>
      <c r="AC149" s="3" t="s">
        <v>10</v>
      </c>
      <c r="AD149">
        <v>2807568</v>
      </c>
      <c r="AE149">
        <v>2807568</v>
      </c>
      <c r="AF149" s="3" t="s">
        <v>640</v>
      </c>
    </row>
    <row r="150" spans="1:32" x14ac:dyDescent="0.35">
      <c r="A150" s="3" t="s">
        <v>608</v>
      </c>
      <c r="B150" s="3" t="s">
        <v>608</v>
      </c>
      <c r="C150" s="3" t="s">
        <v>608</v>
      </c>
      <c r="D150" s="3" t="s">
        <v>608</v>
      </c>
      <c r="E150" s="3" t="s">
        <v>608</v>
      </c>
      <c r="F150" s="3" t="s">
        <v>305</v>
      </c>
      <c r="G150" s="3" t="s">
        <v>305</v>
      </c>
      <c r="H150" s="3" t="s">
        <v>306</v>
      </c>
      <c r="I150" s="3" t="s">
        <v>53</v>
      </c>
      <c r="J150" s="3" t="s">
        <v>4</v>
      </c>
      <c r="K150" s="3" t="s">
        <v>761</v>
      </c>
      <c r="L150" s="3" t="s">
        <v>30</v>
      </c>
      <c r="M150" s="3" t="s">
        <v>14</v>
      </c>
      <c r="N150">
        <v>800000</v>
      </c>
      <c r="O150">
        <v>99.304000000000002</v>
      </c>
      <c r="P150">
        <v>233</v>
      </c>
      <c r="Q150">
        <v>952</v>
      </c>
      <c r="R150">
        <v>47</v>
      </c>
      <c r="S150" s="3" t="s">
        <v>263</v>
      </c>
      <c r="T150">
        <v>335</v>
      </c>
      <c r="U150">
        <v>338</v>
      </c>
      <c r="V150">
        <v>789</v>
      </c>
      <c r="W150">
        <v>2.54</v>
      </c>
      <c r="X150">
        <v>794432</v>
      </c>
      <c r="Y150" s="3" t="s">
        <v>31</v>
      </c>
      <c r="Z150">
        <v>99.221999999999994</v>
      </c>
      <c r="AA150">
        <v>1000000</v>
      </c>
      <c r="AB150" s="3" t="s">
        <v>256</v>
      </c>
      <c r="AC150" s="3" t="s">
        <v>10</v>
      </c>
      <c r="AD150">
        <v>798931</v>
      </c>
      <c r="AE150">
        <v>798931</v>
      </c>
      <c r="AF150" s="3" t="s">
        <v>640</v>
      </c>
    </row>
    <row r="151" spans="1:32" x14ac:dyDescent="0.35">
      <c r="A151" s="3" t="s">
        <v>608</v>
      </c>
      <c r="B151" s="3" t="s">
        <v>608</v>
      </c>
      <c r="C151" s="3" t="s">
        <v>608</v>
      </c>
      <c r="D151" s="3" t="s">
        <v>608</v>
      </c>
      <c r="E151" s="3" t="s">
        <v>608</v>
      </c>
      <c r="F151" s="3" t="s">
        <v>307</v>
      </c>
      <c r="G151" s="3" t="s">
        <v>307</v>
      </c>
      <c r="H151" s="3" t="s">
        <v>308</v>
      </c>
      <c r="I151" s="3" t="s">
        <v>53</v>
      </c>
      <c r="J151" s="3" t="s">
        <v>4</v>
      </c>
      <c r="K151" s="3" t="s">
        <v>762</v>
      </c>
      <c r="L151" s="3" t="s">
        <v>30</v>
      </c>
      <c r="M151" s="3" t="s">
        <v>14</v>
      </c>
      <c r="N151">
        <v>2400000</v>
      </c>
      <c r="O151">
        <v>109.78</v>
      </c>
      <c r="P151">
        <v>185</v>
      </c>
      <c r="Q151">
        <v>336</v>
      </c>
      <c r="R151">
        <v>296</v>
      </c>
      <c r="S151" s="3" t="s">
        <v>263</v>
      </c>
      <c r="T151">
        <v>794</v>
      </c>
      <c r="U151">
        <v>802</v>
      </c>
      <c r="V151">
        <v>1483</v>
      </c>
      <c r="W151">
        <v>4.78</v>
      </c>
      <c r="X151">
        <v>2634720</v>
      </c>
      <c r="Y151" s="3" t="s">
        <v>31</v>
      </c>
      <c r="Z151">
        <v>109.76600000000001</v>
      </c>
      <c r="AA151">
        <v>2400000</v>
      </c>
      <c r="AB151" s="3" t="s">
        <v>256</v>
      </c>
      <c r="AC151" s="3" t="s">
        <v>10</v>
      </c>
      <c r="AD151">
        <v>2694437</v>
      </c>
      <c r="AE151">
        <v>2694437</v>
      </c>
      <c r="AF151" s="3" t="s">
        <v>640</v>
      </c>
    </row>
    <row r="152" spans="1:32" x14ac:dyDescent="0.35">
      <c r="A152" s="3" t="s">
        <v>608</v>
      </c>
      <c r="B152" s="3" t="s">
        <v>608</v>
      </c>
      <c r="C152" s="3" t="s">
        <v>608</v>
      </c>
      <c r="D152" s="3" t="s">
        <v>608</v>
      </c>
      <c r="E152" s="3" t="s">
        <v>608</v>
      </c>
      <c r="F152" s="3" t="s">
        <v>1353</v>
      </c>
      <c r="G152" s="3" t="s">
        <v>1353</v>
      </c>
      <c r="H152" s="3" t="s">
        <v>1354</v>
      </c>
      <c r="I152" s="3" t="s">
        <v>63</v>
      </c>
      <c r="J152" s="3" t="s">
        <v>4</v>
      </c>
      <c r="K152" s="3" t="s">
        <v>1355</v>
      </c>
      <c r="L152" s="3" t="s">
        <v>30</v>
      </c>
      <c r="M152" s="3" t="s">
        <v>14</v>
      </c>
      <c r="N152">
        <v>0</v>
      </c>
      <c r="O152">
        <v>100.34</v>
      </c>
      <c r="P152">
        <v>195</v>
      </c>
      <c r="Q152">
        <v>0</v>
      </c>
      <c r="R152">
        <v>9</v>
      </c>
      <c r="S152" s="3" t="s">
        <v>263</v>
      </c>
      <c r="T152">
        <v>0</v>
      </c>
      <c r="U152">
        <v>0</v>
      </c>
      <c r="V152">
        <v>0</v>
      </c>
      <c r="W152">
        <v>0</v>
      </c>
      <c r="X152">
        <v>0</v>
      </c>
      <c r="Y152" s="3" t="s">
        <v>31</v>
      </c>
      <c r="Z152">
        <v>100.34</v>
      </c>
      <c r="AA152">
        <v>0</v>
      </c>
      <c r="AB152" s="3" t="s">
        <v>256</v>
      </c>
      <c r="AC152" s="3" t="s">
        <v>10</v>
      </c>
      <c r="AD152">
        <v>0</v>
      </c>
      <c r="AE152">
        <v>0</v>
      </c>
      <c r="AF152" s="3" t="s">
        <v>640</v>
      </c>
    </row>
    <row r="153" spans="1:32" x14ac:dyDescent="0.35">
      <c r="A153" s="3" t="s">
        <v>608</v>
      </c>
      <c r="B153" s="3" t="s">
        <v>608</v>
      </c>
      <c r="C153" s="3" t="s">
        <v>608</v>
      </c>
      <c r="D153" s="3" t="s">
        <v>608</v>
      </c>
      <c r="E153" s="3" t="s">
        <v>608</v>
      </c>
      <c r="F153" s="3" t="s">
        <v>311</v>
      </c>
      <c r="G153" s="3" t="s">
        <v>311</v>
      </c>
      <c r="H153" s="3" t="s">
        <v>312</v>
      </c>
      <c r="I153" s="3" t="s">
        <v>63</v>
      </c>
      <c r="J153" s="3" t="s">
        <v>266</v>
      </c>
      <c r="K153" s="3" t="s">
        <v>764</v>
      </c>
      <c r="L153" s="3" t="s">
        <v>30</v>
      </c>
      <c r="M153" s="3" t="s">
        <v>14</v>
      </c>
      <c r="N153">
        <v>850000</v>
      </c>
      <c r="O153">
        <v>104.514</v>
      </c>
      <c r="P153">
        <v>85</v>
      </c>
      <c r="Q153">
        <v>-35</v>
      </c>
      <c r="R153">
        <v>102</v>
      </c>
      <c r="S153" s="3" t="s">
        <v>263</v>
      </c>
      <c r="T153">
        <v>83</v>
      </c>
      <c r="U153">
        <v>85</v>
      </c>
      <c r="V153">
        <v>72</v>
      </c>
      <c r="W153">
        <v>0.23</v>
      </c>
      <c r="X153">
        <v>749046</v>
      </c>
      <c r="Y153" s="3" t="s">
        <v>31</v>
      </c>
      <c r="Z153">
        <v>104.518</v>
      </c>
      <c r="AA153">
        <v>850000</v>
      </c>
      <c r="AB153" s="3" t="s">
        <v>256</v>
      </c>
      <c r="AC153" s="3" t="s">
        <v>10</v>
      </c>
      <c r="AD153">
        <v>776031</v>
      </c>
      <c r="AE153">
        <v>776031</v>
      </c>
      <c r="AF153" s="3" t="s">
        <v>640</v>
      </c>
    </row>
    <row r="154" spans="1:32" x14ac:dyDescent="0.35">
      <c r="A154" s="3" t="s">
        <v>608</v>
      </c>
      <c r="B154" s="3" t="s">
        <v>608</v>
      </c>
      <c r="C154" s="3" t="s">
        <v>608</v>
      </c>
      <c r="D154" s="3" t="s">
        <v>608</v>
      </c>
      <c r="E154" s="3" t="s">
        <v>608</v>
      </c>
      <c r="F154" s="3" t="s">
        <v>313</v>
      </c>
      <c r="G154" s="3" t="s">
        <v>313</v>
      </c>
      <c r="H154" s="3" t="s">
        <v>314</v>
      </c>
      <c r="I154" s="3" t="s">
        <v>63</v>
      </c>
      <c r="J154" s="3" t="s">
        <v>4</v>
      </c>
      <c r="K154" s="3" t="s">
        <v>765</v>
      </c>
      <c r="L154" s="3" t="s">
        <v>30</v>
      </c>
      <c r="M154" s="3" t="s">
        <v>14</v>
      </c>
      <c r="N154">
        <v>1004000</v>
      </c>
      <c r="O154">
        <v>101.214</v>
      </c>
      <c r="P154">
        <v>83</v>
      </c>
      <c r="Q154">
        <v>-331</v>
      </c>
      <c r="R154">
        <v>100</v>
      </c>
      <c r="S154" s="3" t="s">
        <v>263</v>
      </c>
      <c r="T154">
        <v>38</v>
      </c>
      <c r="U154">
        <v>38</v>
      </c>
      <c r="V154">
        <v>32</v>
      </c>
      <c r="W154">
        <v>0.1</v>
      </c>
      <c r="X154">
        <v>1016189</v>
      </c>
      <c r="Y154" s="3" t="s">
        <v>31</v>
      </c>
      <c r="Z154">
        <v>101.247</v>
      </c>
      <c r="AA154">
        <v>1004000</v>
      </c>
      <c r="AB154" s="3" t="s">
        <v>256</v>
      </c>
      <c r="AC154" s="3" t="s">
        <v>10</v>
      </c>
      <c r="AD154">
        <v>1039122</v>
      </c>
      <c r="AE154">
        <v>1039122</v>
      </c>
      <c r="AF154" s="3" t="s">
        <v>640</v>
      </c>
    </row>
    <row r="155" spans="1:32" x14ac:dyDescent="0.35">
      <c r="A155" s="3" t="s">
        <v>608</v>
      </c>
      <c r="B155" s="3" t="s">
        <v>608</v>
      </c>
      <c r="C155" s="3" t="s">
        <v>608</v>
      </c>
      <c r="D155" s="3" t="s">
        <v>608</v>
      </c>
      <c r="E155" s="3" t="s">
        <v>608</v>
      </c>
      <c r="F155" s="3" t="s">
        <v>929</v>
      </c>
      <c r="G155" s="3" t="s">
        <v>929</v>
      </c>
      <c r="H155" s="3" t="s">
        <v>930</v>
      </c>
      <c r="I155" s="3" t="s">
        <v>68</v>
      </c>
      <c r="J155" s="3" t="s">
        <v>4</v>
      </c>
      <c r="K155" s="3" t="s">
        <v>931</v>
      </c>
      <c r="L155" s="3" t="s">
        <v>30</v>
      </c>
      <c r="M155" s="3" t="s">
        <v>14</v>
      </c>
      <c r="N155">
        <v>-1100000</v>
      </c>
      <c r="O155">
        <v>109.476</v>
      </c>
      <c r="P155">
        <v>206</v>
      </c>
      <c r="Q155">
        <v>-2739</v>
      </c>
      <c r="R155">
        <v>-101</v>
      </c>
      <c r="S155" s="3" t="s">
        <v>263</v>
      </c>
      <c r="T155">
        <v>-634</v>
      </c>
      <c r="U155">
        <v>-641</v>
      </c>
      <c r="V155">
        <v>-1321</v>
      </c>
      <c r="W155">
        <v>-4.26</v>
      </c>
      <c r="X155">
        <v>-1204236</v>
      </c>
      <c r="Y155" s="3" t="s">
        <v>31</v>
      </c>
      <c r="Z155">
        <v>109.227</v>
      </c>
      <c r="AA155">
        <v>-1100000</v>
      </c>
      <c r="AB155" s="3" t="s">
        <v>256</v>
      </c>
      <c r="AC155" s="3" t="s">
        <v>10</v>
      </c>
      <c r="AD155">
        <v>-1240752</v>
      </c>
      <c r="AE155">
        <v>1240752</v>
      </c>
      <c r="AF155" s="3" t="s">
        <v>640</v>
      </c>
    </row>
    <row r="156" spans="1:32" x14ac:dyDescent="0.35">
      <c r="A156" s="3" t="s">
        <v>608</v>
      </c>
      <c r="B156" s="3" t="s">
        <v>608</v>
      </c>
      <c r="C156" s="3" t="s">
        <v>608</v>
      </c>
      <c r="D156" s="3" t="s">
        <v>608</v>
      </c>
      <c r="E156" s="3" t="s">
        <v>608</v>
      </c>
      <c r="F156" s="3" t="s">
        <v>317</v>
      </c>
      <c r="G156" s="3" t="s">
        <v>317</v>
      </c>
      <c r="H156" s="3" t="s">
        <v>318</v>
      </c>
      <c r="I156" s="3" t="s">
        <v>68</v>
      </c>
      <c r="J156" s="3" t="s">
        <v>4</v>
      </c>
      <c r="K156" s="3" t="s">
        <v>767</v>
      </c>
      <c r="L156" s="3" t="s">
        <v>30</v>
      </c>
      <c r="M156" s="3" t="s">
        <v>14</v>
      </c>
      <c r="N156">
        <v>1419000</v>
      </c>
      <c r="O156">
        <v>112.31699999999999</v>
      </c>
      <c r="P156">
        <v>192</v>
      </c>
      <c r="Q156">
        <v>468</v>
      </c>
      <c r="R156">
        <v>211</v>
      </c>
      <c r="S156" s="3" t="s">
        <v>263</v>
      </c>
      <c r="T156">
        <v>469</v>
      </c>
      <c r="U156">
        <v>473</v>
      </c>
      <c r="V156">
        <v>907</v>
      </c>
      <c r="W156">
        <v>2.93</v>
      </c>
      <c r="X156">
        <v>1593778</v>
      </c>
      <c r="Y156" s="3" t="s">
        <v>31</v>
      </c>
      <c r="Z156">
        <v>112.28400000000001</v>
      </c>
      <c r="AA156">
        <v>1419000</v>
      </c>
      <c r="AB156" s="3" t="s">
        <v>256</v>
      </c>
      <c r="AC156" s="3" t="s">
        <v>10</v>
      </c>
      <c r="AD156">
        <v>1659927</v>
      </c>
      <c r="AE156">
        <v>1659927</v>
      </c>
      <c r="AF156" s="3" t="s">
        <v>640</v>
      </c>
    </row>
    <row r="157" spans="1:32" x14ac:dyDescent="0.35">
      <c r="A157" s="3" t="s">
        <v>608</v>
      </c>
      <c r="B157" s="3" t="s">
        <v>608</v>
      </c>
      <c r="C157" s="3" t="s">
        <v>608</v>
      </c>
      <c r="D157" s="3" t="s">
        <v>608</v>
      </c>
      <c r="E157" s="3" t="s">
        <v>608</v>
      </c>
      <c r="F157" s="3" t="s">
        <v>1363</v>
      </c>
      <c r="G157" s="3" t="s">
        <v>1363</v>
      </c>
      <c r="H157" s="3" t="s">
        <v>1364</v>
      </c>
      <c r="I157" s="3" t="s">
        <v>68</v>
      </c>
      <c r="J157" s="3" t="s">
        <v>4</v>
      </c>
      <c r="K157" s="3" t="s">
        <v>1365</v>
      </c>
      <c r="L157" s="3" t="s">
        <v>30</v>
      </c>
      <c r="M157" s="3" t="s">
        <v>14</v>
      </c>
      <c r="N157">
        <v>0</v>
      </c>
      <c r="O157">
        <v>103.28</v>
      </c>
      <c r="P157">
        <v>178</v>
      </c>
      <c r="Q157">
        <v>0</v>
      </c>
      <c r="R157">
        <v>34</v>
      </c>
      <c r="S157" s="3" t="s">
        <v>263</v>
      </c>
      <c r="T157">
        <v>0</v>
      </c>
      <c r="U157">
        <v>0</v>
      </c>
      <c r="V157">
        <v>0</v>
      </c>
      <c r="W157">
        <v>0</v>
      </c>
      <c r="X157">
        <v>0</v>
      </c>
      <c r="Y157" s="3" t="s">
        <v>31</v>
      </c>
      <c r="Z157">
        <v>103.28</v>
      </c>
      <c r="AA157">
        <v>0</v>
      </c>
      <c r="AB157" s="3" t="s">
        <v>256</v>
      </c>
      <c r="AC157" s="3" t="s">
        <v>10</v>
      </c>
      <c r="AD157">
        <v>0</v>
      </c>
      <c r="AE157">
        <v>0</v>
      </c>
      <c r="AF157" s="3" t="s">
        <v>640</v>
      </c>
    </row>
    <row r="158" spans="1:32" x14ac:dyDescent="0.35">
      <c r="A158" s="3" t="s">
        <v>608</v>
      </c>
      <c r="B158" s="3" t="s">
        <v>608</v>
      </c>
      <c r="C158" s="3" t="s">
        <v>608</v>
      </c>
      <c r="D158" s="3" t="s">
        <v>608</v>
      </c>
      <c r="E158" s="3" t="s">
        <v>608</v>
      </c>
      <c r="F158" s="3" t="s">
        <v>319</v>
      </c>
      <c r="G158" s="3" t="s">
        <v>319</v>
      </c>
      <c r="H158" s="3" t="s">
        <v>320</v>
      </c>
      <c r="I158" s="3" t="s">
        <v>68</v>
      </c>
      <c r="J158" s="3" t="s">
        <v>283</v>
      </c>
      <c r="K158" s="3" t="s">
        <v>768</v>
      </c>
      <c r="L158" s="3" t="s">
        <v>30</v>
      </c>
      <c r="M158" s="3" t="s">
        <v>14</v>
      </c>
      <c r="N158">
        <v>5394000</v>
      </c>
      <c r="O158">
        <v>104.35899999999999</v>
      </c>
      <c r="P158">
        <v>121</v>
      </c>
      <c r="Q158">
        <v>-109</v>
      </c>
      <c r="R158">
        <v>1093</v>
      </c>
      <c r="S158" s="3" t="s">
        <v>263</v>
      </c>
      <c r="T158">
        <v>517</v>
      </c>
      <c r="U158">
        <v>523</v>
      </c>
      <c r="V158">
        <v>634</v>
      </c>
      <c r="W158">
        <v>2.04</v>
      </c>
      <c r="X158">
        <v>6286504</v>
      </c>
      <c r="Y158" s="3" t="s">
        <v>31</v>
      </c>
      <c r="Z158">
        <v>104.361</v>
      </c>
      <c r="AA158">
        <v>5394000</v>
      </c>
      <c r="AB158" s="3" t="s">
        <v>256</v>
      </c>
      <c r="AC158" s="3" t="s">
        <v>10</v>
      </c>
      <c r="AD158">
        <v>6349163</v>
      </c>
      <c r="AE158">
        <v>6349163</v>
      </c>
      <c r="AF158" s="3" t="s">
        <v>640</v>
      </c>
    </row>
    <row r="159" spans="1:32" x14ac:dyDescent="0.35">
      <c r="A159" s="3" t="s">
        <v>608</v>
      </c>
      <c r="B159" s="3" t="s">
        <v>608</v>
      </c>
      <c r="C159" s="3" t="s">
        <v>608</v>
      </c>
      <c r="D159" s="3" t="s">
        <v>608</v>
      </c>
      <c r="E159" s="3" t="s">
        <v>608</v>
      </c>
      <c r="F159" s="3" t="s">
        <v>321</v>
      </c>
      <c r="G159" s="3" t="s">
        <v>321</v>
      </c>
      <c r="H159" s="3" t="s">
        <v>322</v>
      </c>
      <c r="I159" s="3" t="s">
        <v>74</v>
      </c>
      <c r="J159" s="3" t="s">
        <v>4</v>
      </c>
      <c r="K159" s="3" t="s">
        <v>769</v>
      </c>
      <c r="L159" s="3" t="s">
        <v>30</v>
      </c>
      <c r="M159" s="3" t="s">
        <v>14</v>
      </c>
      <c r="N159">
        <v>1400000</v>
      </c>
      <c r="O159">
        <v>101.235</v>
      </c>
      <c r="P159">
        <v>180</v>
      </c>
      <c r="Q159">
        <v>70</v>
      </c>
      <c r="R159">
        <v>151</v>
      </c>
      <c r="S159" s="3" t="s">
        <v>263</v>
      </c>
      <c r="T159">
        <v>597</v>
      </c>
      <c r="U159">
        <v>603</v>
      </c>
      <c r="V159">
        <v>1086</v>
      </c>
      <c r="W159">
        <v>3.5</v>
      </c>
      <c r="X159">
        <v>1417290</v>
      </c>
      <c r="Y159" s="3" t="s">
        <v>31</v>
      </c>
      <c r="Z159">
        <v>101.23</v>
      </c>
      <c r="AA159">
        <v>1400000</v>
      </c>
      <c r="AB159" s="3" t="s">
        <v>256</v>
      </c>
      <c r="AC159" s="3" t="s">
        <v>10</v>
      </c>
      <c r="AD159">
        <v>1425580</v>
      </c>
      <c r="AE159">
        <v>1425580</v>
      </c>
      <c r="AF159" s="3" t="s">
        <v>640</v>
      </c>
    </row>
    <row r="160" spans="1:32" x14ac:dyDescent="0.35">
      <c r="A160" s="3" t="s">
        <v>608</v>
      </c>
      <c r="B160" s="3" t="s">
        <v>608</v>
      </c>
      <c r="C160" s="3" t="s">
        <v>608</v>
      </c>
      <c r="D160" s="3" t="s">
        <v>608</v>
      </c>
      <c r="E160" s="3" t="s">
        <v>608</v>
      </c>
      <c r="F160" s="3" t="s">
        <v>323</v>
      </c>
      <c r="G160" s="3" t="s">
        <v>323</v>
      </c>
      <c r="H160" s="3" t="s">
        <v>324</v>
      </c>
      <c r="I160" s="3" t="s">
        <v>74</v>
      </c>
      <c r="J160" s="3" t="s">
        <v>4</v>
      </c>
      <c r="K160" s="3" t="s">
        <v>770</v>
      </c>
      <c r="L160" s="3" t="s">
        <v>30</v>
      </c>
      <c r="M160" s="3" t="s">
        <v>14</v>
      </c>
      <c r="N160">
        <v>0</v>
      </c>
      <c r="O160">
        <v>108.46</v>
      </c>
      <c r="P160">
        <v>156</v>
      </c>
      <c r="Q160">
        <v>0</v>
      </c>
      <c r="R160">
        <v>44</v>
      </c>
      <c r="S160" s="3" t="s">
        <v>263</v>
      </c>
      <c r="T160">
        <v>0</v>
      </c>
      <c r="U160">
        <v>0</v>
      </c>
      <c r="V160">
        <v>0</v>
      </c>
      <c r="W160">
        <v>0</v>
      </c>
      <c r="X160">
        <v>0</v>
      </c>
      <c r="Y160" s="3" t="s">
        <v>31</v>
      </c>
      <c r="Z160">
        <v>108.46</v>
      </c>
      <c r="AA160">
        <v>0</v>
      </c>
      <c r="AB160" s="3" t="s">
        <v>256</v>
      </c>
      <c r="AC160" s="3" t="s">
        <v>10</v>
      </c>
      <c r="AD160">
        <v>0</v>
      </c>
      <c r="AE160">
        <v>0</v>
      </c>
      <c r="AF160" s="3" t="s">
        <v>640</v>
      </c>
    </row>
    <row r="161" spans="1:32" x14ac:dyDescent="0.35">
      <c r="A161" s="3" t="s">
        <v>608</v>
      </c>
      <c r="B161" s="3" t="s">
        <v>608</v>
      </c>
      <c r="C161" s="3" t="s">
        <v>608</v>
      </c>
      <c r="D161" s="3" t="s">
        <v>608</v>
      </c>
      <c r="E161" s="3" t="s">
        <v>608</v>
      </c>
      <c r="F161" s="3" t="s">
        <v>327</v>
      </c>
      <c r="G161" s="3" t="s">
        <v>327</v>
      </c>
      <c r="H161" s="3" t="s">
        <v>328</v>
      </c>
      <c r="I161" s="3" t="s">
        <v>90</v>
      </c>
      <c r="J161" s="3" t="s">
        <v>4</v>
      </c>
      <c r="K161" s="3" t="s">
        <v>772</v>
      </c>
      <c r="L161" s="3" t="s">
        <v>30</v>
      </c>
      <c r="M161" s="3" t="s">
        <v>14</v>
      </c>
      <c r="N161">
        <v>12426000</v>
      </c>
      <c r="O161">
        <v>103.55800000000001</v>
      </c>
      <c r="P161">
        <v>321</v>
      </c>
      <c r="Q161">
        <v>25349</v>
      </c>
      <c r="R161">
        <v>1057</v>
      </c>
      <c r="S161" s="3" t="s">
        <v>263</v>
      </c>
      <c r="T161">
        <v>9580</v>
      </c>
      <c r="U161">
        <v>9687</v>
      </c>
      <c r="V161">
        <v>31101</v>
      </c>
      <c r="W161">
        <v>100.33</v>
      </c>
      <c r="X161">
        <v>12868117</v>
      </c>
      <c r="Y161" s="3" t="s">
        <v>8</v>
      </c>
      <c r="Z161">
        <v>103.354</v>
      </c>
      <c r="AA161">
        <v>12426000</v>
      </c>
      <c r="AB161" s="3" t="s">
        <v>256</v>
      </c>
      <c r="AC161" s="3" t="s">
        <v>10</v>
      </c>
      <c r="AD161">
        <v>12909480</v>
      </c>
      <c r="AE161">
        <v>12909480</v>
      </c>
      <c r="AF161" s="3" t="s">
        <v>640</v>
      </c>
    </row>
    <row r="162" spans="1:32" x14ac:dyDescent="0.35">
      <c r="A162" s="3" t="s">
        <v>608</v>
      </c>
      <c r="B162" s="3" t="s">
        <v>608</v>
      </c>
      <c r="C162" s="3" t="s">
        <v>608</v>
      </c>
      <c r="D162" s="3" t="s">
        <v>608</v>
      </c>
      <c r="E162" s="3" t="s">
        <v>608</v>
      </c>
      <c r="F162" s="3" t="s">
        <v>329</v>
      </c>
      <c r="G162" s="3" t="s">
        <v>329</v>
      </c>
      <c r="H162" s="3" t="s">
        <v>330</v>
      </c>
      <c r="I162" s="3" t="s">
        <v>90</v>
      </c>
      <c r="J162" s="3" t="s">
        <v>4</v>
      </c>
      <c r="K162" s="3" t="s">
        <v>773</v>
      </c>
      <c r="L162" s="3" t="s">
        <v>30</v>
      </c>
      <c r="M162" s="3" t="s">
        <v>14</v>
      </c>
      <c r="N162">
        <v>-15271000</v>
      </c>
      <c r="O162">
        <v>102.80800000000001</v>
      </c>
      <c r="P162">
        <v>247</v>
      </c>
      <c r="Q162">
        <v>-15424</v>
      </c>
      <c r="R162">
        <v>-1325</v>
      </c>
      <c r="S162" s="3" t="s">
        <v>263</v>
      </c>
      <c r="T162">
        <v>-7172</v>
      </c>
      <c r="U162">
        <v>-7244</v>
      </c>
      <c r="V162">
        <v>-17916</v>
      </c>
      <c r="W162">
        <v>-57.79</v>
      </c>
      <c r="X162">
        <v>-15699810</v>
      </c>
      <c r="Y162" s="3" t="s">
        <v>8</v>
      </c>
      <c r="Z162">
        <v>102.706</v>
      </c>
      <c r="AA162">
        <v>-15471000</v>
      </c>
      <c r="AB162" s="3" t="s">
        <v>256</v>
      </c>
      <c r="AC162" s="3" t="s">
        <v>10</v>
      </c>
      <c r="AD162">
        <v>-15739225</v>
      </c>
      <c r="AE162">
        <v>15739225</v>
      </c>
      <c r="AF162" s="3" t="s">
        <v>640</v>
      </c>
    </row>
    <row r="163" spans="1:32" x14ac:dyDescent="0.35">
      <c r="A163" s="3" t="s">
        <v>608</v>
      </c>
      <c r="B163" s="3" t="s">
        <v>608</v>
      </c>
      <c r="C163" s="3" t="s">
        <v>608</v>
      </c>
      <c r="D163" s="3" t="s">
        <v>608</v>
      </c>
      <c r="E163" s="3" t="s">
        <v>608</v>
      </c>
      <c r="F163" s="3" t="s">
        <v>331</v>
      </c>
      <c r="G163" s="3" t="s">
        <v>331</v>
      </c>
      <c r="H163" s="3" t="s">
        <v>332</v>
      </c>
      <c r="I163" s="3" t="s">
        <v>333</v>
      </c>
      <c r="J163" s="3" t="s">
        <v>4</v>
      </c>
      <c r="K163" s="3" t="s">
        <v>758</v>
      </c>
      <c r="L163" s="3" t="s">
        <v>30</v>
      </c>
      <c r="M163" s="3" t="s">
        <v>14</v>
      </c>
      <c r="N163">
        <v>0</v>
      </c>
      <c r="O163">
        <v>106.495</v>
      </c>
      <c r="P163">
        <v>220</v>
      </c>
      <c r="Q163">
        <v>10620</v>
      </c>
      <c r="R163">
        <v>384</v>
      </c>
      <c r="S163" s="3" t="s">
        <v>263</v>
      </c>
      <c r="T163">
        <v>0</v>
      </c>
      <c r="U163">
        <v>0</v>
      </c>
      <c r="V163">
        <v>0</v>
      </c>
      <c r="W163">
        <v>0</v>
      </c>
      <c r="X163">
        <v>0</v>
      </c>
      <c r="Y163" s="3" t="s">
        <v>31</v>
      </c>
      <c r="Z163">
        <v>106.259</v>
      </c>
      <c r="AA163">
        <v>4500000</v>
      </c>
      <c r="AB163" s="3" t="s">
        <v>256</v>
      </c>
      <c r="AC163" s="3" t="s">
        <v>10</v>
      </c>
      <c r="AD163">
        <v>-384</v>
      </c>
      <c r="AE163">
        <v>384</v>
      </c>
      <c r="AF163" s="3" t="s">
        <v>640</v>
      </c>
    </row>
    <row r="164" spans="1:32" x14ac:dyDescent="0.35">
      <c r="A164" s="3" t="s">
        <v>608</v>
      </c>
      <c r="B164" s="3" t="s">
        <v>608</v>
      </c>
      <c r="C164" s="3" t="s">
        <v>608</v>
      </c>
      <c r="D164" s="3" t="s">
        <v>608</v>
      </c>
      <c r="E164" s="3" t="s">
        <v>608</v>
      </c>
      <c r="F164" s="3" t="s">
        <v>334</v>
      </c>
      <c r="G164" s="3" t="s">
        <v>334</v>
      </c>
      <c r="H164" s="3" t="s">
        <v>335</v>
      </c>
      <c r="I164" s="3" t="s">
        <v>336</v>
      </c>
      <c r="J164" s="3" t="s">
        <v>4</v>
      </c>
      <c r="K164" s="3" t="s">
        <v>774</v>
      </c>
      <c r="L164" s="3" t="s">
        <v>30</v>
      </c>
      <c r="M164" s="3" t="s">
        <v>14</v>
      </c>
      <c r="N164">
        <v>0</v>
      </c>
      <c r="O164">
        <v>99.995000000000005</v>
      </c>
      <c r="P164">
        <v>380</v>
      </c>
      <c r="Q164">
        <v>0</v>
      </c>
      <c r="R164">
        <v>0</v>
      </c>
      <c r="S164" s="3" t="s">
        <v>263</v>
      </c>
      <c r="T164">
        <v>0</v>
      </c>
      <c r="U164">
        <v>0</v>
      </c>
      <c r="V164">
        <v>0</v>
      </c>
      <c r="W164">
        <v>0</v>
      </c>
      <c r="X164">
        <v>0</v>
      </c>
      <c r="Y164" s="3" t="s">
        <v>31</v>
      </c>
      <c r="Z164">
        <v>99.995000000000005</v>
      </c>
      <c r="AA164">
        <v>0</v>
      </c>
      <c r="AB164" s="3" t="s">
        <v>256</v>
      </c>
      <c r="AC164" s="3" t="s">
        <v>10</v>
      </c>
      <c r="AD164">
        <v>0</v>
      </c>
      <c r="AE164">
        <v>0</v>
      </c>
      <c r="AF164" s="3" t="s">
        <v>640</v>
      </c>
    </row>
    <row r="165" spans="1:32" x14ac:dyDescent="0.35">
      <c r="A165" s="3" t="s">
        <v>608</v>
      </c>
      <c r="B165" s="3" t="s">
        <v>608</v>
      </c>
      <c r="C165" s="3" t="s">
        <v>608</v>
      </c>
      <c r="D165" s="3" t="s">
        <v>608</v>
      </c>
      <c r="E165" s="3" t="s">
        <v>608</v>
      </c>
      <c r="F165" s="3" t="s">
        <v>337</v>
      </c>
      <c r="G165" s="3" t="s">
        <v>337</v>
      </c>
      <c r="H165" s="3" t="s">
        <v>338</v>
      </c>
      <c r="I165" s="3" t="s">
        <v>118</v>
      </c>
      <c r="J165" s="3" t="s">
        <v>4</v>
      </c>
      <c r="K165" s="3" t="s">
        <v>775</v>
      </c>
      <c r="L165" s="3" t="s">
        <v>30</v>
      </c>
      <c r="M165" s="3" t="s">
        <v>14</v>
      </c>
      <c r="N165">
        <v>-800000</v>
      </c>
      <c r="O165">
        <v>103.096</v>
      </c>
      <c r="P165">
        <v>216</v>
      </c>
      <c r="Q165">
        <v>5112</v>
      </c>
      <c r="R165">
        <v>0</v>
      </c>
      <c r="S165" s="3" t="s">
        <v>263</v>
      </c>
      <c r="T165">
        <v>-614</v>
      </c>
      <c r="U165">
        <v>-621</v>
      </c>
      <c r="V165">
        <v>-1342</v>
      </c>
      <c r="W165">
        <v>-4.33</v>
      </c>
      <c r="X165">
        <v>-824768</v>
      </c>
      <c r="Y165" s="3" t="s">
        <v>31</v>
      </c>
      <c r="Z165">
        <v>101.73699999999999</v>
      </c>
      <c r="AA165">
        <v>0</v>
      </c>
      <c r="AB165" s="3" t="s">
        <v>256</v>
      </c>
      <c r="AC165" s="3" t="s">
        <v>10</v>
      </c>
      <c r="AD165">
        <v>-825853</v>
      </c>
      <c r="AE165">
        <v>825853</v>
      </c>
      <c r="AF165" s="3" t="s">
        <v>640</v>
      </c>
    </row>
    <row r="166" spans="1:32" x14ac:dyDescent="0.35">
      <c r="A166" s="3" t="s">
        <v>608</v>
      </c>
      <c r="B166" s="3" t="s">
        <v>608</v>
      </c>
      <c r="C166" s="3" t="s">
        <v>608</v>
      </c>
      <c r="D166" s="3" t="s">
        <v>608</v>
      </c>
      <c r="E166" s="3" t="s">
        <v>608</v>
      </c>
      <c r="F166" s="3" t="s">
        <v>339</v>
      </c>
      <c r="G166" s="3" t="s">
        <v>339</v>
      </c>
      <c r="H166" s="3" t="s">
        <v>340</v>
      </c>
      <c r="I166" s="3" t="s">
        <v>118</v>
      </c>
      <c r="J166" s="3" t="s">
        <v>4</v>
      </c>
      <c r="K166" s="3" t="s">
        <v>776</v>
      </c>
      <c r="L166" s="3" t="s">
        <v>30</v>
      </c>
      <c r="M166" s="3" t="s">
        <v>14</v>
      </c>
      <c r="N166">
        <v>2700000</v>
      </c>
      <c r="O166">
        <v>105.592</v>
      </c>
      <c r="P166">
        <v>142</v>
      </c>
      <c r="Q166">
        <v>729</v>
      </c>
      <c r="R166">
        <v>194</v>
      </c>
      <c r="S166" s="3" t="s">
        <v>263</v>
      </c>
      <c r="T166">
        <v>919</v>
      </c>
      <c r="U166">
        <v>928</v>
      </c>
      <c r="V166">
        <v>1316</v>
      </c>
      <c r="W166">
        <v>4.24</v>
      </c>
      <c r="X166">
        <v>2850984</v>
      </c>
      <c r="Y166" s="3" t="s">
        <v>31</v>
      </c>
      <c r="Z166">
        <v>105.565</v>
      </c>
      <c r="AA166">
        <v>2700000</v>
      </c>
      <c r="AB166" s="3" t="s">
        <v>256</v>
      </c>
      <c r="AC166" s="3" t="s">
        <v>10</v>
      </c>
      <c r="AD166">
        <v>2897004</v>
      </c>
      <c r="AE166">
        <v>2897004</v>
      </c>
      <c r="AF166" s="3" t="s">
        <v>640</v>
      </c>
    </row>
    <row r="167" spans="1:32" x14ac:dyDescent="0.35">
      <c r="A167" s="3" t="s">
        <v>608</v>
      </c>
      <c r="B167" s="3" t="s">
        <v>608</v>
      </c>
      <c r="C167" s="3" t="s">
        <v>608</v>
      </c>
      <c r="D167" s="3" t="s">
        <v>608</v>
      </c>
      <c r="E167" s="3" t="s">
        <v>608</v>
      </c>
      <c r="F167" s="3" t="s">
        <v>344</v>
      </c>
      <c r="G167" s="3" t="s">
        <v>344</v>
      </c>
      <c r="H167" s="3" t="s">
        <v>345</v>
      </c>
      <c r="I167" s="3" t="s">
        <v>346</v>
      </c>
      <c r="J167" s="3" t="s">
        <v>4</v>
      </c>
      <c r="K167" s="3" t="s">
        <v>778</v>
      </c>
      <c r="L167" s="3" t="s">
        <v>30</v>
      </c>
      <c r="M167" s="3" t="s">
        <v>14</v>
      </c>
      <c r="N167">
        <v>-1345000</v>
      </c>
      <c r="O167">
        <v>109.136</v>
      </c>
      <c r="P167">
        <v>197</v>
      </c>
      <c r="Q167">
        <v>-2663</v>
      </c>
      <c r="R167">
        <v>-106</v>
      </c>
      <c r="S167" s="3" t="s">
        <v>250</v>
      </c>
      <c r="T167">
        <v>-1040</v>
      </c>
      <c r="U167">
        <v>-1052</v>
      </c>
      <c r="V167">
        <v>-2070</v>
      </c>
      <c r="W167">
        <v>-6.68</v>
      </c>
      <c r="X167">
        <v>-1467879</v>
      </c>
      <c r="Y167" s="3" t="s">
        <v>31</v>
      </c>
      <c r="Z167">
        <v>108.938</v>
      </c>
      <c r="AA167">
        <v>-1345000</v>
      </c>
      <c r="AB167" s="3" t="s">
        <v>256</v>
      </c>
      <c r="AC167" s="3" t="s">
        <v>10</v>
      </c>
      <c r="AD167">
        <v>-1472317</v>
      </c>
      <c r="AE167">
        <v>1472317</v>
      </c>
      <c r="AF167" s="3" t="s">
        <v>640</v>
      </c>
    </row>
    <row r="168" spans="1:32" x14ac:dyDescent="0.35">
      <c r="A168" s="3" t="s">
        <v>608</v>
      </c>
      <c r="B168" s="3" t="s">
        <v>608</v>
      </c>
      <c r="C168" s="3" t="s">
        <v>608</v>
      </c>
      <c r="D168" s="3" t="s">
        <v>608</v>
      </c>
      <c r="E168" s="3" t="s">
        <v>608</v>
      </c>
      <c r="F168" s="3" t="s">
        <v>1434</v>
      </c>
      <c r="G168" s="3" t="s">
        <v>1434</v>
      </c>
      <c r="H168" s="3" t="s">
        <v>1436</v>
      </c>
      <c r="I168" s="3" t="s">
        <v>346</v>
      </c>
      <c r="J168" s="3" t="s">
        <v>4</v>
      </c>
      <c r="K168" s="3" t="s">
        <v>1437</v>
      </c>
      <c r="L168" s="3" t="s">
        <v>30</v>
      </c>
      <c r="M168" s="3" t="s">
        <v>14</v>
      </c>
      <c r="N168">
        <v>1000000</v>
      </c>
      <c r="O168">
        <v>105.30500000000001</v>
      </c>
      <c r="P168">
        <v>175</v>
      </c>
      <c r="Q168">
        <v>30</v>
      </c>
      <c r="R168">
        <v>65</v>
      </c>
      <c r="S168" s="3" t="s">
        <v>250</v>
      </c>
      <c r="T168">
        <v>509</v>
      </c>
      <c r="U168">
        <v>514</v>
      </c>
      <c r="V168">
        <v>898</v>
      </c>
      <c r="W168">
        <v>2.9</v>
      </c>
      <c r="X168">
        <v>1053050</v>
      </c>
      <c r="Y168" s="3" t="s">
        <v>8</v>
      </c>
      <c r="Z168">
        <v>105.30200000000001</v>
      </c>
      <c r="AA168">
        <v>1000000</v>
      </c>
      <c r="AB168" s="3" t="s">
        <v>256</v>
      </c>
      <c r="AC168" s="3" t="s">
        <v>10</v>
      </c>
      <c r="AD168">
        <v>1055783</v>
      </c>
      <c r="AE168">
        <v>1055783</v>
      </c>
      <c r="AF168" s="3" t="s">
        <v>640</v>
      </c>
    </row>
    <row r="169" spans="1:32" x14ac:dyDescent="0.35">
      <c r="A169" s="3" t="s">
        <v>608</v>
      </c>
      <c r="B169" s="3" t="s">
        <v>608</v>
      </c>
      <c r="C169" s="3" t="s">
        <v>608</v>
      </c>
      <c r="D169" s="3" t="s">
        <v>608</v>
      </c>
      <c r="E169" s="3" t="s">
        <v>608</v>
      </c>
      <c r="F169" s="3" t="s">
        <v>837</v>
      </c>
      <c r="G169" s="3" t="s">
        <v>837</v>
      </c>
      <c r="H169" s="3" t="s">
        <v>838</v>
      </c>
      <c r="I169" s="3" t="s">
        <v>839</v>
      </c>
      <c r="J169" s="3" t="s">
        <v>4</v>
      </c>
      <c r="K169" s="3" t="s">
        <v>840</v>
      </c>
      <c r="L169" s="3" t="s">
        <v>30</v>
      </c>
      <c r="M169" s="3" t="s">
        <v>14</v>
      </c>
      <c r="N169">
        <v>2100000</v>
      </c>
      <c r="O169">
        <v>99.738</v>
      </c>
      <c r="P169">
        <v>255</v>
      </c>
      <c r="Q169">
        <v>546</v>
      </c>
      <c r="R169">
        <v>120</v>
      </c>
      <c r="S169" s="3" t="s">
        <v>250</v>
      </c>
      <c r="T169">
        <v>791</v>
      </c>
      <c r="U169">
        <v>799</v>
      </c>
      <c r="V169">
        <v>2040</v>
      </c>
      <c r="W169">
        <v>6.58</v>
      </c>
      <c r="X169">
        <v>2094498</v>
      </c>
      <c r="Y169" s="3" t="s">
        <v>31</v>
      </c>
      <c r="Z169">
        <v>99.712000000000003</v>
      </c>
      <c r="AA169">
        <v>2100000</v>
      </c>
      <c r="AB169" s="3" t="s">
        <v>256</v>
      </c>
      <c r="AC169" s="3" t="s">
        <v>10</v>
      </c>
      <c r="AD169">
        <v>2127088</v>
      </c>
      <c r="AE169">
        <v>2127088</v>
      </c>
      <c r="AF169" s="3" t="s">
        <v>640</v>
      </c>
    </row>
    <row r="170" spans="1:32" x14ac:dyDescent="0.35">
      <c r="A170" s="3" t="s">
        <v>608</v>
      </c>
      <c r="B170" s="3" t="s">
        <v>608</v>
      </c>
      <c r="C170" s="3" t="s">
        <v>608</v>
      </c>
      <c r="D170" s="3" t="s">
        <v>608</v>
      </c>
      <c r="E170" s="3" t="s">
        <v>608</v>
      </c>
      <c r="F170" s="3" t="s">
        <v>347</v>
      </c>
      <c r="G170" s="3" t="s">
        <v>347</v>
      </c>
      <c r="H170" s="3" t="s">
        <v>348</v>
      </c>
      <c r="I170" s="3" t="s">
        <v>349</v>
      </c>
      <c r="J170" s="3" t="s">
        <v>4</v>
      </c>
      <c r="K170" s="3" t="s">
        <v>779</v>
      </c>
      <c r="L170" s="3" t="s">
        <v>30</v>
      </c>
      <c r="M170" s="3" t="s">
        <v>14</v>
      </c>
      <c r="N170">
        <v>416000</v>
      </c>
      <c r="O170">
        <v>106.875</v>
      </c>
      <c r="P170">
        <v>222</v>
      </c>
      <c r="Q170">
        <v>0</v>
      </c>
      <c r="R170">
        <v>66</v>
      </c>
      <c r="S170" s="3" t="s">
        <v>263</v>
      </c>
      <c r="T170">
        <v>108</v>
      </c>
      <c r="U170">
        <v>109</v>
      </c>
      <c r="V170">
        <v>242</v>
      </c>
      <c r="W170">
        <v>0.78</v>
      </c>
      <c r="X170">
        <v>444600</v>
      </c>
      <c r="Y170" s="3" t="s">
        <v>31</v>
      </c>
      <c r="Z170">
        <v>106.875</v>
      </c>
      <c r="AA170">
        <v>416000</v>
      </c>
      <c r="AB170" s="3" t="s">
        <v>256</v>
      </c>
      <c r="AC170" s="3" t="s">
        <v>10</v>
      </c>
      <c r="AD170">
        <v>453062</v>
      </c>
      <c r="AE170">
        <v>453062</v>
      </c>
      <c r="AF170" s="3" t="s">
        <v>640</v>
      </c>
    </row>
    <row r="171" spans="1:32" x14ac:dyDescent="0.35">
      <c r="A171" s="3" t="s">
        <v>608</v>
      </c>
      <c r="B171" s="3" t="s">
        <v>608</v>
      </c>
      <c r="C171" s="3" t="s">
        <v>608</v>
      </c>
      <c r="D171" s="3" t="s">
        <v>608</v>
      </c>
      <c r="E171" s="3" t="s">
        <v>608</v>
      </c>
      <c r="F171" s="3" t="s">
        <v>1323</v>
      </c>
      <c r="G171" s="3" t="s">
        <v>1323</v>
      </c>
      <c r="H171" s="3" t="s">
        <v>1324</v>
      </c>
      <c r="I171" s="3" t="s">
        <v>350</v>
      </c>
      <c r="J171" s="3" t="s">
        <v>4</v>
      </c>
      <c r="K171" s="3" t="s">
        <v>1325</v>
      </c>
      <c r="L171" s="3" t="s">
        <v>30</v>
      </c>
      <c r="M171" s="3" t="s">
        <v>14</v>
      </c>
      <c r="N171">
        <v>0</v>
      </c>
      <c r="O171">
        <v>101.429</v>
      </c>
      <c r="P171">
        <v>178</v>
      </c>
      <c r="Q171">
        <v>0</v>
      </c>
      <c r="R171">
        <v>134</v>
      </c>
      <c r="S171" s="3" t="s">
        <v>263</v>
      </c>
      <c r="T171">
        <v>0</v>
      </c>
      <c r="U171">
        <v>0</v>
      </c>
      <c r="V171">
        <v>0</v>
      </c>
      <c r="W171">
        <v>0</v>
      </c>
      <c r="X171">
        <v>0</v>
      </c>
      <c r="Y171" s="3" t="s">
        <v>31</v>
      </c>
      <c r="Z171">
        <v>101.429</v>
      </c>
      <c r="AA171">
        <v>0</v>
      </c>
      <c r="AB171" s="3" t="s">
        <v>256</v>
      </c>
      <c r="AC171" s="3" t="s">
        <v>10</v>
      </c>
      <c r="AD171">
        <v>0</v>
      </c>
      <c r="AE171">
        <v>0</v>
      </c>
      <c r="AF171" s="3" t="s">
        <v>640</v>
      </c>
    </row>
    <row r="172" spans="1:32" x14ac:dyDescent="0.35">
      <c r="A172" s="3" t="s">
        <v>608</v>
      </c>
      <c r="B172" s="3" t="s">
        <v>608</v>
      </c>
      <c r="C172" s="3" t="s">
        <v>608</v>
      </c>
      <c r="D172" s="3" t="s">
        <v>608</v>
      </c>
      <c r="E172" s="3" t="s">
        <v>608</v>
      </c>
      <c r="F172" s="3" t="s">
        <v>351</v>
      </c>
      <c r="G172" s="3" t="s">
        <v>351</v>
      </c>
      <c r="H172" s="3" t="s">
        <v>352</v>
      </c>
      <c r="I172" s="3" t="s">
        <v>350</v>
      </c>
      <c r="J172" s="3" t="s">
        <v>4</v>
      </c>
      <c r="K172" s="3" t="s">
        <v>780</v>
      </c>
      <c r="L172" s="3" t="s">
        <v>30</v>
      </c>
      <c r="M172" s="3" t="s">
        <v>14</v>
      </c>
      <c r="N172">
        <v>-2000000</v>
      </c>
      <c r="O172">
        <v>109.801</v>
      </c>
      <c r="P172">
        <v>139</v>
      </c>
      <c r="Q172">
        <v>-580</v>
      </c>
      <c r="R172">
        <v>-184</v>
      </c>
      <c r="S172" s="3" t="s">
        <v>263</v>
      </c>
      <c r="T172">
        <v>-843</v>
      </c>
      <c r="U172">
        <v>-852</v>
      </c>
      <c r="V172">
        <v>-1182</v>
      </c>
      <c r="W172">
        <v>-3.81</v>
      </c>
      <c r="X172">
        <v>-2196020</v>
      </c>
      <c r="Y172" s="3" t="s">
        <v>31</v>
      </c>
      <c r="Z172">
        <v>109.77200000000001</v>
      </c>
      <c r="AA172">
        <v>-2000000</v>
      </c>
      <c r="AB172" s="3" t="s">
        <v>256</v>
      </c>
      <c r="AC172" s="3" t="s">
        <v>10</v>
      </c>
      <c r="AD172">
        <v>-2259094</v>
      </c>
      <c r="AE172">
        <v>2259094</v>
      </c>
      <c r="AF172" s="3" t="s">
        <v>640</v>
      </c>
    </row>
    <row r="173" spans="1:32" x14ac:dyDescent="0.35">
      <c r="A173" s="3" t="s">
        <v>608</v>
      </c>
      <c r="B173" s="3" t="s">
        <v>608</v>
      </c>
      <c r="C173" s="3" t="s">
        <v>608</v>
      </c>
      <c r="D173" s="3" t="s">
        <v>608</v>
      </c>
      <c r="E173" s="3" t="s">
        <v>608</v>
      </c>
      <c r="F173" s="3" t="s">
        <v>353</v>
      </c>
      <c r="G173" s="3" t="s">
        <v>353</v>
      </c>
      <c r="H173" s="3" t="s">
        <v>354</v>
      </c>
      <c r="I173" s="3" t="s">
        <v>355</v>
      </c>
      <c r="J173" s="3" t="s">
        <v>4</v>
      </c>
      <c r="K173" s="3" t="s">
        <v>781</v>
      </c>
      <c r="L173" s="3" t="s">
        <v>30</v>
      </c>
      <c r="M173" s="3" t="s">
        <v>14</v>
      </c>
      <c r="N173">
        <v>-2381000</v>
      </c>
      <c r="O173">
        <v>102.399</v>
      </c>
      <c r="P173">
        <v>212</v>
      </c>
      <c r="Q173">
        <v>-3548</v>
      </c>
      <c r="R173">
        <v>-139</v>
      </c>
      <c r="S173" s="3" t="s">
        <v>263</v>
      </c>
      <c r="T173">
        <v>-1482</v>
      </c>
      <c r="U173">
        <v>-1499</v>
      </c>
      <c r="V173">
        <v>-3182</v>
      </c>
      <c r="W173">
        <v>-10.26</v>
      </c>
      <c r="X173">
        <v>-2438120</v>
      </c>
      <c r="Y173" s="3" t="s">
        <v>31</v>
      </c>
      <c r="Z173">
        <v>102.25</v>
      </c>
      <c r="AA173">
        <v>-2381000</v>
      </c>
      <c r="AB173" s="3" t="s">
        <v>256</v>
      </c>
      <c r="AC173" s="3" t="s">
        <v>10</v>
      </c>
      <c r="AD173">
        <v>-2448378</v>
      </c>
      <c r="AE173">
        <v>2448378</v>
      </c>
      <c r="AF173" s="3" t="s">
        <v>640</v>
      </c>
    </row>
    <row r="174" spans="1:32" x14ac:dyDescent="0.35">
      <c r="A174" s="3" t="s">
        <v>608</v>
      </c>
      <c r="B174" s="3" t="s">
        <v>608</v>
      </c>
      <c r="C174" s="3" t="s">
        <v>608</v>
      </c>
      <c r="D174" s="3" t="s">
        <v>608</v>
      </c>
      <c r="E174" s="3" t="s">
        <v>608</v>
      </c>
      <c r="F174" s="3" t="s">
        <v>356</v>
      </c>
      <c r="G174" s="3" t="s">
        <v>356</v>
      </c>
      <c r="H174" s="3" t="s">
        <v>357</v>
      </c>
      <c r="I174" s="3" t="s">
        <v>355</v>
      </c>
      <c r="J174" s="3" t="s">
        <v>283</v>
      </c>
      <c r="K174" s="3" t="s">
        <v>782</v>
      </c>
      <c r="L174" s="3" t="s">
        <v>30</v>
      </c>
      <c r="M174" s="3" t="s">
        <v>14</v>
      </c>
      <c r="N174">
        <v>1000000</v>
      </c>
      <c r="O174">
        <v>114.413</v>
      </c>
      <c r="P174">
        <v>204</v>
      </c>
      <c r="Q174">
        <v>1292</v>
      </c>
      <c r="R174">
        <v>172</v>
      </c>
      <c r="S174" s="3" t="s">
        <v>263</v>
      </c>
      <c r="T174">
        <v>525</v>
      </c>
      <c r="U174">
        <v>533</v>
      </c>
      <c r="V174">
        <v>1089</v>
      </c>
      <c r="W174">
        <v>3.51</v>
      </c>
      <c r="X174">
        <v>1277744</v>
      </c>
      <c r="Y174" s="3" t="s">
        <v>31</v>
      </c>
      <c r="Z174">
        <v>114.298</v>
      </c>
      <c r="AA174">
        <v>1000000</v>
      </c>
      <c r="AB174" s="3" t="s">
        <v>256</v>
      </c>
      <c r="AC174" s="3" t="s">
        <v>10</v>
      </c>
      <c r="AD174">
        <v>1301322</v>
      </c>
      <c r="AE174">
        <v>1301322</v>
      </c>
      <c r="AF174" s="3" t="s">
        <v>640</v>
      </c>
    </row>
    <row r="175" spans="1:32" x14ac:dyDescent="0.35">
      <c r="A175" s="3" t="s">
        <v>608</v>
      </c>
      <c r="B175" s="3" t="s">
        <v>608</v>
      </c>
      <c r="C175" s="3" t="s">
        <v>608</v>
      </c>
      <c r="D175" s="3" t="s">
        <v>608</v>
      </c>
      <c r="E175" s="3" t="s">
        <v>608</v>
      </c>
      <c r="F175" s="3" t="s">
        <v>841</v>
      </c>
      <c r="G175" s="3" t="s">
        <v>841</v>
      </c>
      <c r="H175" s="3" t="s">
        <v>842</v>
      </c>
      <c r="I175" s="3" t="s">
        <v>135</v>
      </c>
      <c r="J175" s="3" t="s">
        <v>4</v>
      </c>
      <c r="K175" s="3" t="s">
        <v>843</v>
      </c>
      <c r="L175" s="3" t="s">
        <v>30</v>
      </c>
      <c r="M175" s="3" t="s">
        <v>14</v>
      </c>
      <c r="N175">
        <v>0</v>
      </c>
      <c r="O175">
        <v>104.953</v>
      </c>
      <c r="P175">
        <v>235</v>
      </c>
      <c r="Q175">
        <v>0</v>
      </c>
      <c r="R175">
        <v>0</v>
      </c>
      <c r="S175" s="3" t="s">
        <v>263</v>
      </c>
      <c r="T175">
        <v>0</v>
      </c>
      <c r="U175">
        <v>0</v>
      </c>
      <c r="V175">
        <v>0</v>
      </c>
      <c r="W175">
        <v>0</v>
      </c>
      <c r="X175">
        <v>0</v>
      </c>
      <c r="Y175" s="3" t="s">
        <v>31</v>
      </c>
      <c r="Z175">
        <v>104.953</v>
      </c>
      <c r="AA175">
        <v>0</v>
      </c>
      <c r="AB175" s="3" t="s">
        <v>256</v>
      </c>
      <c r="AC175" s="3" t="s">
        <v>10</v>
      </c>
      <c r="AD175">
        <v>0</v>
      </c>
      <c r="AE175">
        <v>0</v>
      </c>
      <c r="AF175" s="3" t="s">
        <v>640</v>
      </c>
    </row>
    <row r="176" spans="1:32" x14ac:dyDescent="0.35">
      <c r="A176" s="3" t="s">
        <v>608</v>
      </c>
      <c r="B176" s="3" t="s">
        <v>608</v>
      </c>
      <c r="C176" s="3" t="s">
        <v>608</v>
      </c>
      <c r="D176" s="3" t="s">
        <v>608</v>
      </c>
      <c r="E176" s="3" t="s">
        <v>608</v>
      </c>
      <c r="F176" s="3" t="s">
        <v>358</v>
      </c>
      <c r="G176" s="3" t="s">
        <v>358</v>
      </c>
      <c r="H176" s="3" t="s">
        <v>359</v>
      </c>
      <c r="I176" s="3" t="s">
        <v>135</v>
      </c>
      <c r="J176" s="3" t="s">
        <v>4</v>
      </c>
      <c r="K176" s="3" t="s">
        <v>783</v>
      </c>
      <c r="L176" s="3" t="s">
        <v>30</v>
      </c>
      <c r="M176" s="3" t="s">
        <v>14</v>
      </c>
      <c r="N176">
        <v>0</v>
      </c>
      <c r="O176">
        <v>105.788</v>
      </c>
      <c r="P176">
        <v>169</v>
      </c>
      <c r="Q176">
        <v>0</v>
      </c>
      <c r="R176">
        <v>0</v>
      </c>
      <c r="S176" s="3" t="s">
        <v>263</v>
      </c>
      <c r="T176">
        <v>0</v>
      </c>
      <c r="U176">
        <v>0</v>
      </c>
      <c r="V176">
        <v>0</v>
      </c>
      <c r="W176">
        <v>0</v>
      </c>
      <c r="X176">
        <v>0</v>
      </c>
      <c r="Y176" s="3" t="s">
        <v>31</v>
      </c>
      <c r="Z176">
        <v>105.788</v>
      </c>
      <c r="AA176">
        <v>0</v>
      </c>
      <c r="AB176" s="3" t="s">
        <v>256</v>
      </c>
      <c r="AC176" s="3" t="s">
        <v>10</v>
      </c>
      <c r="AD176">
        <v>0</v>
      </c>
      <c r="AE176">
        <v>0</v>
      </c>
      <c r="AF176" s="3" t="s">
        <v>640</v>
      </c>
    </row>
    <row r="177" spans="1:32" x14ac:dyDescent="0.35">
      <c r="A177" s="3" t="s">
        <v>608</v>
      </c>
      <c r="B177" s="3" t="s">
        <v>608</v>
      </c>
      <c r="C177" s="3" t="s">
        <v>608</v>
      </c>
      <c r="D177" s="3" t="s">
        <v>608</v>
      </c>
      <c r="E177" s="3" t="s">
        <v>608</v>
      </c>
      <c r="F177" s="3" t="s">
        <v>587</v>
      </c>
      <c r="G177" s="3" t="s">
        <v>587</v>
      </c>
      <c r="H177" s="3" t="s">
        <v>361</v>
      </c>
      <c r="I177" s="3" t="s">
        <v>140</v>
      </c>
      <c r="J177" s="3" t="s">
        <v>4</v>
      </c>
      <c r="K177" s="3" t="s">
        <v>784</v>
      </c>
      <c r="L177" s="3" t="s">
        <v>30</v>
      </c>
      <c r="M177" s="3" t="s">
        <v>14</v>
      </c>
      <c r="N177">
        <v>-400000</v>
      </c>
      <c r="O177">
        <v>101.873</v>
      </c>
      <c r="P177">
        <v>294</v>
      </c>
      <c r="Q177">
        <v>1908</v>
      </c>
      <c r="R177">
        <v>24</v>
      </c>
      <c r="S177" s="3" t="s">
        <v>263</v>
      </c>
      <c r="T177">
        <v>-306</v>
      </c>
      <c r="U177">
        <v>-309</v>
      </c>
      <c r="V177">
        <v>-907</v>
      </c>
      <c r="W177">
        <v>-2.93</v>
      </c>
      <c r="X177">
        <v>-407492</v>
      </c>
      <c r="Y177" s="3" t="s">
        <v>31</v>
      </c>
      <c r="Z177">
        <v>101.73</v>
      </c>
      <c r="AA177">
        <v>0</v>
      </c>
      <c r="AB177" s="3" t="s">
        <v>256</v>
      </c>
      <c r="AC177" s="3" t="s">
        <v>10</v>
      </c>
      <c r="AD177">
        <v>-409981</v>
      </c>
      <c r="AE177">
        <v>409981</v>
      </c>
      <c r="AF177" s="3" t="s">
        <v>640</v>
      </c>
    </row>
    <row r="178" spans="1:32" x14ac:dyDescent="0.35">
      <c r="A178" s="3" t="s">
        <v>608</v>
      </c>
      <c r="B178" s="3" t="s">
        <v>608</v>
      </c>
      <c r="C178" s="3" t="s">
        <v>608</v>
      </c>
      <c r="D178" s="3" t="s">
        <v>608</v>
      </c>
      <c r="E178" s="3" t="s">
        <v>608</v>
      </c>
      <c r="F178" s="3" t="s">
        <v>991</v>
      </c>
      <c r="G178" s="3" t="s">
        <v>991</v>
      </c>
      <c r="H178" s="3" t="s">
        <v>992</v>
      </c>
      <c r="I178" s="3" t="s">
        <v>140</v>
      </c>
      <c r="J178" s="3" t="s">
        <v>4</v>
      </c>
      <c r="K178" s="3" t="s">
        <v>993</v>
      </c>
      <c r="L178" s="3" t="s">
        <v>30</v>
      </c>
      <c r="M178" s="3" t="s">
        <v>14</v>
      </c>
      <c r="N178">
        <v>-800000</v>
      </c>
      <c r="O178">
        <v>121.328</v>
      </c>
      <c r="P178">
        <v>225</v>
      </c>
      <c r="Q178">
        <v>-1528</v>
      </c>
      <c r="R178">
        <v>-137</v>
      </c>
      <c r="S178" s="3" t="s">
        <v>263</v>
      </c>
      <c r="T178">
        <v>-434</v>
      </c>
      <c r="U178">
        <v>-438</v>
      </c>
      <c r="V178">
        <v>-985</v>
      </c>
      <c r="W178">
        <v>-3.18</v>
      </c>
      <c r="X178">
        <v>-970624</v>
      </c>
      <c r="Y178" s="3" t="s">
        <v>31</v>
      </c>
      <c r="Z178">
        <v>121.137</v>
      </c>
      <c r="AA178">
        <v>-800000</v>
      </c>
      <c r="AB178" s="3" t="s">
        <v>256</v>
      </c>
      <c r="AC178" s="3" t="s">
        <v>10</v>
      </c>
      <c r="AD178">
        <v>-1017755</v>
      </c>
      <c r="AE178">
        <v>1017755</v>
      </c>
      <c r="AF178" s="3" t="s">
        <v>640</v>
      </c>
    </row>
    <row r="179" spans="1:32" x14ac:dyDescent="0.35">
      <c r="A179" s="3" t="s">
        <v>608</v>
      </c>
      <c r="B179" s="3" t="s">
        <v>608</v>
      </c>
      <c r="C179" s="3" t="s">
        <v>608</v>
      </c>
      <c r="D179" s="3" t="s">
        <v>608</v>
      </c>
      <c r="E179" s="3" t="s">
        <v>608</v>
      </c>
      <c r="F179" s="3" t="s">
        <v>360</v>
      </c>
      <c r="G179" s="3" t="s">
        <v>360</v>
      </c>
      <c r="H179" s="3" t="s">
        <v>361</v>
      </c>
      <c r="I179" s="3" t="s">
        <v>140</v>
      </c>
      <c r="J179" s="3" t="s">
        <v>4</v>
      </c>
      <c r="K179" s="3" t="s">
        <v>785</v>
      </c>
      <c r="L179" s="3" t="s">
        <v>30</v>
      </c>
      <c r="M179" s="3" t="s">
        <v>14</v>
      </c>
      <c r="N179">
        <v>500000</v>
      </c>
      <c r="O179">
        <v>103.723</v>
      </c>
      <c r="P179">
        <v>221</v>
      </c>
      <c r="Q179">
        <v>1540</v>
      </c>
      <c r="R179">
        <v>118</v>
      </c>
      <c r="S179" s="3" t="s">
        <v>263</v>
      </c>
      <c r="T179">
        <v>165</v>
      </c>
      <c r="U179">
        <v>166</v>
      </c>
      <c r="V179">
        <v>367</v>
      </c>
      <c r="W179">
        <v>1.18</v>
      </c>
      <c r="X179">
        <v>518615</v>
      </c>
      <c r="Y179" s="3" t="s">
        <v>31</v>
      </c>
      <c r="Z179">
        <v>103.605</v>
      </c>
      <c r="AA179">
        <v>1500000</v>
      </c>
      <c r="AB179" s="3" t="s">
        <v>256</v>
      </c>
      <c r="AC179" s="3" t="s">
        <v>10</v>
      </c>
      <c r="AD179">
        <v>524523</v>
      </c>
      <c r="AE179">
        <v>524523</v>
      </c>
      <c r="AF179" s="3" t="s">
        <v>640</v>
      </c>
    </row>
    <row r="180" spans="1:32" x14ac:dyDescent="0.35">
      <c r="A180" s="3" t="s">
        <v>608</v>
      </c>
      <c r="B180" s="3" t="s">
        <v>608</v>
      </c>
      <c r="C180" s="3" t="s">
        <v>608</v>
      </c>
      <c r="D180" s="3" t="s">
        <v>608</v>
      </c>
      <c r="E180" s="3" t="s">
        <v>608</v>
      </c>
      <c r="F180" s="3" t="s">
        <v>1340</v>
      </c>
      <c r="G180" s="3" t="s">
        <v>1340</v>
      </c>
      <c r="H180" s="3" t="s">
        <v>1341</v>
      </c>
      <c r="I180" s="3" t="s">
        <v>364</v>
      </c>
      <c r="J180" s="3" t="s">
        <v>283</v>
      </c>
      <c r="K180" s="3" t="s">
        <v>1342</v>
      </c>
      <c r="L180" s="3" t="s">
        <v>30</v>
      </c>
      <c r="M180" s="3" t="s">
        <v>14</v>
      </c>
      <c r="N180">
        <v>3181000</v>
      </c>
      <c r="O180">
        <v>109.94</v>
      </c>
      <c r="P180">
        <v>133</v>
      </c>
      <c r="Q180">
        <v>2964</v>
      </c>
      <c r="R180">
        <v>560</v>
      </c>
      <c r="S180" s="3" t="s">
        <v>263</v>
      </c>
      <c r="T180">
        <v>881</v>
      </c>
      <c r="U180">
        <v>896</v>
      </c>
      <c r="V180">
        <v>1191</v>
      </c>
      <c r="W180">
        <v>3.84</v>
      </c>
      <c r="X180">
        <v>3905600</v>
      </c>
      <c r="Y180" s="3" t="s">
        <v>31</v>
      </c>
      <c r="Z180">
        <v>109.857</v>
      </c>
      <c r="AA180">
        <v>3181000</v>
      </c>
      <c r="AB180" s="3" t="s">
        <v>256</v>
      </c>
      <c r="AC180" s="3" t="s">
        <v>10</v>
      </c>
      <c r="AD180">
        <v>4021358</v>
      </c>
      <c r="AE180">
        <v>4021358</v>
      </c>
      <c r="AF180" s="3" t="s">
        <v>640</v>
      </c>
    </row>
    <row r="181" spans="1:32" x14ac:dyDescent="0.35">
      <c r="A181" s="3" t="s">
        <v>608</v>
      </c>
      <c r="B181" s="3" t="s">
        <v>608</v>
      </c>
      <c r="C181" s="3" t="s">
        <v>608</v>
      </c>
      <c r="D181" s="3" t="s">
        <v>608</v>
      </c>
      <c r="E181" s="3" t="s">
        <v>608</v>
      </c>
      <c r="F181" s="3" t="s">
        <v>369</v>
      </c>
      <c r="G181" s="3" t="s">
        <v>369</v>
      </c>
      <c r="H181" s="3" t="s">
        <v>370</v>
      </c>
      <c r="I181" s="3" t="s">
        <v>371</v>
      </c>
      <c r="J181" s="3" t="s">
        <v>4</v>
      </c>
      <c r="K181" s="3" t="s">
        <v>790</v>
      </c>
      <c r="L181" s="3" t="s">
        <v>30</v>
      </c>
      <c r="M181" s="3" t="s">
        <v>14</v>
      </c>
      <c r="N181">
        <v>2000000</v>
      </c>
      <c r="O181">
        <v>101.873</v>
      </c>
      <c r="P181">
        <v>185</v>
      </c>
      <c r="Q181">
        <v>2740</v>
      </c>
      <c r="R181">
        <v>96</v>
      </c>
      <c r="S181" s="3" t="s">
        <v>263</v>
      </c>
      <c r="T181">
        <v>1332</v>
      </c>
      <c r="U181">
        <v>1345</v>
      </c>
      <c r="V181">
        <v>2482</v>
      </c>
      <c r="W181">
        <v>8.01</v>
      </c>
      <c r="X181">
        <v>2037460</v>
      </c>
      <c r="Y181" s="3" t="s">
        <v>31</v>
      </c>
      <c r="Z181">
        <v>101.736</v>
      </c>
      <c r="AA181">
        <v>2000000</v>
      </c>
      <c r="AB181" s="3" t="s">
        <v>256</v>
      </c>
      <c r="AC181" s="3" t="s">
        <v>10</v>
      </c>
      <c r="AD181">
        <v>2070452</v>
      </c>
      <c r="AE181">
        <v>2070452</v>
      </c>
      <c r="AF181" s="3" t="s">
        <v>640</v>
      </c>
    </row>
    <row r="182" spans="1:32" x14ac:dyDescent="0.35">
      <c r="A182" s="3" t="s">
        <v>608</v>
      </c>
      <c r="B182" s="3" t="s">
        <v>608</v>
      </c>
      <c r="C182" s="3" t="s">
        <v>608</v>
      </c>
      <c r="D182" s="3" t="s">
        <v>608</v>
      </c>
      <c r="E182" s="3" t="s">
        <v>608</v>
      </c>
      <c r="F182" s="3" t="s">
        <v>372</v>
      </c>
      <c r="G182" s="3" t="s">
        <v>372</v>
      </c>
      <c r="H182" s="3" t="s">
        <v>373</v>
      </c>
      <c r="I182" s="3" t="s">
        <v>152</v>
      </c>
      <c r="J182" s="3" t="s">
        <v>4</v>
      </c>
      <c r="K182" s="3" t="s">
        <v>791</v>
      </c>
      <c r="L182" s="3" t="s">
        <v>30</v>
      </c>
      <c r="M182" s="3" t="s">
        <v>14</v>
      </c>
      <c r="N182">
        <v>-325000</v>
      </c>
      <c r="O182">
        <v>106.80200000000001</v>
      </c>
      <c r="P182">
        <v>359</v>
      </c>
      <c r="Q182">
        <v>169</v>
      </c>
      <c r="R182">
        <v>-50</v>
      </c>
      <c r="S182" s="3" t="s">
        <v>263</v>
      </c>
      <c r="T182">
        <v>-230</v>
      </c>
      <c r="U182">
        <v>-233</v>
      </c>
      <c r="V182">
        <v>-836</v>
      </c>
      <c r="W182">
        <v>-2.7</v>
      </c>
      <c r="X182">
        <v>-347107</v>
      </c>
      <c r="Y182" s="3" t="s">
        <v>31</v>
      </c>
      <c r="Z182">
        <v>106.209</v>
      </c>
      <c r="AA182">
        <v>-434000</v>
      </c>
      <c r="AB182" s="3" t="s">
        <v>256</v>
      </c>
      <c r="AC182" s="3" t="s">
        <v>10</v>
      </c>
      <c r="AD182">
        <v>-353128</v>
      </c>
      <c r="AE182">
        <v>353128</v>
      </c>
      <c r="AF182" s="3" t="s">
        <v>640</v>
      </c>
    </row>
    <row r="183" spans="1:32" x14ac:dyDescent="0.35">
      <c r="A183" s="3" t="s">
        <v>608</v>
      </c>
      <c r="B183" s="3" t="s">
        <v>608</v>
      </c>
      <c r="C183" s="3" t="s">
        <v>608</v>
      </c>
      <c r="D183" s="3" t="s">
        <v>608</v>
      </c>
      <c r="E183" s="3" t="s">
        <v>608</v>
      </c>
      <c r="F183" s="3" t="s">
        <v>916</v>
      </c>
      <c r="G183" s="3" t="s">
        <v>916</v>
      </c>
      <c r="H183" s="3" t="s">
        <v>917</v>
      </c>
      <c r="I183" s="3" t="s">
        <v>152</v>
      </c>
      <c r="J183" s="3" t="s">
        <v>4</v>
      </c>
      <c r="K183" s="3" t="s">
        <v>918</v>
      </c>
      <c r="L183" s="3" t="s">
        <v>30</v>
      </c>
      <c r="M183" s="3" t="s">
        <v>14</v>
      </c>
      <c r="N183">
        <v>0</v>
      </c>
      <c r="O183">
        <v>103.54</v>
      </c>
      <c r="P183">
        <v>344</v>
      </c>
      <c r="Q183">
        <v>0</v>
      </c>
      <c r="R183">
        <v>0</v>
      </c>
      <c r="S183" s="3" t="s">
        <v>263</v>
      </c>
      <c r="T183">
        <v>0</v>
      </c>
      <c r="U183">
        <v>0</v>
      </c>
      <c r="V183">
        <v>0</v>
      </c>
      <c r="W183">
        <v>0</v>
      </c>
      <c r="X183">
        <v>0</v>
      </c>
      <c r="Y183" s="3" t="s">
        <v>31</v>
      </c>
      <c r="Z183">
        <v>103.54</v>
      </c>
      <c r="AA183">
        <v>0</v>
      </c>
      <c r="AB183" s="3" t="s">
        <v>256</v>
      </c>
      <c r="AC183" s="3" t="s">
        <v>10</v>
      </c>
      <c r="AD183">
        <v>0</v>
      </c>
      <c r="AE183">
        <v>0</v>
      </c>
      <c r="AF183" s="3" t="s">
        <v>640</v>
      </c>
    </row>
    <row r="184" spans="1:32" x14ac:dyDescent="0.35">
      <c r="A184" s="3" t="s">
        <v>608</v>
      </c>
      <c r="B184" s="3" t="s">
        <v>608</v>
      </c>
      <c r="C184" s="3" t="s">
        <v>608</v>
      </c>
      <c r="D184" s="3" t="s">
        <v>608</v>
      </c>
      <c r="E184" s="3" t="s">
        <v>608</v>
      </c>
      <c r="F184" s="3" t="s">
        <v>376</v>
      </c>
      <c r="G184" s="3" t="s">
        <v>376</v>
      </c>
      <c r="H184" s="3" t="s">
        <v>377</v>
      </c>
      <c r="I184" s="3" t="s">
        <v>378</v>
      </c>
      <c r="J184" s="3" t="s">
        <v>4</v>
      </c>
      <c r="K184" s="3" t="s">
        <v>793</v>
      </c>
      <c r="L184" s="3" t="s">
        <v>30</v>
      </c>
      <c r="M184" s="3" t="s">
        <v>14</v>
      </c>
      <c r="N184">
        <v>3398000</v>
      </c>
      <c r="O184">
        <v>108.364</v>
      </c>
      <c r="P184">
        <v>200</v>
      </c>
      <c r="Q184">
        <v>340</v>
      </c>
      <c r="R184">
        <v>326</v>
      </c>
      <c r="S184" s="3" t="s">
        <v>263</v>
      </c>
      <c r="T184">
        <v>1518</v>
      </c>
      <c r="U184">
        <v>1533</v>
      </c>
      <c r="V184">
        <v>3060</v>
      </c>
      <c r="W184">
        <v>9.8699999999999992</v>
      </c>
      <c r="X184">
        <v>3682209</v>
      </c>
      <c r="Y184" s="3" t="s">
        <v>31</v>
      </c>
      <c r="Z184">
        <v>108.354</v>
      </c>
      <c r="AA184">
        <v>3398000</v>
      </c>
      <c r="AB184" s="3" t="s">
        <v>256</v>
      </c>
      <c r="AC184" s="3" t="s">
        <v>10</v>
      </c>
      <c r="AD184">
        <v>3750960</v>
      </c>
      <c r="AE184">
        <v>3750960</v>
      </c>
      <c r="AF184" s="3" t="s">
        <v>640</v>
      </c>
    </row>
    <row r="185" spans="1:32" x14ac:dyDescent="0.35">
      <c r="A185" s="3" t="s">
        <v>608</v>
      </c>
      <c r="B185" s="3" t="s">
        <v>608</v>
      </c>
      <c r="C185" s="3" t="s">
        <v>608</v>
      </c>
      <c r="D185" s="3" t="s">
        <v>608</v>
      </c>
      <c r="E185" s="3" t="s">
        <v>608</v>
      </c>
      <c r="F185" s="3" t="s">
        <v>384</v>
      </c>
      <c r="G185" s="3" t="s">
        <v>384</v>
      </c>
      <c r="H185" s="3" t="s">
        <v>385</v>
      </c>
      <c r="I185" s="3" t="s">
        <v>165</v>
      </c>
      <c r="J185" s="3" t="s">
        <v>4</v>
      </c>
      <c r="K185" s="3" t="s">
        <v>796</v>
      </c>
      <c r="L185" s="3" t="s">
        <v>30</v>
      </c>
      <c r="M185" s="3" t="s">
        <v>14</v>
      </c>
      <c r="N185">
        <v>-3300000</v>
      </c>
      <c r="O185">
        <v>104.107</v>
      </c>
      <c r="P185">
        <v>204</v>
      </c>
      <c r="Q185">
        <v>-2079</v>
      </c>
      <c r="R185">
        <v>-260</v>
      </c>
      <c r="S185" s="3" t="s">
        <v>263</v>
      </c>
      <c r="T185">
        <v>-1041</v>
      </c>
      <c r="U185">
        <v>-1050</v>
      </c>
      <c r="V185">
        <v>-2140</v>
      </c>
      <c r="W185">
        <v>-6.9</v>
      </c>
      <c r="X185">
        <v>-3435531</v>
      </c>
      <c r="Y185" s="3" t="s">
        <v>31</v>
      </c>
      <c r="Z185">
        <v>104.044</v>
      </c>
      <c r="AA185">
        <v>-3300000</v>
      </c>
      <c r="AB185" s="3" t="s">
        <v>256</v>
      </c>
      <c r="AC185" s="3" t="s">
        <v>10</v>
      </c>
      <c r="AD185">
        <v>-3490896</v>
      </c>
      <c r="AE185">
        <v>3490896</v>
      </c>
      <c r="AF185" s="3" t="s">
        <v>640</v>
      </c>
    </row>
    <row r="186" spans="1:32" x14ac:dyDescent="0.35">
      <c r="A186" s="3" t="s">
        <v>608</v>
      </c>
      <c r="B186" s="3" t="s">
        <v>608</v>
      </c>
      <c r="C186" s="3" t="s">
        <v>608</v>
      </c>
      <c r="D186" s="3" t="s">
        <v>608</v>
      </c>
      <c r="E186" s="3" t="s">
        <v>608</v>
      </c>
      <c r="F186" s="3" t="s">
        <v>996</v>
      </c>
      <c r="G186" s="3" t="s">
        <v>996</v>
      </c>
      <c r="H186" s="3" t="s">
        <v>997</v>
      </c>
      <c r="I186" s="3" t="s">
        <v>388</v>
      </c>
      <c r="J186" s="3" t="s">
        <v>4</v>
      </c>
      <c r="K186" s="3" t="s">
        <v>998</v>
      </c>
      <c r="L186" s="3" t="s">
        <v>30</v>
      </c>
      <c r="M186" s="3" t="s">
        <v>14</v>
      </c>
      <c r="N186">
        <v>-3500000</v>
      </c>
      <c r="O186">
        <v>105.072</v>
      </c>
      <c r="P186">
        <v>266</v>
      </c>
      <c r="Q186">
        <v>-3815</v>
      </c>
      <c r="R186">
        <v>128</v>
      </c>
      <c r="S186" s="3" t="s">
        <v>263</v>
      </c>
      <c r="T186">
        <v>-2127</v>
      </c>
      <c r="U186">
        <v>-2149</v>
      </c>
      <c r="V186">
        <v>-5723</v>
      </c>
      <c r="W186">
        <v>-18.46</v>
      </c>
      <c r="X186">
        <v>-3677520</v>
      </c>
      <c r="Y186" s="3" t="s">
        <v>31</v>
      </c>
      <c r="Z186">
        <v>104.96299999999999</v>
      </c>
      <c r="AA186">
        <v>-3500000</v>
      </c>
      <c r="AB186" s="3" t="s">
        <v>256</v>
      </c>
      <c r="AC186" s="3" t="s">
        <v>10</v>
      </c>
      <c r="AD186">
        <v>-3715577</v>
      </c>
      <c r="AE186">
        <v>3715577</v>
      </c>
      <c r="AF186" s="3" t="s">
        <v>640</v>
      </c>
    </row>
    <row r="187" spans="1:32" x14ac:dyDescent="0.35">
      <c r="A187" s="3" t="s">
        <v>608</v>
      </c>
      <c r="B187" s="3" t="s">
        <v>608</v>
      </c>
      <c r="C187" s="3" t="s">
        <v>608</v>
      </c>
      <c r="D187" s="3" t="s">
        <v>608</v>
      </c>
      <c r="E187" s="3" t="s">
        <v>608</v>
      </c>
      <c r="F187" s="3" t="s">
        <v>1444</v>
      </c>
      <c r="G187" s="3" t="s">
        <v>1444</v>
      </c>
      <c r="H187" s="3" t="s">
        <v>1446</v>
      </c>
      <c r="I187" s="3" t="s">
        <v>388</v>
      </c>
      <c r="J187" s="3" t="s">
        <v>283</v>
      </c>
      <c r="K187" s="3" t="s">
        <v>1447</v>
      </c>
      <c r="L187" s="3" t="s">
        <v>30</v>
      </c>
      <c r="M187" s="3" t="s">
        <v>14</v>
      </c>
      <c r="N187">
        <v>2300000</v>
      </c>
      <c r="O187">
        <v>104.509</v>
      </c>
      <c r="P187">
        <v>253</v>
      </c>
      <c r="Q187">
        <v>1743</v>
      </c>
      <c r="R187">
        <v>263</v>
      </c>
      <c r="S187" s="3" t="s">
        <v>263</v>
      </c>
      <c r="T187">
        <v>1251</v>
      </c>
      <c r="U187">
        <v>1272</v>
      </c>
      <c r="V187">
        <v>3212</v>
      </c>
      <c r="W187">
        <v>10.36</v>
      </c>
      <c r="X187">
        <v>2684416</v>
      </c>
      <c r="Y187" s="3" t="s">
        <v>31</v>
      </c>
      <c r="Z187">
        <v>104.441</v>
      </c>
      <c r="AA187">
        <v>2300000</v>
      </c>
      <c r="AB187" s="3" t="s">
        <v>256</v>
      </c>
      <c r="AC187" s="3" t="s">
        <v>10</v>
      </c>
      <c r="AD187">
        <v>2714347</v>
      </c>
      <c r="AE187">
        <v>2714347</v>
      </c>
      <c r="AF187" s="3" t="s">
        <v>640</v>
      </c>
    </row>
    <row r="188" spans="1:32" x14ac:dyDescent="0.35">
      <c r="A188" s="3" t="s">
        <v>608</v>
      </c>
      <c r="B188" s="3" t="s">
        <v>608</v>
      </c>
      <c r="C188" s="3" t="s">
        <v>608</v>
      </c>
      <c r="D188" s="3" t="s">
        <v>608</v>
      </c>
      <c r="E188" s="3" t="s">
        <v>608</v>
      </c>
      <c r="F188" s="3" t="s">
        <v>386</v>
      </c>
      <c r="G188" s="3" t="s">
        <v>386</v>
      </c>
      <c r="H188" s="3" t="s">
        <v>387</v>
      </c>
      <c r="I188" s="3" t="s">
        <v>388</v>
      </c>
      <c r="J188" s="3" t="s">
        <v>266</v>
      </c>
      <c r="K188" s="3" t="s">
        <v>797</v>
      </c>
      <c r="L188" s="3" t="s">
        <v>30</v>
      </c>
      <c r="M188" s="3" t="s">
        <v>14</v>
      </c>
      <c r="N188">
        <v>3615000</v>
      </c>
      <c r="O188">
        <v>103.995</v>
      </c>
      <c r="P188">
        <v>191</v>
      </c>
      <c r="Q188">
        <v>-661</v>
      </c>
      <c r="R188">
        <v>402</v>
      </c>
      <c r="S188" s="3" t="s">
        <v>263</v>
      </c>
      <c r="T188">
        <v>482</v>
      </c>
      <c r="U188">
        <v>489</v>
      </c>
      <c r="V188">
        <v>934</v>
      </c>
      <c r="W188">
        <v>3.01</v>
      </c>
      <c r="X188">
        <v>3169831</v>
      </c>
      <c r="Y188" s="3" t="s">
        <v>31</v>
      </c>
      <c r="Z188">
        <v>104.01600000000001</v>
      </c>
      <c r="AA188">
        <v>3615000</v>
      </c>
      <c r="AB188" s="3" t="s">
        <v>256</v>
      </c>
      <c r="AC188" s="3" t="s">
        <v>10</v>
      </c>
      <c r="AD188">
        <v>3199403</v>
      </c>
      <c r="AE188">
        <v>3199403</v>
      </c>
      <c r="AF188" s="3" t="s">
        <v>640</v>
      </c>
    </row>
    <row r="189" spans="1:32" x14ac:dyDescent="0.35">
      <c r="A189" s="3" t="s">
        <v>608</v>
      </c>
      <c r="B189" s="3" t="s">
        <v>608</v>
      </c>
      <c r="C189" s="3" t="s">
        <v>608</v>
      </c>
      <c r="D189" s="3" t="s">
        <v>608</v>
      </c>
      <c r="E189" s="3" t="s">
        <v>608</v>
      </c>
      <c r="F189" s="3" t="s">
        <v>389</v>
      </c>
      <c r="G189" s="3" t="s">
        <v>389</v>
      </c>
      <c r="H189" s="3" t="s">
        <v>390</v>
      </c>
      <c r="I189" s="3" t="s">
        <v>388</v>
      </c>
      <c r="J189" s="3" t="s">
        <v>283</v>
      </c>
      <c r="K189" s="3" t="s">
        <v>797</v>
      </c>
      <c r="L189" s="3" t="s">
        <v>30</v>
      </c>
      <c r="M189" s="3" t="s">
        <v>14</v>
      </c>
      <c r="N189">
        <v>1650000</v>
      </c>
      <c r="O189">
        <v>102.94799999999999</v>
      </c>
      <c r="P189">
        <v>167</v>
      </c>
      <c r="Q189">
        <v>-330</v>
      </c>
      <c r="R189">
        <v>183</v>
      </c>
      <c r="S189" s="3" t="s">
        <v>263</v>
      </c>
      <c r="T189">
        <v>290</v>
      </c>
      <c r="U189">
        <v>294</v>
      </c>
      <c r="V189">
        <v>490</v>
      </c>
      <c r="W189">
        <v>1.58</v>
      </c>
      <c r="X189">
        <v>1897013</v>
      </c>
      <c r="Y189" s="3" t="s">
        <v>31</v>
      </c>
      <c r="Z189">
        <v>102.967</v>
      </c>
      <c r="AA189">
        <v>1650000</v>
      </c>
      <c r="AB189" s="3" t="s">
        <v>256</v>
      </c>
      <c r="AC189" s="3" t="s">
        <v>10</v>
      </c>
      <c r="AD189">
        <v>1907336</v>
      </c>
      <c r="AE189">
        <v>1907336</v>
      </c>
      <c r="AF189" s="3" t="s">
        <v>640</v>
      </c>
    </row>
    <row r="190" spans="1:32" x14ac:dyDescent="0.35">
      <c r="A190" s="3" t="s">
        <v>608</v>
      </c>
      <c r="B190" s="3" t="s">
        <v>608</v>
      </c>
      <c r="C190" s="3" t="s">
        <v>608</v>
      </c>
      <c r="D190" s="3" t="s">
        <v>608</v>
      </c>
      <c r="E190" s="3" t="s">
        <v>608</v>
      </c>
      <c r="F190" s="3" t="s">
        <v>391</v>
      </c>
      <c r="G190" s="3" t="s">
        <v>391</v>
      </c>
      <c r="H190" s="3" t="s">
        <v>392</v>
      </c>
      <c r="I190" s="3" t="s">
        <v>388</v>
      </c>
      <c r="J190" s="3" t="s">
        <v>4</v>
      </c>
      <c r="K190" s="3" t="s">
        <v>798</v>
      </c>
      <c r="L190" s="3" t="s">
        <v>30</v>
      </c>
      <c r="M190" s="3" t="s">
        <v>14</v>
      </c>
      <c r="N190">
        <v>-354000</v>
      </c>
      <c r="O190">
        <v>100.77</v>
      </c>
      <c r="P190">
        <v>77</v>
      </c>
      <c r="Q190">
        <v>-46</v>
      </c>
      <c r="R190">
        <v>-23</v>
      </c>
      <c r="S190" s="3" t="s">
        <v>263</v>
      </c>
      <c r="T190">
        <v>-13</v>
      </c>
      <c r="U190">
        <v>-13</v>
      </c>
      <c r="V190">
        <v>-10</v>
      </c>
      <c r="W190">
        <v>-0.03</v>
      </c>
      <c r="X190">
        <v>-356726</v>
      </c>
      <c r="Y190" s="3" t="s">
        <v>31</v>
      </c>
      <c r="Z190">
        <v>100.75700000000001</v>
      </c>
      <c r="AA190">
        <v>-354000</v>
      </c>
      <c r="AB190" s="3" t="s">
        <v>256</v>
      </c>
      <c r="AC190" s="3" t="s">
        <v>10</v>
      </c>
      <c r="AD190">
        <v>-362047</v>
      </c>
      <c r="AE190">
        <v>362047</v>
      </c>
      <c r="AF190" s="3" t="s">
        <v>640</v>
      </c>
    </row>
    <row r="191" spans="1:32" x14ac:dyDescent="0.35">
      <c r="A191" s="3" t="s">
        <v>608</v>
      </c>
      <c r="B191" s="3" t="s">
        <v>608</v>
      </c>
      <c r="C191" s="3" t="s">
        <v>608</v>
      </c>
      <c r="D191" s="3" t="s">
        <v>608</v>
      </c>
      <c r="E191" s="3" t="s">
        <v>608</v>
      </c>
      <c r="F191" s="3" t="s">
        <v>1372</v>
      </c>
      <c r="G191" s="3" t="s">
        <v>1372</v>
      </c>
      <c r="H191" s="3" t="s">
        <v>1374</v>
      </c>
      <c r="I191" s="3" t="s">
        <v>180</v>
      </c>
      <c r="J191" s="3" t="s">
        <v>4</v>
      </c>
      <c r="K191" s="3" t="s">
        <v>1375</v>
      </c>
      <c r="L191" s="3" t="s">
        <v>30</v>
      </c>
      <c r="M191" s="3" t="s">
        <v>14</v>
      </c>
      <c r="N191">
        <v>5000000</v>
      </c>
      <c r="O191">
        <v>102.748</v>
      </c>
      <c r="P191">
        <v>106</v>
      </c>
      <c r="Q191">
        <v>450</v>
      </c>
      <c r="R191">
        <v>444</v>
      </c>
      <c r="S191" s="3" t="s">
        <v>263</v>
      </c>
      <c r="T191">
        <v>528</v>
      </c>
      <c r="U191">
        <v>532</v>
      </c>
      <c r="V191">
        <v>563</v>
      </c>
      <c r="W191">
        <v>1.82</v>
      </c>
      <c r="X191">
        <v>5137400</v>
      </c>
      <c r="Y191" s="3" t="s">
        <v>31</v>
      </c>
      <c r="Z191">
        <v>102.739</v>
      </c>
      <c r="AA191">
        <v>5000000</v>
      </c>
      <c r="AB191" s="3" t="s">
        <v>256</v>
      </c>
      <c r="AC191" s="3" t="s">
        <v>10</v>
      </c>
      <c r="AD191">
        <v>5294128</v>
      </c>
      <c r="AE191">
        <v>5294128</v>
      </c>
      <c r="AF191" s="3" t="s">
        <v>640</v>
      </c>
    </row>
    <row r="192" spans="1:32" x14ac:dyDescent="0.35">
      <c r="A192" s="3" t="s">
        <v>608</v>
      </c>
      <c r="B192" s="3" t="s">
        <v>608</v>
      </c>
      <c r="C192" s="3" t="s">
        <v>608</v>
      </c>
      <c r="D192" s="3" t="s">
        <v>608</v>
      </c>
      <c r="E192" s="3" t="s">
        <v>608</v>
      </c>
      <c r="F192" s="3" t="s">
        <v>1318</v>
      </c>
      <c r="G192" s="3" t="s">
        <v>1318</v>
      </c>
      <c r="H192" s="3" t="s">
        <v>1320</v>
      </c>
      <c r="I192" s="3" t="s">
        <v>1322</v>
      </c>
      <c r="J192" s="3" t="s">
        <v>4</v>
      </c>
      <c r="K192" s="3" t="s">
        <v>1321</v>
      </c>
      <c r="L192" s="3" t="s">
        <v>30</v>
      </c>
      <c r="M192" s="3" t="s">
        <v>14</v>
      </c>
      <c r="N192">
        <v>1400000</v>
      </c>
      <c r="O192">
        <v>99.396000000000001</v>
      </c>
      <c r="P192">
        <v>350</v>
      </c>
      <c r="Q192">
        <v>-546</v>
      </c>
      <c r="R192">
        <v>-284</v>
      </c>
      <c r="S192" s="3" t="s">
        <v>263</v>
      </c>
      <c r="T192">
        <v>553</v>
      </c>
      <c r="U192">
        <v>559</v>
      </c>
      <c r="V192">
        <v>1953</v>
      </c>
      <c r="W192">
        <v>6.3</v>
      </c>
      <c r="X192">
        <v>1391544</v>
      </c>
      <c r="Y192" s="3" t="s">
        <v>31</v>
      </c>
      <c r="Z192">
        <v>99.435000000000002</v>
      </c>
      <c r="AA192">
        <v>1400000</v>
      </c>
      <c r="AB192" s="3" t="s">
        <v>256</v>
      </c>
      <c r="AC192" s="3" t="s">
        <v>10</v>
      </c>
      <c r="AD192">
        <v>1421737</v>
      </c>
      <c r="AE192">
        <v>1421737</v>
      </c>
      <c r="AF192" s="3" t="s">
        <v>640</v>
      </c>
    </row>
    <row r="193" spans="1:32" x14ac:dyDescent="0.35">
      <c r="A193" s="3" t="s">
        <v>608</v>
      </c>
      <c r="B193" s="3" t="s">
        <v>608</v>
      </c>
      <c r="C193" s="3" t="s">
        <v>608</v>
      </c>
      <c r="D193" s="3" t="s">
        <v>608</v>
      </c>
      <c r="E193" s="3" t="s">
        <v>608</v>
      </c>
      <c r="F193" s="3" t="s">
        <v>393</v>
      </c>
      <c r="G193" s="3" t="s">
        <v>393</v>
      </c>
      <c r="H193" s="3" t="s">
        <v>394</v>
      </c>
      <c r="I193" s="3" t="s">
        <v>395</v>
      </c>
      <c r="J193" s="3" t="s">
        <v>4</v>
      </c>
      <c r="K193" s="3" t="s">
        <v>799</v>
      </c>
      <c r="L193" s="3" t="s">
        <v>30</v>
      </c>
      <c r="M193" s="3" t="s">
        <v>14</v>
      </c>
      <c r="N193">
        <v>-2600000</v>
      </c>
      <c r="O193">
        <v>99.617000000000004</v>
      </c>
      <c r="P193">
        <v>333</v>
      </c>
      <c r="Q193">
        <v>-5954</v>
      </c>
      <c r="R193">
        <v>-205</v>
      </c>
      <c r="S193" s="3" t="s">
        <v>263</v>
      </c>
      <c r="T193">
        <v>-1536</v>
      </c>
      <c r="U193">
        <v>-1552</v>
      </c>
      <c r="V193">
        <v>-5165</v>
      </c>
      <c r="W193">
        <v>-16.66</v>
      </c>
      <c r="X193">
        <v>-2590042</v>
      </c>
      <c r="Y193" s="3" t="s">
        <v>31</v>
      </c>
      <c r="Z193">
        <v>99.388000000000005</v>
      </c>
      <c r="AA193">
        <v>-2600000</v>
      </c>
      <c r="AB193" s="3" t="s">
        <v>256</v>
      </c>
      <c r="AC193" s="3" t="s">
        <v>10</v>
      </c>
      <c r="AD193">
        <v>-2601306</v>
      </c>
      <c r="AE193">
        <v>2601306</v>
      </c>
      <c r="AF193" s="3" t="s">
        <v>640</v>
      </c>
    </row>
    <row r="194" spans="1:32" x14ac:dyDescent="0.35">
      <c r="A194" s="3" t="s">
        <v>608</v>
      </c>
      <c r="B194" s="3" t="s">
        <v>608</v>
      </c>
      <c r="C194" s="3" t="s">
        <v>608</v>
      </c>
      <c r="D194" s="3" t="s">
        <v>608</v>
      </c>
      <c r="E194" s="3" t="s">
        <v>608</v>
      </c>
      <c r="F194" s="3" t="s">
        <v>400</v>
      </c>
      <c r="G194" s="3" t="s">
        <v>400</v>
      </c>
      <c r="H194" s="3" t="s">
        <v>401</v>
      </c>
      <c r="I194" s="3" t="s">
        <v>395</v>
      </c>
      <c r="J194" s="3" t="s">
        <v>4</v>
      </c>
      <c r="K194" s="3" t="s">
        <v>802</v>
      </c>
      <c r="L194" s="3" t="s">
        <v>30</v>
      </c>
      <c r="M194" s="3" t="s">
        <v>14</v>
      </c>
      <c r="N194">
        <v>1300000</v>
      </c>
      <c r="O194">
        <v>111.562</v>
      </c>
      <c r="P194">
        <v>275</v>
      </c>
      <c r="Q194">
        <v>11992</v>
      </c>
      <c r="R194">
        <v>1014</v>
      </c>
      <c r="S194" s="3" t="s">
        <v>263</v>
      </c>
      <c r="T194">
        <v>449</v>
      </c>
      <c r="U194">
        <v>454</v>
      </c>
      <c r="V194">
        <v>1250</v>
      </c>
      <c r="W194">
        <v>4.03</v>
      </c>
      <c r="X194">
        <v>1450306</v>
      </c>
      <c r="Y194" s="3" t="s">
        <v>31</v>
      </c>
      <c r="Z194">
        <v>111.498</v>
      </c>
      <c r="AA194">
        <v>4300000</v>
      </c>
      <c r="AB194" s="3" t="s">
        <v>256</v>
      </c>
      <c r="AC194" s="3" t="s">
        <v>10</v>
      </c>
      <c r="AD194">
        <v>1498368</v>
      </c>
      <c r="AE194">
        <v>1498368</v>
      </c>
      <c r="AF194" s="3" t="s">
        <v>640</v>
      </c>
    </row>
    <row r="195" spans="1:32" x14ac:dyDescent="0.35">
      <c r="A195" s="3" t="s">
        <v>608</v>
      </c>
      <c r="B195" s="3" t="s">
        <v>608</v>
      </c>
      <c r="C195" s="3" t="s">
        <v>608</v>
      </c>
      <c r="D195" s="3" t="s">
        <v>608</v>
      </c>
      <c r="E195" s="3" t="s">
        <v>608</v>
      </c>
      <c r="F195" s="3" t="s">
        <v>402</v>
      </c>
      <c r="G195" s="3" t="s">
        <v>402</v>
      </c>
      <c r="H195" s="3" t="s">
        <v>403</v>
      </c>
      <c r="I195" s="3" t="s">
        <v>395</v>
      </c>
      <c r="J195" s="3" t="s">
        <v>4</v>
      </c>
      <c r="K195" s="3" t="s">
        <v>803</v>
      </c>
      <c r="L195" s="3" t="s">
        <v>30</v>
      </c>
      <c r="M195" s="3" t="s">
        <v>14</v>
      </c>
      <c r="N195">
        <v>-1800000</v>
      </c>
      <c r="O195">
        <v>101.982</v>
      </c>
      <c r="P195">
        <v>277</v>
      </c>
      <c r="Q195">
        <v>-1368</v>
      </c>
      <c r="R195">
        <v>-148</v>
      </c>
      <c r="S195" s="3" t="s">
        <v>263</v>
      </c>
      <c r="T195">
        <v>-488</v>
      </c>
      <c r="U195">
        <v>-492</v>
      </c>
      <c r="V195">
        <v>-1363</v>
      </c>
      <c r="W195">
        <v>-4.4000000000000004</v>
      </c>
      <c r="X195">
        <v>-1835676</v>
      </c>
      <c r="Y195" s="3" t="s">
        <v>31</v>
      </c>
      <c r="Z195">
        <v>101.90600000000001</v>
      </c>
      <c r="AA195">
        <v>-1800000</v>
      </c>
      <c r="AB195" s="3" t="s">
        <v>256</v>
      </c>
      <c r="AC195" s="3" t="s">
        <v>10</v>
      </c>
      <c r="AD195">
        <v>-1887315</v>
      </c>
      <c r="AE195">
        <v>1887315</v>
      </c>
      <c r="AF195" s="3" t="s">
        <v>640</v>
      </c>
    </row>
    <row r="196" spans="1:32" x14ac:dyDescent="0.35">
      <c r="A196" s="3" t="s">
        <v>608</v>
      </c>
      <c r="B196" s="3" t="s">
        <v>608</v>
      </c>
      <c r="C196" s="3" t="s">
        <v>608</v>
      </c>
      <c r="D196" s="3" t="s">
        <v>608</v>
      </c>
      <c r="E196" s="3" t="s">
        <v>608</v>
      </c>
      <c r="F196" s="3" t="s">
        <v>406</v>
      </c>
      <c r="G196" s="3" t="s">
        <v>406</v>
      </c>
      <c r="H196" s="3" t="s">
        <v>407</v>
      </c>
      <c r="I196" s="3" t="s">
        <v>395</v>
      </c>
      <c r="J196" s="3" t="s">
        <v>4</v>
      </c>
      <c r="K196" s="3" t="s">
        <v>805</v>
      </c>
      <c r="L196" s="3" t="s">
        <v>30</v>
      </c>
      <c r="M196" s="3" t="s">
        <v>14</v>
      </c>
      <c r="N196">
        <v>4000000</v>
      </c>
      <c r="O196">
        <v>103.01</v>
      </c>
      <c r="P196">
        <v>192</v>
      </c>
      <c r="Q196">
        <v>-440</v>
      </c>
      <c r="R196">
        <v>411</v>
      </c>
      <c r="S196" s="3" t="s">
        <v>263</v>
      </c>
      <c r="T196">
        <v>534</v>
      </c>
      <c r="U196">
        <v>539</v>
      </c>
      <c r="V196">
        <v>1036</v>
      </c>
      <c r="W196">
        <v>3.34</v>
      </c>
      <c r="X196">
        <v>4120400</v>
      </c>
      <c r="Y196" s="3" t="s">
        <v>31</v>
      </c>
      <c r="Z196">
        <v>103.021</v>
      </c>
      <c r="AA196">
        <v>4000000</v>
      </c>
      <c r="AB196" s="3" t="s">
        <v>256</v>
      </c>
      <c r="AC196" s="3" t="s">
        <v>10</v>
      </c>
      <c r="AD196">
        <v>4222318</v>
      </c>
      <c r="AE196">
        <v>4222318</v>
      </c>
      <c r="AF196" s="3" t="s">
        <v>640</v>
      </c>
    </row>
    <row r="197" spans="1:32" x14ac:dyDescent="0.35">
      <c r="A197" s="3" t="s">
        <v>608</v>
      </c>
      <c r="B197" s="3" t="s">
        <v>608</v>
      </c>
      <c r="C197" s="3" t="s">
        <v>608</v>
      </c>
      <c r="D197" s="3" t="s">
        <v>608</v>
      </c>
      <c r="E197" s="3" t="s">
        <v>608</v>
      </c>
      <c r="F197" s="3" t="s">
        <v>408</v>
      </c>
      <c r="G197" s="3" t="s">
        <v>408</v>
      </c>
      <c r="H197" s="3" t="s">
        <v>409</v>
      </c>
      <c r="I197" s="3" t="s">
        <v>410</v>
      </c>
      <c r="J197" s="3" t="s">
        <v>4</v>
      </c>
      <c r="K197" s="3" t="s">
        <v>806</v>
      </c>
      <c r="L197" s="3" t="s">
        <v>30</v>
      </c>
      <c r="M197" s="3" t="s">
        <v>14</v>
      </c>
      <c r="N197">
        <v>-1565000</v>
      </c>
      <c r="O197">
        <v>100.274</v>
      </c>
      <c r="P197">
        <v>176</v>
      </c>
      <c r="Q197">
        <v>-1815</v>
      </c>
      <c r="R197">
        <v>-59</v>
      </c>
      <c r="S197" s="3" t="s">
        <v>250</v>
      </c>
      <c r="T197">
        <v>-787</v>
      </c>
      <c r="U197">
        <v>-795</v>
      </c>
      <c r="V197">
        <v>-1401</v>
      </c>
      <c r="W197">
        <v>-4.5199999999999996</v>
      </c>
      <c r="X197">
        <v>-1569288</v>
      </c>
      <c r="Y197" s="3" t="s">
        <v>31</v>
      </c>
      <c r="Z197">
        <v>100.158</v>
      </c>
      <c r="AA197">
        <v>-1565000</v>
      </c>
      <c r="AB197" s="3" t="s">
        <v>256</v>
      </c>
      <c r="AC197" s="3" t="s">
        <v>10</v>
      </c>
      <c r="AD197">
        <v>-1580549</v>
      </c>
      <c r="AE197">
        <v>1580549</v>
      </c>
      <c r="AF197" s="3" t="s">
        <v>640</v>
      </c>
    </row>
    <row r="198" spans="1:32" x14ac:dyDescent="0.35">
      <c r="A198" s="3" t="s">
        <v>608</v>
      </c>
      <c r="B198" s="3" t="s">
        <v>608</v>
      </c>
      <c r="C198" s="3" t="s">
        <v>608</v>
      </c>
      <c r="D198" s="3" t="s">
        <v>608</v>
      </c>
      <c r="E198" s="3" t="s">
        <v>608</v>
      </c>
      <c r="F198" s="3" t="s">
        <v>932</v>
      </c>
      <c r="G198" s="3" t="s">
        <v>932</v>
      </c>
      <c r="H198" s="3" t="s">
        <v>933</v>
      </c>
      <c r="I198" s="3" t="s">
        <v>410</v>
      </c>
      <c r="J198" s="3" t="s">
        <v>4</v>
      </c>
      <c r="K198" s="3" t="s">
        <v>934</v>
      </c>
      <c r="L198" s="3" t="s">
        <v>30</v>
      </c>
      <c r="M198" s="3" t="s">
        <v>14</v>
      </c>
      <c r="N198">
        <v>-1840000</v>
      </c>
      <c r="O198">
        <v>105.36499999999999</v>
      </c>
      <c r="P198">
        <v>122</v>
      </c>
      <c r="Q198">
        <v>-2042</v>
      </c>
      <c r="R198">
        <v>-151</v>
      </c>
      <c r="S198" s="3" t="s">
        <v>250</v>
      </c>
      <c r="T198">
        <v>-449</v>
      </c>
      <c r="U198">
        <v>-453</v>
      </c>
      <c r="V198">
        <v>-553</v>
      </c>
      <c r="W198">
        <v>-1.78</v>
      </c>
      <c r="X198">
        <v>-1938716</v>
      </c>
      <c r="Y198" s="3" t="s">
        <v>31</v>
      </c>
      <c r="Z198">
        <v>105.254</v>
      </c>
      <c r="AA198">
        <v>-1840000</v>
      </c>
      <c r="AB198" s="3" t="s">
        <v>256</v>
      </c>
      <c r="AC198" s="3" t="s">
        <v>10</v>
      </c>
      <c r="AD198">
        <v>-1973197</v>
      </c>
      <c r="AE198">
        <v>1973197</v>
      </c>
      <c r="AF198" s="3" t="s">
        <v>640</v>
      </c>
    </row>
    <row r="199" spans="1:32" x14ac:dyDescent="0.35">
      <c r="A199" s="3" t="s">
        <v>608</v>
      </c>
      <c r="B199" s="3" t="s">
        <v>608</v>
      </c>
      <c r="C199" s="3" t="s">
        <v>608</v>
      </c>
      <c r="D199" s="3" t="s">
        <v>608</v>
      </c>
      <c r="E199" s="3" t="s">
        <v>608</v>
      </c>
      <c r="F199" s="3" t="s">
        <v>1376</v>
      </c>
      <c r="G199" s="3" t="s">
        <v>1376</v>
      </c>
      <c r="H199" s="3" t="s">
        <v>1377</v>
      </c>
      <c r="I199" s="3" t="s">
        <v>183</v>
      </c>
      <c r="J199" s="3" t="s">
        <v>4</v>
      </c>
      <c r="K199" s="3" t="s">
        <v>1378</v>
      </c>
      <c r="L199" s="3" t="s">
        <v>30</v>
      </c>
      <c r="M199" s="3" t="s">
        <v>14</v>
      </c>
      <c r="N199">
        <v>0</v>
      </c>
      <c r="O199">
        <v>105.2</v>
      </c>
      <c r="P199">
        <v>189</v>
      </c>
      <c r="Q199">
        <v>0</v>
      </c>
      <c r="R199">
        <v>0</v>
      </c>
      <c r="S199" s="3" t="s">
        <v>263</v>
      </c>
      <c r="T199">
        <v>0</v>
      </c>
      <c r="U199">
        <v>0</v>
      </c>
      <c r="V199">
        <v>0</v>
      </c>
      <c r="W199">
        <v>0</v>
      </c>
      <c r="X199">
        <v>0</v>
      </c>
      <c r="Y199" s="3" t="s">
        <v>31</v>
      </c>
      <c r="Z199">
        <v>105.2</v>
      </c>
      <c r="AA199">
        <v>0</v>
      </c>
      <c r="AB199" s="3" t="s">
        <v>256</v>
      </c>
      <c r="AC199" s="3" t="s">
        <v>10</v>
      </c>
      <c r="AD199">
        <v>0</v>
      </c>
      <c r="AE199">
        <v>0</v>
      </c>
      <c r="AF199" s="3" t="s">
        <v>640</v>
      </c>
    </row>
    <row r="200" spans="1:32" x14ac:dyDescent="0.35">
      <c r="A200" s="3" t="s">
        <v>608</v>
      </c>
      <c r="B200" s="3" t="s">
        <v>608</v>
      </c>
      <c r="C200" s="3" t="s">
        <v>608</v>
      </c>
      <c r="D200" s="3" t="s">
        <v>608</v>
      </c>
      <c r="E200" s="3" t="s">
        <v>608</v>
      </c>
      <c r="F200" s="3" t="s">
        <v>417</v>
      </c>
      <c r="G200" s="3" t="s">
        <v>417</v>
      </c>
      <c r="H200" s="3" t="s">
        <v>418</v>
      </c>
      <c r="I200" s="3" t="s">
        <v>186</v>
      </c>
      <c r="J200" s="3" t="s">
        <v>4</v>
      </c>
      <c r="K200" s="3" t="s">
        <v>810</v>
      </c>
      <c r="L200" s="3" t="s">
        <v>30</v>
      </c>
      <c r="M200" s="3" t="s">
        <v>14</v>
      </c>
      <c r="N200">
        <v>2589000</v>
      </c>
      <c r="O200">
        <v>101.979</v>
      </c>
      <c r="P200">
        <v>164</v>
      </c>
      <c r="Q200">
        <v>4092</v>
      </c>
      <c r="R200">
        <v>28</v>
      </c>
      <c r="S200" s="3" t="s">
        <v>263</v>
      </c>
      <c r="T200">
        <v>863</v>
      </c>
      <c r="U200">
        <v>872</v>
      </c>
      <c r="V200">
        <v>1433</v>
      </c>
      <c r="W200">
        <v>4.62</v>
      </c>
      <c r="X200">
        <v>2640236</v>
      </c>
      <c r="Y200" s="3" t="s">
        <v>31</v>
      </c>
      <c r="Z200">
        <v>102.04300000000001</v>
      </c>
      <c r="AA200">
        <v>593000</v>
      </c>
      <c r="AB200" s="3" t="s">
        <v>256</v>
      </c>
      <c r="AC200" s="3" t="s">
        <v>10</v>
      </c>
      <c r="AD200">
        <v>2668634</v>
      </c>
      <c r="AE200">
        <v>2668634</v>
      </c>
      <c r="AF200" s="3" t="s">
        <v>640</v>
      </c>
    </row>
    <row r="201" spans="1:32" x14ac:dyDescent="0.35">
      <c r="A201" s="3" t="s">
        <v>608</v>
      </c>
      <c r="B201" s="3" t="s">
        <v>608</v>
      </c>
      <c r="C201" s="3" t="s">
        <v>608</v>
      </c>
      <c r="D201" s="3" t="s">
        <v>608</v>
      </c>
      <c r="E201" s="3" t="s">
        <v>608</v>
      </c>
      <c r="F201" s="3" t="s">
        <v>1462</v>
      </c>
      <c r="G201" s="3" t="s">
        <v>1462</v>
      </c>
      <c r="H201" s="3" t="s">
        <v>1463</v>
      </c>
      <c r="I201" s="3" t="s">
        <v>186</v>
      </c>
      <c r="J201" s="3" t="s">
        <v>4</v>
      </c>
      <c r="K201" s="3" t="s">
        <v>1464</v>
      </c>
      <c r="L201" s="3" t="s">
        <v>30</v>
      </c>
      <c r="M201" s="3" t="s">
        <v>14</v>
      </c>
      <c r="N201">
        <v>5950000</v>
      </c>
      <c r="O201">
        <v>105.066</v>
      </c>
      <c r="P201">
        <v>97</v>
      </c>
      <c r="Q201">
        <v>-1428</v>
      </c>
      <c r="R201">
        <v>632</v>
      </c>
      <c r="S201" s="3" t="s">
        <v>263</v>
      </c>
      <c r="T201">
        <v>924</v>
      </c>
      <c r="U201">
        <v>932</v>
      </c>
      <c r="V201">
        <v>901</v>
      </c>
      <c r="W201">
        <v>2.9</v>
      </c>
      <c r="X201">
        <v>6251427</v>
      </c>
      <c r="Y201" s="3" t="s">
        <v>31</v>
      </c>
      <c r="Z201">
        <v>105.09</v>
      </c>
      <c r="AA201">
        <v>5950000</v>
      </c>
      <c r="AB201" s="3" t="s">
        <v>256</v>
      </c>
      <c r="AC201" s="3" t="s">
        <v>10</v>
      </c>
      <c r="AD201">
        <v>6367656</v>
      </c>
      <c r="AE201">
        <v>6367656</v>
      </c>
      <c r="AF201" s="3" t="s">
        <v>640</v>
      </c>
    </row>
    <row r="202" spans="1:32" x14ac:dyDescent="0.35">
      <c r="A202" s="3" t="s">
        <v>608</v>
      </c>
      <c r="B202" s="3" t="s">
        <v>608</v>
      </c>
      <c r="C202" s="3" t="s">
        <v>608</v>
      </c>
      <c r="D202" s="3" t="s">
        <v>608</v>
      </c>
      <c r="E202" s="3" t="s">
        <v>608</v>
      </c>
      <c r="F202" s="3" t="s">
        <v>844</v>
      </c>
      <c r="G202" s="3" t="s">
        <v>844</v>
      </c>
      <c r="H202" s="3" t="s">
        <v>845</v>
      </c>
      <c r="I202" s="3" t="s">
        <v>186</v>
      </c>
      <c r="J202" s="3" t="s">
        <v>4</v>
      </c>
      <c r="K202" s="3" t="s">
        <v>846</v>
      </c>
      <c r="L202" s="3" t="s">
        <v>30</v>
      </c>
      <c r="M202" s="3" t="s">
        <v>14</v>
      </c>
      <c r="N202">
        <v>-748000</v>
      </c>
      <c r="O202">
        <v>100.518</v>
      </c>
      <c r="P202">
        <v>86</v>
      </c>
      <c r="Q202">
        <v>1234</v>
      </c>
      <c r="R202">
        <v>-46</v>
      </c>
      <c r="S202" s="3" t="s">
        <v>263</v>
      </c>
      <c r="T202">
        <v>-21</v>
      </c>
      <c r="U202">
        <v>-21</v>
      </c>
      <c r="V202">
        <v>-18</v>
      </c>
      <c r="W202">
        <v>-0.06</v>
      </c>
      <c r="X202">
        <v>-751875</v>
      </c>
      <c r="Y202" s="3" t="s">
        <v>31</v>
      </c>
      <c r="Z202">
        <v>100.68300000000001</v>
      </c>
      <c r="AA202">
        <v>-748000</v>
      </c>
      <c r="AB202" s="3" t="s">
        <v>256</v>
      </c>
      <c r="AC202" s="3" t="s">
        <v>10</v>
      </c>
      <c r="AD202">
        <v>-764106</v>
      </c>
      <c r="AE202">
        <v>764106</v>
      </c>
      <c r="AF202" s="3" t="s">
        <v>640</v>
      </c>
    </row>
    <row r="203" spans="1:32" x14ac:dyDescent="0.35">
      <c r="A203" s="3" t="s">
        <v>608</v>
      </c>
      <c r="B203" s="3" t="s">
        <v>608</v>
      </c>
      <c r="C203" s="3" t="s">
        <v>608</v>
      </c>
      <c r="D203" s="3" t="s">
        <v>608</v>
      </c>
      <c r="E203" s="3" t="s">
        <v>608</v>
      </c>
      <c r="F203" s="3" t="s">
        <v>422</v>
      </c>
      <c r="G203" s="3" t="s">
        <v>422</v>
      </c>
      <c r="H203" s="3" t="s">
        <v>423</v>
      </c>
      <c r="I203" s="3" t="s">
        <v>209</v>
      </c>
      <c r="J203" s="3" t="s">
        <v>4</v>
      </c>
      <c r="K203" s="3" t="s">
        <v>811</v>
      </c>
      <c r="L203" s="3" t="s">
        <v>30</v>
      </c>
      <c r="M203" s="3" t="s">
        <v>14</v>
      </c>
      <c r="N203">
        <v>7400000</v>
      </c>
      <c r="O203">
        <v>99.268000000000001</v>
      </c>
      <c r="P203">
        <v>292</v>
      </c>
      <c r="Q203">
        <v>-9546</v>
      </c>
      <c r="R203">
        <v>507</v>
      </c>
      <c r="S203" s="3" t="s">
        <v>263</v>
      </c>
      <c r="T203">
        <v>5357</v>
      </c>
      <c r="U203">
        <v>5421</v>
      </c>
      <c r="V203">
        <v>15852</v>
      </c>
      <c r="W203">
        <v>51.14</v>
      </c>
      <c r="X203">
        <v>7345832</v>
      </c>
      <c r="Y203" s="3" t="s">
        <v>31</v>
      </c>
      <c r="Z203">
        <v>99.397000000000006</v>
      </c>
      <c r="AA203">
        <v>7400000</v>
      </c>
      <c r="AB203" s="3" t="s">
        <v>256</v>
      </c>
      <c r="AC203" s="3" t="s">
        <v>10</v>
      </c>
      <c r="AD203">
        <v>7360531</v>
      </c>
      <c r="AE203">
        <v>7360531</v>
      </c>
      <c r="AF203" s="3" t="s">
        <v>640</v>
      </c>
    </row>
    <row r="204" spans="1:32" x14ac:dyDescent="0.35">
      <c r="A204" s="3" t="s">
        <v>608</v>
      </c>
      <c r="B204" s="3" t="s">
        <v>608</v>
      </c>
      <c r="C204" s="3" t="s">
        <v>608</v>
      </c>
      <c r="D204" s="3" t="s">
        <v>608</v>
      </c>
      <c r="E204" s="3" t="s">
        <v>608</v>
      </c>
      <c r="F204" s="3" t="s">
        <v>426</v>
      </c>
      <c r="G204" s="3" t="s">
        <v>426</v>
      </c>
      <c r="H204" s="3" t="s">
        <v>427</v>
      </c>
      <c r="I204" s="3" t="s">
        <v>428</v>
      </c>
      <c r="J204" s="3" t="s">
        <v>4</v>
      </c>
      <c r="K204" s="3" t="s">
        <v>813</v>
      </c>
      <c r="L204" s="3" t="s">
        <v>30</v>
      </c>
      <c r="M204" s="3" t="s">
        <v>14</v>
      </c>
      <c r="N204">
        <v>-11500000</v>
      </c>
      <c r="O204">
        <v>102.25</v>
      </c>
      <c r="P204">
        <v>299</v>
      </c>
      <c r="Q204">
        <v>3425</v>
      </c>
      <c r="R204">
        <v>-411</v>
      </c>
      <c r="S204" s="3" t="s">
        <v>263</v>
      </c>
      <c r="T204">
        <v>-9654</v>
      </c>
      <c r="U204">
        <v>-9765</v>
      </c>
      <c r="V204">
        <v>-29237</v>
      </c>
      <c r="W204">
        <v>-94.31</v>
      </c>
      <c r="X204">
        <v>-11758750</v>
      </c>
      <c r="Y204" s="3" t="s">
        <v>31</v>
      </c>
      <c r="Z204">
        <v>102.197</v>
      </c>
      <c r="AA204">
        <v>-5000000</v>
      </c>
      <c r="AB204" s="3" t="s">
        <v>256</v>
      </c>
      <c r="AC204" s="3" t="s">
        <v>10</v>
      </c>
      <c r="AD204">
        <v>-11837736</v>
      </c>
      <c r="AE204">
        <v>11837736</v>
      </c>
      <c r="AF204" s="3" t="s">
        <v>640</v>
      </c>
    </row>
    <row r="205" spans="1:32" x14ac:dyDescent="0.35">
      <c r="A205" s="3" t="s">
        <v>608</v>
      </c>
      <c r="B205" s="3" t="s">
        <v>608</v>
      </c>
      <c r="C205" s="3" t="s">
        <v>608</v>
      </c>
      <c r="D205" s="3" t="s">
        <v>608</v>
      </c>
      <c r="E205" s="3" t="s">
        <v>608</v>
      </c>
      <c r="F205" s="3" t="s">
        <v>429</v>
      </c>
      <c r="G205" s="3" t="s">
        <v>429</v>
      </c>
      <c r="H205" s="3" t="s">
        <v>430</v>
      </c>
      <c r="I205" s="3" t="s">
        <v>428</v>
      </c>
      <c r="J205" s="3" t="s">
        <v>266</v>
      </c>
      <c r="K205" s="3" t="s">
        <v>814</v>
      </c>
      <c r="L205" s="3" t="s">
        <v>30</v>
      </c>
      <c r="M205" s="3" t="s">
        <v>14</v>
      </c>
      <c r="N205">
        <v>-8000000</v>
      </c>
      <c r="O205">
        <v>121.76600000000001</v>
      </c>
      <c r="P205">
        <v>313</v>
      </c>
      <c r="Q205">
        <v>-11016</v>
      </c>
      <c r="R205">
        <v>-1312</v>
      </c>
      <c r="S205" s="3" t="s">
        <v>263</v>
      </c>
      <c r="T205">
        <v>-5260</v>
      </c>
      <c r="U205">
        <v>-5347</v>
      </c>
      <c r="V205">
        <v>-16760</v>
      </c>
      <c r="W205">
        <v>-54.06</v>
      </c>
      <c r="X205">
        <v>-8213558</v>
      </c>
      <c r="Y205" s="3" t="s">
        <v>31</v>
      </c>
      <c r="Z205">
        <v>121.6</v>
      </c>
      <c r="AA205">
        <v>-8000000</v>
      </c>
      <c r="AB205" s="3" t="s">
        <v>256</v>
      </c>
      <c r="AC205" s="3" t="s">
        <v>10</v>
      </c>
      <c r="AD205">
        <v>-8282003</v>
      </c>
      <c r="AE205">
        <v>8282003</v>
      </c>
      <c r="AF205" s="3" t="s">
        <v>640</v>
      </c>
    </row>
    <row r="206" spans="1:32" x14ac:dyDescent="0.35">
      <c r="A206" s="3" t="s">
        <v>608</v>
      </c>
      <c r="B206" s="3" t="s">
        <v>608</v>
      </c>
      <c r="C206" s="3" t="s">
        <v>608</v>
      </c>
      <c r="D206" s="3" t="s">
        <v>608</v>
      </c>
      <c r="E206" s="3" t="s">
        <v>608</v>
      </c>
      <c r="F206" s="3" t="s">
        <v>431</v>
      </c>
      <c r="G206" s="3" t="s">
        <v>431</v>
      </c>
      <c r="H206" s="3" t="s">
        <v>432</v>
      </c>
      <c r="I206" s="3" t="s">
        <v>428</v>
      </c>
      <c r="J206" s="3" t="s">
        <v>4</v>
      </c>
      <c r="K206" s="3" t="s">
        <v>815</v>
      </c>
      <c r="L206" s="3" t="s">
        <v>30</v>
      </c>
      <c r="M206" s="3" t="s">
        <v>14</v>
      </c>
      <c r="N206">
        <v>2000000</v>
      </c>
      <c r="O206">
        <v>112.96599999999999</v>
      </c>
      <c r="P206">
        <v>267</v>
      </c>
      <c r="Q206">
        <v>-220</v>
      </c>
      <c r="R206">
        <v>0</v>
      </c>
      <c r="S206" s="3" t="s">
        <v>263</v>
      </c>
      <c r="T206">
        <v>1490</v>
      </c>
      <c r="U206">
        <v>1506</v>
      </c>
      <c r="V206">
        <v>4026</v>
      </c>
      <c r="W206">
        <v>12.99</v>
      </c>
      <c r="X206">
        <v>2259320</v>
      </c>
      <c r="Y206" s="3" t="s">
        <v>31</v>
      </c>
      <c r="Z206">
        <v>112.977</v>
      </c>
      <c r="AA206">
        <v>2000000</v>
      </c>
      <c r="AB206" s="3" t="s">
        <v>256</v>
      </c>
      <c r="AC206" s="3" t="s">
        <v>10</v>
      </c>
      <c r="AD206">
        <v>2269906</v>
      </c>
      <c r="AE206">
        <v>2269906</v>
      </c>
      <c r="AF206" s="3" t="s">
        <v>640</v>
      </c>
    </row>
    <row r="207" spans="1:32" x14ac:dyDescent="0.35">
      <c r="A207" s="3" t="s">
        <v>608</v>
      </c>
      <c r="B207" s="3" t="s">
        <v>608</v>
      </c>
      <c r="C207" s="3" t="s">
        <v>608</v>
      </c>
      <c r="D207" s="3" t="s">
        <v>608</v>
      </c>
      <c r="E207" s="3" t="s">
        <v>608</v>
      </c>
      <c r="F207" s="3" t="s">
        <v>433</v>
      </c>
      <c r="G207" s="3" t="s">
        <v>433</v>
      </c>
      <c r="H207" s="3" t="s">
        <v>434</v>
      </c>
      <c r="I207" s="3" t="s">
        <v>428</v>
      </c>
      <c r="J207" s="3" t="s">
        <v>4</v>
      </c>
      <c r="K207" s="3" t="s">
        <v>816</v>
      </c>
      <c r="L207" s="3" t="s">
        <v>30</v>
      </c>
      <c r="M207" s="3" t="s">
        <v>14</v>
      </c>
      <c r="N207">
        <v>18777000</v>
      </c>
      <c r="O207">
        <v>102.161</v>
      </c>
      <c r="P207">
        <v>264</v>
      </c>
      <c r="Q207">
        <v>-7697</v>
      </c>
      <c r="R207">
        <v>1465</v>
      </c>
      <c r="S207" s="3" t="s">
        <v>263</v>
      </c>
      <c r="T207">
        <v>9783</v>
      </c>
      <c r="U207">
        <v>9883</v>
      </c>
      <c r="V207">
        <v>26049</v>
      </c>
      <c r="W207">
        <v>84.03</v>
      </c>
      <c r="X207">
        <v>19182771</v>
      </c>
      <c r="Y207" s="3" t="s">
        <v>31</v>
      </c>
      <c r="Z207">
        <v>102.209</v>
      </c>
      <c r="AA207">
        <v>19377000</v>
      </c>
      <c r="AB207" s="3" t="s">
        <v>256</v>
      </c>
      <c r="AC207" s="3" t="s">
        <v>10</v>
      </c>
      <c r="AD207">
        <v>19294811</v>
      </c>
      <c r="AE207">
        <v>19294811</v>
      </c>
      <c r="AF207" s="3" t="s">
        <v>640</v>
      </c>
    </row>
    <row r="208" spans="1:32" x14ac:dyDescent="0.35">
      <c r="A208" s="3" t="s">
        <v>608</v>
      </c>
      <c r="B208" s="3" t="s">
        <v>608</v>
      </c>
      <c r="C208" s="3" t="s">
        <v>608</v>
      </c>
      <c r="D208" s="3" t="s">
        <v>608</v>
      </c>
      <c r="E208" s="3" t="s">
        <v>608</v>
      </c>
      <c r="F208" s="3" t="s">
        <v>435</v>
      </c>
      <c r="G208" s="3" t="s">
        <v>435</v>
      </c>
      <c r="H208" s="3" t="s">
        <v>436</v>
      </c>
      <c r="I208" s="3" t="s">
        <v>428</v>
      </c>
      <c r="J208" s="3" t="s">
        <v>283</v>
      </c>
      <c r="K208" s="3" t="s">
        <v>817</v>
      </c>
      <c r="L208" s="3" t="s">
        <v>30</v>
      </c>
      <c r="M208" s="3" t="s">
        <v>14</v>
      </c>
      <c r="N208">
        <v>-1000000</v>
      </c>
      <c r="O208">
        <v>108.386</v>
      </c>
      <c r="P208">
        <v>267</v>
      </c>
      <c r="Q208">
        <v>-1791</v>
      </c>
      <c r="R208">
        <v>-149</v>
      </c>
      <c r="S208" s="3" t="s">
        <v>263</v>
      </c>
      <c r="T208">
        <v>-502</v>
      </c>
      <c r="U208">
        <v>-511</v>
      </c>
      <c r="V208">
        <v>-1365</v>
      </c>
      <c r="W208">
        <v>-4.4000000000000004</v>
      </c>
      <c r="X208">
        <v>-1210435</v>
      </c>
      <c r="Y208" s="3" t="s">
        <v>31</v>
      </c>
      <c r="Z208">
        <v>108.22799999999999</v>
      </c>
      <c r="AA208">
        <v>-1000000</v>
      </c>
      <c r="AB208" s="3" t="s">
        <v>256</v>
      </c>
      <c r="AC208" s="3" t="s">
        <v>10</v>
      </c>
      <c r="AD208">
        <v>-1216579</v>
      </c>
      <c r="AE208">
        <v>1216579</v>
      </c>
      <c r="AF208" s="3" t="s">
        <v>640</v>
      </c>
    </row>
    <row r="209" spans="1:32" x14ac:dyDescent="0.35">
      <c r="A209" s="3" t="s">
        <v>608</v>
      </c>
      <c r="B209" s="3" t="s">
        <v>608</v>
      </c>
      <c r="C209" s="3" t="s">
        <v>608</v>
      </c>
      <c r="D209" s="3" t="s">
        <v>608</v>
      </c>
      <c r="E209" s="3" t="s">
        <v>608</v>
      </c>
      <c r="F209" s="3" t="s">
        <v>437</v>
      </c>
      <c r="G209" s="3" t="s">
        <v>437</v>
      </c>
      <c r="H209" s="3" t="s">
        <v>438</v>
      </c>
      <c r="I209" s="3" t="s">
        <v>428</v>
      </c>
      <c r="J209" s="3" t="s">
        <v>266</v>
      </c>
      <c r="K209" s="3" t="s">
        <v>818</v>
      </c>
      <c r="L209" s="3" t="s">
        <v>30</v>
      </c>
      <c r="M209" s="3" t="s">
        <v>14</v>
      </c>
      <c r="N209">
        <v>-8689000</v>
      </c>
      <c r="O209">
        <v>110.05</v>
      </c>
      <c r="P209">
        <v>292</v>
      </c>
      <c r="Q209">
        <v>-6739</v>
      </c>
      <c r="R209">
        <v>-1418</v>
      </c>
      <c r="S209" s="3" t="s">
        <v>263</v>
      </c>
      <c r="T209">
        <v>-2634</v>
      </c>
      <c r="U209">
        <v>-2679</v>
      </c>
      <c r="V209">
        <v>-7814</v>
      </c>
      <c r="W209">
        <v>-25.21</v>
      </c>
      <c r="X209">
        <v>-8062601</v>
      </c>
      <c r="Y209" s="3" t="s">
        <v>31</v>
      </c>
      <c r="Z209">
        <v>109.956</v>
      </c>
      <c r="AA209">
        <v>-8689000</v>
      </c>
      <c r="AB209" s="3" t="s">
        <v>256</v>
      </c>
      <c r="AC209" s="3" t="s">
        <v>10</v>
      </c>
      <c r="AD209">
        <v>-8130484</v>
      </c>
      <c r="AE209">
        <v>8130484</v>
      </c>
      <c r="AF209" s="3" t="s">
        <v>640</v>
      </c>
    </row>
    <row r="210" spans="1:32" x14ac:dyDescent="0.35">
      <c r="A210" s="3" t="s">
        <v>608</v>
      </c>
      <c r="B210" s="3" t="s">
        <v>608</v>
      </c>
      <c r="C210" s="3" t="s">
        <v>608</v>
      </c>
      <c r="D210" s="3" t="s">
        <v>608</v>
      </c>
      <c r="E210" s="3" t="s">
        <v>608</v>
      </c>
      <c r="F210" s="3" t="s">
        <v>640</v>
      </c>
      <c r="G210" s="3" t="s">
        <v>588</v>
      </c>
      <c r="H210" s="3" t="s">
        <v>588</v>
      </c>
      <c r="I210" s="3" t="s">
        <v>640</v>
      </c>
      <c r="J210" s="3" t="s">
        <v>4</v>
      </c>
      <c r="K210" s="3" t="s">
        <v>640</v>
      </c>
      <c r="L210" s="3" t="s">
        <v>448</v>
      </c>
      <c r="M210" s="3" t="s">
        <v>14</v>
      </c>
      <c r="N210">
        <v>-2000000</v>
      </c>
      <c r="O210">
        <v>113.82599999999999</v>
      </c>
      <c r="Q210">
        <v>0</v>
      </c>
      <c r="R210">
        <v>-60</v>
      </c>
      <c r="S210" s="3" t="s">
        <v>640</v>
      </c>
      <c r="T210">
        <v>0</v>
      </c>
      <c r="U210">
        <v>0</v>
      </c>
      <c r="V210">
        <v>0</v>
      </c>
      <c r="W210">
        <v>0</v>
      </c>
      <c r="X210">
        <v>2276523</v>
      </c>
      <c r="Y210" s="3" t="s">
        <v>640</v>
      </c>
      <c r="Z210">
        <v>113.82599999999999</v>
      </c>
      <c r="AA210">
        <v>-2000000</v>
      </c>
      <c r="AB210" s="3" t="s">
        <v>449</v>
      </c>
      <c r="AC210" s="3" t="s">
        <v>10</v>
      </c>
      <c r="AD210">
        <v>0</v>
      </c>
      <c r="AE210">
        <v>0</v>
      </c>
      <c r="AF210" s="3" t="s">
        <v>640</v>
      </c>
    </row>
    <row r="211" spans="1:32" x14ac:dyDescent="0.35">
      <c r="A211" s="3" t="s">
        <v>608</v>
      </c>
      <c r="B211" s="3" t="s">
        <v>608</v>
      </c>
      <c r="C211" s="3" t="s">
        <v>608</v>
      </c>
      <c r="D211" s="3" t="s">
        <v>608</v>
      </c>
      <c r="E211" s="3" t="s">
        <v>608</v>
      </c>
      <c r="F211" s="3" t="s">
        <v>640</v>
      </c>
      <c r="G211" s="3" t="s">
        <v>1314</v>
      </c>
      <c r="H211" s="3" t="s">
        <v>1314</v>
      </c>
      <c r="I211" s="3" t="s">
        <v>640</v>
      </c>
      <c r="J211" s="3" t="s">
        <v>4</v>
      </c>
      <c r="K211" s="3" t="s">
        <v>640</v>
      </c>
      <c r="L211" s="3" t="s">
        <v>448</v>
      </c>
      <c r="M211" s="3" t="s">
        <v>14</v>
      </c>
      <c r="N211">
        <v>-400000</v>
      </c>
      <c r="O211">
        <v>107.40600000000001</v>
      </c>
      <c r="Q211">
        <v>0</v>
      </c>
      <c r="R211">
        <v>-11</v>
      </c>
      <c r="S211" s="3" t="s">
        <v>640</v>
      </c>
      <c r="T211">
        <v>0</v>
      </c>
      <c r="U211">
        <v>0</v>
      </c>
      <c r="V211">
        <v>0</v>
      </c>
      <c r="W211">
        <v>0</v>
      </c>
      <c r="X211">
        <v>430785</v>
      </c>
      <c r="Y211" s="3" t="s">
        <v>640</v>
      </c>
      <c r="Z211">
        <v>107.40600000000001</v>
      </c>
      <c r="AA211">
        <v>-400000</v>
      </c>
      <c r="AB211" s="3" t="s">
        <v>449</v>
      </c>
      <c r="AC211" s="3" t="s">
        <v>10</v>
      </c>
      <c r="AD211">
        <v>0</v>
      </c>
      <c r="AE211">
        <v>0</v>
      </c>
      <c r="AF211" s="3" t="s">
        <v>640</v>
      </c>
    </row>
    <row r="212" spans="1:32" x14ac:dyDescent="0.35">
      <c r="A212" s="3" t="s">
        <v>608</v>
      </c>
      <c r="B212" s="3" t="s">
        <v>608</v>
      </c>
      <c r="C212" s="3" t="s">
        <v>608</v>
      </c>
      <c r="D212" s="3" t="s">
        <v>608</v>
      </c>
      <c r="E212" s="3" t="s">
        <v>608</v>
      </c>
      <c r="F212" s="3" t="s">
        <v>640</v>
      </c>
      <c r="G212" s="3" t="s">
        <v>1405</v>
      </c>
      <c r="H212" s="3" t="s">
        <v>1405</v>
      </c>
      <c r="I212" s="3" t="s">
        <v>640</v>
      </c>
      <c r="J212" s="3" t="s">
        <v>266</v>
      </c>
      <c r="K212" s="3" t="s">
        <v>640</v>
      </c>
      <c r="L212" s="3" t="s">
        <v>448</v>
      </c>
      <c r="M212" s="3" t="s">
        <v>14</v>
      </c>
      <c r="N212">
        <v>250000</v>
      </c>
      <c r="O212">
        <v>83.67</v>
      </c>
      <c r="Q212">
        <v>0</v>
      </c>
      <c r="R212">
        <v>-2</v>
      </c>
      <c r="S212" s="3" t="s">
        <v>640</v>
      </c>
      <c r="T212">
        <v>0</v>
      </c>
      <c r="U212">
        <v>0</v>
      </c>
      <c r="V212">
        <v>0</v>
      </c>
      <c r="W212">
        <v>0</v>
      </c>
      <c r="X212">
        <v>-176369</v>
      </c>
      <c r="Y212" s="3" t="s">
        <v>640</v>
      </c>
      <c r="Z212">
        <v>83.67</v>
      </c>
      <c r="AA212">
        <v>250000</v>
      </c>
      <c r="AB212" s="3" t="s">
        <v>449</v>
      </c>
      <c r="AC212" s="3" t="s">
        <v>10</v>
      </c>
      <c r="AD212">
        <v>0</v>
      </c>
      <c r="AE212">
        <v>0</v>
      </c>
      <c r="AF212" s="3" t="s">
        <v>640</v>
      </c>
    </row>
    <row r="213" spans="1:32" x14ac:dyDescent="0.35">
      <c r="A213" s="3" t="s">
        <v>608</v>
      </c>
      <c r="B213" s="3" t="s">
        <v>608</v>
      </c>
      <c r="C213" s="3" t="s">
        <v>608</v>
      </c>
      <c r="D213" s="3" t="s">
        <v>608</v>
      </c>
      <c r="E213" s="3" t="s">
        <v>608</v>
      </c>
      <c r="F213" s="3" t="s">
        <v>640</v>
      </c>
      <c r="G213" s="3" t="s">
        <v>513</v>
      </c>
      <c r="H213" s="3" t="s">
        <v>513</v>
      </c>
      <c r="I213" s="3" t="s">
        <v>640</v>
      </c>
      <c r="J213" s="3" t="s">
        <v>4</v>
      </c>
      <c r="K213" s="3" t="s">
        <v>640</v>
      </c>
      <c r="L213" s="3" t="s">
        <v>448</v>
      </c>
      <c r="M213" s="3" t="s">
        <v>14</v>
      </c>
      <c r="N213">
        <v>-1200000</v>
      </c>
      <c r="O213">
        <v>107.24</v>
      </c>
      <c r="Q213">
        <v>0</v>
      </c>
      <c r="R213">
        <v>-34</v>
      </c>
      <c r="S213" s="3" t="s">
        <v>640</v>
      </c>
      <c r="T213">
        <v>0</v>
      </c>
      <c r="U213">
        <v>0</v>
      </c>
      <c r="V213">
        <v>0</v>
      </c>
      <c r="W213">
        <v>0</v>
      </c>
      <c r="X213">
        <v>1288350</v>
      </c>
      <c r="Y213" s="3" t="s">
        <v>640</v>
      </c>
      <c r="Z213">
        <v>107.24</v>
      </c>
      <c r="AA213">
        <v>-1200000</v>
      </c>
      <c r="AB213" s="3" t="s">
        <v>449</v>
      </c>
      <c r="AC213" s="3" t="s">
        <v>10</v>
      </c>
      <c r="AD213">
        <v>0</v>
      </c>
      <c r="AE213">
        <v>0</v>
      </c>
      <c r="AF213" s="3" t="s">
        <v>640</v>
      </c>
    </row>
    <row r="214" spans="1:32" x14ac:dyDescent="0.35">
      <c r="A214" s="3" t="s">
        <v>608</v>
      </c>
      <c r="B214" s="3" t="s">
        <v>608</v>
      </c>
      <c r="C214" s="3" t="s">
        <v>608</v>
      </c>
      <c r="D214" s="3" t="s">
        <v>608</v>
      </c>
      <c r="E214" s="3" t="s">
        <v>608</v>
      </c>
      <c r="F214" s="3" t="s">
        <v>640</v>
      </c>
      <c r="G214" s="3" t="s">
        <v>511</v>
      </c>
      <c r="H214" s="3" t="s">
        <v>511</v>
      </c>
      <c r="I214" s="3" t="s">
        <v>640</v>
      </c>
      <c r="J214" s="3" t="s">
        <v>266</v>
      </c>
      <c r="K214" s="3" t="s">
        <v>640</v>
      </c>
      <c r="L214" s="3" t="s">
        <v>448</v>
      </c>
      <c r="M214" s="3" t="s">
        <v>14</v>
      </c>
      <c r="N214">
        <v>3615000</v>
      </c>
      <c r="O214">
        <v>78.575000000000003</v>
      </c>
      <c r="Q214">
        <v>0</v>
      </c>
      <c r="R214">
        <v>-23</v>
      </c>
      <c r="S214" s="3" t="s">
        <v>640</v>
      </c>
      <c r="T214">
        <v>0</v>
      </c>
      <c r="U214">
        <v>0</v>
      </c>
      <c r="V214">
        <v>0</v>
      </c>
      <c r="W214">
        <v>0</v>
      </c>
      <c r="X214">
        <v>-2394902</v>
      </c>
      <c r="Y214" s="3" t="s">
        <v>640</v>
      </c>
      <c r="Z214">
        <v>78.575000000000003</v>
      </c>
      <c r="AA214">
        <v>3615000</v>
      </c>
      <c r="AB214" s="3" t="s">
        <v>449</v>
      </c>
      <c r="AC214" s="3" t="s">
        <v>10</v>
      </c>
      <c r="AD214">
        <v>0</v>
      </c>
      <c r="AE214">
        <v>0</v>
      </c>
      <c r="AF214" s="3" t="s">
        <v>640</v>
      </c>
    </row>
    <row r="215" spans="1:32" x14ac:dyDescent="0.35">
      <c r="A215" s="3" t="s">
        <v>608</v>
      </c>
      <c r="B215" s="3" t="s">
        <v>608</v>
      </c>
      <c r="C215" s="3" t="s">
        <v>608</v>
      </c>
      <c r="D215" s="3" t="s">
        <v>608</v>
      </c>
      <c r="E215" s="3" t="s">
        <v>608</v>
      </c>
      <c r="F215" s="3" t="s">
        <v>640</v>
      </c>
      <c r="G215" s="3" t="s">
        <v>526</v>
      </c>
      <c r="H215" s="3" t="s">
        <v>526</v>
      </c>
      <c r="I215" s="3" t="s">
        <v>640</v>
      </c>
      <c r="J215" s="3" t="s">
        <v>4</v>
      </c>
      <c r="K215" s="3" t="s">
        <v>640</v>
      </c>
      <c r="L215" s="3" t="s">
        <v>448</v>
      </c>
      <c r="M215" s="3" t="s">
        <v>14</v>
      </c>
      <c r="N215">
        <v>2400000</v>
      </c>
      <c r="O215">
        <v>84.173000000000002</v>
      </c>
      <c r="Q215">
        <v>0</v>
      </c>
      <c r="R215">
        <v>17</v>
      </c>
      <c r="S215" s="3" t="s">
        <v>640</v>
      </c>
      <c r="T215">
        <v>0</v>
      </c>
      <c r="U215">
        <v>0</v>
      </c>
      <c r="V215">
        <v>0</v>
      </c>
      <c r="W215">
        <v>0</v>
      </c>
      <c r="X215">
        <v>-2012500</v>
      </c>
      <c r="Y215" s="3" t="s">
        <v>640</v>
      </c>
      <c r="Z215">
        <v>84.173000000000002</v>
      </c>
      <c r="AA215">
        <v>2400000</v>
      </c>
      <c r="AB215" s="3" t="s">
        <v>449</v>
      </c>
      <c r="AC215" s="3" t="s">
        <v>10</v>
      </c>
      <c r="AD215">
        <v>0</v>
      </c>
      <c r="AE215">
        <v>0</v>
      </c>
      <c r="AF215" s="3" t="s">
        <v>640</v>
      </c>
    </row>
    <row r="216" spans="1:32" x14ac:dyDescent="0.35">
      <c r="A216" s="3" t="s">
        <v>608</v>
      </c>
      <c r="B216" s="3" t="s">
        <v>608</v>
      </c>
      <c r="C216" s="3" t="s">
        <v>608</v>
      </c>
      <c r="D216" s="3" t="s">
        <v>608</v>
      </c>
      <c r="E216" s="3" t="s">
        <v>608</v>
      </c>
      <c r="F216" s="3" t="s">
        <v>640</v>
      </c>
      <c r="G216" s="3" t="s">
        <v>910</v>
      </c>
      <c r="H216" s="3" t="s">
        <v>910</v>
      </c>
      <c r="I216" s="3" t="s">
        <v>640</v>
      </c>
      <c r="J216" s="3" t="s">
        <v>283</v>
      </c>
      <c r="K216" s="3" t="s">
        <v>640</v>
      </c>
      <c r="L216" s="3" t="s">
        <v>448</v>
      </c>
      <c r="M216" s="3" t="s">
        <v>14</v>
      </c>
      <c r="N216">
        <v>0</v>
      </c>
      <c r="O216">
        <v>84.965999999999994</v>
      </c>
      <c r="Q216">
        <v>0</v>
      </c>
      <c r="R216">
        <v>-2</v>
      </c>
      <c r="S216" s="3" t="s">
        <v>640</v>
      </c>
      <c r="T216">
        <v>0</v>
      </c>
      <c r="U216">
        <v>0</v>
      </c>
      <c r="V216">
        <v>0</v>
      </c>
      <c r="W216">
        <v>0</v>
      </c>
      <c r="X216">
        <v>0</v>
      </c>
      <c r="Y216" s="3" t="s">
        <v>640</v>
      </c>
      <c r="Z216">
        <v>84.965999999999994</v>
      </c>
      <c r="AA216">
        <v>200000</v>
      </c>
      <c r="AB216" s="3" t="s">
        <v>449</v>
      </c>
      <c r="AC216" s="3" t="s">
        <v>10</v>
      </c>
      <c r="AD216">
        <v>0</v>
      </c>
      <c r="AE216">
        <v>0</v>
      </c>
      <c r="AF216" s="3" t="s">
        <v>640</v>
      </c>
    </row>
    <row r="217" spans="1:32" x14ac:dyDescent="0.35">
      <c r="A217" s="3" t="s">
        <v>608</v>
      </c>
      <c r="B217" s="3" t="s">
        <v>608</v>
      </c>
      <c r="C217" s="3" t="s">
        <v>608</v>
      </c>
      <c r="D217" s="3" t="s">
        <v>608</v>
      </c>
      <c r="E217" s="3" t="s">
        <v>608</v>
      </c>
      <c r="F217" s="3" t="s">
        <v>640</v>
      </c>
      <c r="G217" s="3" t="s">
        <v>557</v>
      </c>
      <c r="H217" s="3" t="s">
        <v>557</v>
      </c>
      <c r="I217" s="3" t="s">
        <v>640</v>
      </c>
      <c r="J217" s="3" t="s">
        <v>4</v>
      </c>
      <c r="K217" s="3" t="s">
        <v>640</v>
      </c>
      <c r="L217" s="3" t="s">
        <v>448</v>
      </c>
      <c r="M217" s="3" t="s">
        <v>14</v>
      </c>
      <c r="N217">
        <v>-2600000</v>
      </c>
      <c r="O217">
        <v>101.541</v>
      </c>
      <c r="Q217">
        <v>0</v>
      </c>
      <c r="R217">
        <v>-70</v>
      </c>
      <c r="S217" s="3" t="s">
        <v>640</v>
      </c>
      <c r="T217">
        <v>0</v>
      </c>
      <c r="U217">
        <v>0</v>
      </c>
      <c r="V217">
        <v>0</v>
      </c>
      <c r="W217">
        <v>0</v>
      </c>
      <c r="X217">
        <v>2640066</v>
      </c>
      <c r="Y217" s="3" t="s">
        <v>640</v>
      </c>
      <c r="Z217">
        <v>101.541</v>
      </c>
      <c r="AA217">
        <v>-2600000</v>
      </c>
      <c r="AB217" s="3" t="s">
        <v>449</v>
      </c>
      <c r="AC217" s="3" t="s">
        <v>10</v>
      </c>
      <c r="AD217">
        <v>0</v>
      </c>
      <c r="AE217">
        <v>0</v>
      </c>
      <c r="AF217" s="3" t="s">
        <v>640</v>
      </c>
    </row>
    <row r="218" spans="1:32" x14ac:dyDescent="0.35">
      <c r="A218" s="3" t="s">
        <v>608</v>
      </c>
      <c r="B218" s="3" t="s">
        <v>608</v>
      </c>
      <c r="C218" s="3" t="s">
        <v>608</v>
      </c>
      <c r="D218" s="3" t="s">
        <v>608</v>
      </c>
      <c r="E218" s="3" t="s">
        <v>608</v>
      </c>
      <c r="F218" s="3" t="s">
        <v>640</v>
      </c>
      <c r="G218" s="3" t="s">
        <v>469</v>
      </c>
      <c r="H218" s="3" t="s">
        <v>469</v>
      </c>
      <c r="I218" s="3" t="s">
        <v>640</v>
      </c>
      <c r="J218" s="3" t="s">
        <v>4</v>
      </c>
      <c r="K218" s="3" t="s">
        <v>640</v>
      </c>
      <c r="L218" s="3" t="s">
        <v>448</v>
      </c>
      <c r="M218" s="3" t="s">
        <v>14</v>
      </c>
      <c r="N218">
        <v>5700000</v>
      </c>
      <c r="O218">
        <v>75.808999999999997</v>
      </c>
      <c r="Q218">
        <v>0</v>
      </c>
      <c r="R218">
        <v>43</v>
      </c>
      <c r="S218" s="3" t="s">
        <v>640</v>
      </c>
      <c r="T218">
        <v>0</v>
      </c>
      <c r="U218">
        <v>0</v>
      </c>
      <c r="V218">
        <v>0</v>
      </c>
      <c r="W218">
        <v>0</v>
      </c>
      <c r="X218">
        <v>-4343400</v>
      </c>
      <c r="Y218" s="3" t="s">
        <v>640</v>
      </c>
      <c r="Z218">
        <v>76.2</v>
      </c>
      <c r="AA218">
        <v>6700000</v>
      </c>
      <c r="AB218" s="3" t="s">
        <v>449</v>
      </c>
      <c r="AC218" s="3" t="s">
        <v>10</v>
      </c>
      <c r="AD218">
        <v>0</v>
      </c>
      <c r="AE218">
        <v>0</v>
      </c>
      <c r="AF218" s="3" t="s">
        <v>640</v>
      </c>
    </row>
    <row r="219" spans="1:32" x14ac:dyDescent="0.35">
      <c r="A219" s="3" t="s">
        <v>608</v>
      </c>
      <c r="B219" s="3" t="s">
        <v>608</v>
      </c>
      <c r="C219" s="3" t="s">
        <v>608</v>
      </c>
      <c r="D219" s="3" t="s">
        <v>608</v>
      </c>
      <c r="E219" s="3" t="s">
        <v>608</v>
      </c>
      <c r="F219" s="3" t="s">
        <v>640</v>
      </c>
      <c r="G219" s="3" t="s">
        <v>480</v>
      </c>
      <c r="H219" s="3" t="s">
        <v>480</v>
      </c>
      <c r="I219" s="3" t="s">
        <v>640</v>
      </c>
      <c r="J219" s="3" t="s">
        <v>4</v>
      </c>
      <c r="K219" s="3" t="s">
        <v>640</v>
      </c>
      <c r="L219" s="3" t="s">
        <v>448</v>
      </c>
      <c r="M219" s="3" t="s">
        <v>14</v>
      </c>
      <c r="N219">
        <v>1800000</v>
      </c>
      <c r="O219">
        <v>90.671000000000006</v>
      </c>
      <c r="Q219">
        <v>0</v>
      </c>
      <c r="R219">
        <v>11</v>
      </c>
      <c r="S219" s="3" t="s">
        <v>640</v>
      </c>
      <c r="T219">
        <v>0</v>
      </c>
      <c r="U219">
        <v>0</v>
      </c>
      <c r="V219">
        <v>0</v>
      </c>
      <c r="W219">
        <v>0</v>
      </c>
      <c r="X219">
        <v>-1632080</v>
      </c>
      <c r="Y219" s="3" t="s">
        <v>640</v>
      </c>
      <c r="Z219">
        <v>90.671000000000006</v>
      </c>
      <c r="AA219">
        <v>1800000</v>
      </c>
      <c r="AB219" s="3" t="s">
        <v>449</v>
      </c>
      <c r="AC219" s="3" t="s">
        <v>10</v>
      </c>
      <c r="AD219">
        <v>0</v>
      </c>
      <c r="AE219">
        <v>0</v>
      </c>
      <c r="AF219" s="3" t="s">
        <v>640</v>
      </c>
    </row>
    <row r="220" spans="1:32" x14ac:dyDescent="0.35">
      <c r="A220" s="3" t="s">
        <v>608</v>
      </c>
      <c r="B220" s="3" t="s">
        <v>608</v>
      </c>
      <c r="C220" s="3" t="s">
        <v>608</v>
      </c>
      <c r="D220" s="3" t="s">
        <v>608</v>
      </c>
      <c r="E220" s="3" t="s">
        <v>608</v>
      </c>
      <c r="F220" s="3" t="s">
        <v>640</v>
      </c>
      <c r="G220" s="3" t="s">
        <v>848</v>
      </c>
      <c r="H220" s="3" t="s">
        <v>848</v>
      </c>
      <c r="I220" s="3" t="s">
        <v>640</v>
      </c>
      <c r="J220" s="3" t="s">
        <v>4</v>
      </c>
      <c r="K220" s="3" t="s">
        <v>640</v>
      </c>
      <c r="L220" s="3" t="s">
        <v>448</v>
      </c>
      <c r="M220" s="3" t="s">
        <v>14</v>
      </c>
      <c r="N220">
        <v>-2916000</v>
      </c>
      <c r="O220">
        <v>102.295</v>
      </c>
      <c r="Q220">
        <v>0</v>
      </c>
      <c r="R220">
        <v>-79</v>
      </c>
      <c r="S220" s="3" t="s">
        <v>640</v>
      </c>
      <c r="T220">
        <v>0</v>
      </c>
      <c r="U220">
        <v>0</v>
      </c>
      <c r="V220">
        <v>0</v>
      </c>
      <c r="W220">
        <v>0</v>
      </c>
      <c r="X220">
        <v>2998115</v>
      </c>
      <c r="Y220" s="3" t="s">
        <v>640</v>
      </c>
      <c r="Z220">
        <v>102.295</v>
      </c>
      <c r="AA220">
        <v>-2916000</v>
      </c>
      <c r="AB220" s="3" t="s">
        <v>449</v>
      </c>
      <c r="AC220" s="3" t="s">
        <v>10</v>
      </c>
      <c r="AD220">
        <v>0</v>
      </c>
      <c r="AE220">
        <v>0</v>
      </c>
      <c r="AF220" s="3" t="s">
        <v>640</v>
      </c>
    </row>
    <row r="221" spans="1:32" x14ac:dyDescent="0.35">
      <c r="A221" s="3" t="s">
        <v>608</v>
      </c>
      <c r="B221" s="3" t="s">
        <v>608</v>
      </c>
      <c r="C221" s="3" t="s">
        <v>608</v>
      </c>
      <c r="D221" s="3" t="s">
        <v>608</v>
      </c>
      <c r="E221" s="3" t="s">
        <v>608</v>
      </c>
      <c r="F221" s="3" t="s">
        <v>640</v>
      </c>
      <c r="G221" s="3" t="s">
        <v>556</v>
      </c>
      <c r="H221" s="3" t="s">
        <v>556</v>
      </c>
      <c r="I221" s="3" t="s">
        <v>640</v>
      </c>
      <c r="J221" s="3" t="s">
        <v>4</v>
      </c>
      <c r="K221" s="3" t="s">
        <v>640</v>
      </c>
      <c r="L221" s="3" t="s">
        <v>448</v>
      </c>
      <c r="M221" s="3" t="s">
        <v>14</v>
      </c>
      <c r="N221">
        <v>-2381000</v>
      </c>
      <c r="O221">
        <v>102.751</v>
      </c>
      <c r="Q221">
        <v>0</v>
      </c>
      <c r="R221">
        <v>-65</v>
      </c>
      <c r="S221" s="3" t="s">
        <v>640</v>
      </c>
      <c r="T221">
        <v>0</v>
      </c>
      <c r="U221">
        <v>0</v>
      </c>
      <c r="V221">
        <v>0</v>
      </c>
      <c r="W221">
        <v>0</v>
      </c>
      <c r="X221">
        <v>2480696</v>
      </c>
      <c r="Y221" s="3" t="s">
        <v>640</v>
      </c>
      <c r="Z221">
        <v>102.751</v>
      </c>
      <c r="AA221">
        <v>-2381000</v>
      </c>
      <c r="AB221" s="3" t="s">
        <v>449</v>
      </c>
      <c r="AC221" s="3" t="s">
        <v>10</v>
      </c>
      <c r="AD221">
        <v>0</v>
      </c>
      <c r="AE221">
        <v>0</v>
      </c>
      <c r="AF221" s="3" t="s">
        <v>640</v>
      </c>
    </row>
    <row r="222" spans="1:32" x14ac:dyDescent="0.35">
      <c r="A222" s="3" t="s">
        <v>608</v>
      </c>
      <c r="B222" s="3" t="s">
        <v>608</v>
      </c>
      <c r="C222" s="3" t="s">
        <v>608</v>
      </c>
      <c r="D222" s="3" t="s">
        <v>608</v>
      </c>
      <c r="E222" s="3" t="s">
        <v>608</v>
      </c>
      <c r="F222" s="3" t="s">
        <v>640</v>
      </c>
      <c r="G222" s="3" t="s">
        <v>911</v>
      </c>
      <c r="H222" s="3" t="s">
        <v>911</v>
      </c>
      <c r="I222" s="3" t="s">
        <v>640</v>
      </c>
      <c r="J222" s="3" t="s">
        <v>283</v>
      </c>
      <c r="K222" s="3" t="s">
        <v>640</v>
      </c>
      <c r="L222" s="3" t="s">
        <v>448</v>
      </c>
      <c r="M222" s="3" t="s">
        <v>14</v>
      </c>
      <c r="N222">
        <v>5394000</v>
      </c>
      <c r="O222">
        <v>78.991</v>
      </c>
      <c r="Q222">
        <v>0</v>
      </c>
      <c r="R222">
        <v>-46</v>
      </c>
      <c r="S222" s="3" t="s">
        <v>640</v>
      </c>
      <c r="T222">
        <v>0</v>
      </c>
      <c r="U222">
        <v>0</v>
      </c>
      <c r="V222">
        <v>0</v>
      </c>
      <c r="W222">
        <v>0</v>
      </c>
      <c r="X222">
        <v>-4752630</v>
      </c>
      <c r="Y222" s="3" t="s">
        <v>640</v>
      </c>
      <c r="Z222">
        <v>78.991</v>
      </c>
      <c r="AA222">
        <v>5394000</v>
      </c>
      <c r="AB222" s="3" t="s">
        <v>449</v>
      </c>
      <c r="AC222" s="3" t="s">
        <v>10</v>
      </c>
      <c r="AD222">
        <v>0</v>
      </c>
      <c r="AE222">
        <v>0</v>
      </c>
      <c r="AF222" s="3" t="s">
        <v>640</v>
      </c>
    </row>
    <row r="223" spans="1:32" x14ac:dyDescent="0.35">
      <c r="A223" s="3" t="s">
        <v>608</v>
      </c>
      <c r="B223" s="3" t="s">
        <v>608</v>
      </c>
      <c r="C223" s="3" t="s">
        <v>608</v>
      </c>
      <c r="D223" s="3" t="s">
        <v>608</v>
      </c>
      <c r="E223" s="3" t="s">
        <v>608</v>
      </c>
      <c r="F223" s="3" t="s">
        <v>640</v>
      </c>
      <c r="G223" s="3" t="s">
        <v>591</v>
      </c>
      <c r="H223" s="3" t="s">
        <v>591</v>
      </c>
      <c r="I223" s="3" t="s">
        <v>640</v>
      </c>
      <c r="J223" s="3" t="s">
        <v>4</v>
      </c>
      <c r="K223" s="3" t="s">
        <v>640</v>
      </c>
      <c r="L223" s="3" t="s">
        <v>448</v>
      </c>
      <c r="M223" s="3" t="s">
        <v>14</v>
      </c>
      <c r="N223">
        <v>0</v>
      </c>
      <c r="O223">
        <v>106.57299999999999</v>
      </c>
      <c r="Q223">
        <v>0</v>
      </c>
      <c r="R223">
        <v>0</v>
      </c>
      <c r="S223" s="3" t="s">
        <v>640</v>
      </c>
      <c r="T223">
        <v>0</v>
      </c>
      <c r="U223">
        <v>0</v>
      </c>
      <c r="V223">
        <v>0</v>
      </c>
      <c r="W223">
        <v>0</v>
      </c>
      <c r="X223">
        <v>0</v>
      </c>
      <c r="Y223" s="3" t="s">
        <v>640</v>
      </c>
      <c r="Z223">
        <v>106.57299999999999</v>
      </c>
      <c r="AA223">
        <v>0</v>
      </c>
      <c r="AB223" s="3" t="s">
        <v>449</v>
      </c>
      <c r="AC223" s="3" t="s">
        <v>10</v>
      </c>
      <c r="AD223">
        <v>0</v>
      </c>
      <c r="AE223">
        <v>0</v>
      </c>
      <c r="AF223" s="3" t="s">
        <v>640</v>
      </c>
    </row>
    <row r="224" spans="1:32" x14ac:dyDescent="0.35">
      <c r="A224" s="3" t="s">
        <v>608</v>
      </c>
      <c r="B224" s="3" t="s">
        <v>608</v>
      </c>
      <c r="C224" s="3" t="s">
        <v>608</v>
      </c>
      <c r="D224" s="3" t="s">
        <v>608</v>
      </c>
      <c r="E224" s="3" t="s">
        <v>608</v>
      </c>
      <c r="F224" s="3" t="s">
        <v>640</v>
      </c>
      <c r="G224" s="3" t="s">
        <v>585</v>
      </c>
      <c r="H224" s="3" t="s">
        <v>585</v>
      </c>
      <c r="I224" s="3" t="s">
        <v>640</v>
      </c>
      <c r="J224" s="3" t="s">
        <v>4</v>
      </c>
      <c r="K224" s="3" t="s">
        <v>640</v>
      </c>
      <c r="L224" s="3" t="s">
        <v>448</v>
      </c>
      <c r="M224" s="3" t="s">
        <v>14</v>
      </c>
      <c r="N224">
        <v>-700000</v>
      </c>
      <c r="O224">
        <v>116.304</v>
      </c>
      <c r="Q224">
        <v>0</v>
      </c>
      <c r="R224">
        <v>-61</v>
      </c>
      <c r="S224" s="3" t="s">
        <v>640</v>
      </c>
      <c r="T224">
        <v>0</v>
      </c>
      <c r="U224">
        <v>0</v>
      </c>
      <c r="V224">
        <v>0</v>
      </c>
      <c r="W224">
        <v>0</v>
      </c>
      <c r="X224">
        <v>845680</v>
      </c>
      <c r="Y224" s="3" t="s">
        <v>640</v>
      </c>
      <c r="Z224">
        <v>116.19199999999999</v>
      </c>
      <c r="AA224">
        <v>-2000000</v>
      </c>
      <c r="AB224" s="3" t="s">
        <v>449</v>
      </c>
      <c r="AC224" s="3" t="s">
        <v>10</v>
      </c>
      <c r="AD224">
        <v>0</v>
      </c>
      <c r="AE224">
        <v>0</v>
      </c>
      <c r="AF224" s="3" t="s">
        <v>640</v>
      </c>
    </row>
    <row r="225" spans="1:32" x14ac:dyDescent="0.35">
      <c r="A225" s="3" t="s">
        <v>608</v>
      </c>
      <c r="B225" s="3" t="s">
        <v>608</v>
      </c>
      <c r="C225" s="3" t="s">
        <v>608</v>
      </c>
      <c r="D225" s="3" t="s">
        <v>608</v>
      </c>
      <c r="E225" s="3" t="s">
        <v>608</v>
      </c>
      <c r="F225" s="3" t="s">
        <v>640</v>
      </c>
      <c r="G225" s="3" t="s">
        <v>531</v>
      </c>
      <c r="H225" s="3" t="s">
        <v>531</v>
      </c>
      <c r="I225" s="3" t="s">
        <v>640</v>
      </c>
      <c r="J225" s="3" t="s">
        <v>4</v>
      </c>
      <c r="K225" s="3" t="s">
        <v>640</v>
      </c>
      <c r="L225" s="3" t="s">
        <v>448</v>
      </c>
      <c r="M225" s="3" t="s">
        <v>14</v>
      </c>
      <c r="N225">
        <v>1000000</v>
      </c>
      <c r="O225">
        <v>86.06</v>
      </c>
      <c r="Q225">
        <v>0</v>
      </c>
      <c r="R225">
        <v>35</v>
      </c>
      <c r="S225" s="3" t="s">
        <v>640</v>
      </c>
      <c r="T225">
        <v>0</v>
      </c>
      <c r="U225">
        <v>0</v>
      </c>
      <c r="V225">
        <v>0</v>
      </c>
      <c r="W225">
        <v>0</v>
      </c>
      <c r="X225">
        <v>-845692</v>
      </c>
      <c r="Y225" s="3" t="s">
        <v>640</v>
      </c>
      <c r="Z225">
        <v>86.06</v>
      </c>
      <c r="AA225">
        <v>5800000</v>
      </c>
      <c r="AB225" s="3" t="s">
        <v>449</v>
      </c>
      <c r="AC225" s="3" t="s">
        <v>10</v>
      </c>
      <c r="AD225">
        <v>0</v>
      </c>
      <c r="AE225">
        <v>0</v>
      </c>
      <c r="AF225" s="3" t="s">
        <v>640</v>
      </c>
    </row>
    <row r="226" spans="1:32" x14ac:dyDescent="0.35">
      <c r="A226" s="3" t="s">
        <v>608</v>
      </c>
      <c r="B226" s="3" t="s">
        <v>608</v>
      </c>
      <c r="C226" s="3" t="s">
        <v>608</v>
      </c>
      <c r="D226" s="3" t="s">
        <v>608</v>
      </c>
      <c r="E226" s="3" t="s">
        <v>608</v>
      </c>
      <c r="F226" s="3" t="s">
        <v>640</v>
      </c>
      <c r="G226" s="3" t="s">
        <v>902</v>
      </c>
      <c r="H226" s="3" t="s">
        <v>902</v>
      </c>
      <c r="I226" s="3" t="s">
        <v>640</v>
      </c>
      <c r="J226" s="3" t="s">
        <v>4</v>
      </c>
      <c r="K226" s="3" t="s">
        <v>640</v>
      </c>
      <c r="L226" s="3" t="s">
        <v>448</v>
      </c>
      <c r="M226" s="3" t="s">
        <v>14</v>
      </c>
      <c r="N226">
        <v>-1800000</v>
      </c>
      <c r="O226">
        <v>103.645</v>
      </c>
      <c r="Q226">
        <v>0</v>
      </c>
      <c r="R226">
        <v>-50</v>
      </c>
      <c r="S226" s="3" t="s">
        <v>640</v>
      </c>
      <c r="T226">
        <v>0</v>
      </c>
      <c r="U226">
        <v>0</v>
      </c>
      <c r="V226">
        <v>0</v>
      </c>
      <c r="W226">
        <v>0</v>
      </c>
      <c r="X226">
        <v>1912713</v>
      </c>
      <c r="Y226" s="3" t="s">
        <v>640</v>
      </c>
      <c r="Z226">
        <v>103.645</v>
      </c>
      <c r="AA226">
        <v>-1800000</v>
      </c>
      <c r="AB226" s="3" t="s">
        <v>449</v>
      </c>
      <c r="AC226" s="3" t="s">
        <v>10</v>
      </c>
      <c r="AD226">
        <v>0</v>
      </c>
      <c r="AE226">
        <v>0</v>
      </c>
      <c r="AF226" s="3" t="s">
        <v>640</v>
      </c>
    </row>
    <row r="227" spans="1:32" x14ac:dyDescent="0.35">
      <c r="A227" s="3" t="s">
        <v>608</v>
      </c>
      <c r="B227" s="3" t="s">
        <v>608</v>
      </c>
      <c r="C227" s="3" t="s">
        <v>608</v>
      </c>
      <c r="D227" s="3" t="s">
        <v>608</v>
      </c>
      <c r="E227" s="3" t="s">
        <v>608</v>
      </c>
      <c r="F227" s="3" t="s">
        <v>640</v>
      </c>
      <c r="G227" s="3" t="s">
        <v>548</v>
      </c>
      <c r="H227" s="3" t="s">
        <v>548</v>
      </c>
      <c r="I227" s="3" t="s">
        <v>640</v>
      </c>
      <c r="J227" s="3" t="s">
        <v>266</v>
      </c>
      <c r="K227" s="3" t="s">
        <v>640</v>
      </c>
      <c r="L227" s="3" t="s">
        <v>448</v>
      </c>
      <c r="M227" s="3" t="s">
        <v>14</v>
      </c>
      <c r="N227">
        <v>-8689000</v>
      </c>
      <c r="O227">
        <v>111.205</v>
      </c>
      <c r="Q227">
        <v>0</v>
      </c>
      <c r="R227">
        <v>-88</v>
      </c>
      <c r="S227" s="3" t="s">
        <v>640</v>
      </c>
      <c r="T227">
        <v>0</v>
      </c>
      <c r="U227">
        <v>0</v>
      </c>
      <c r="V227">
        <v>0</v>
      </c>
      <c r="W227">
        <v>0</v>
      </c>
      <c r="X227">
        <v>8208342</v>
      </c>
      <c r="Y227" s="3" t="s">
        <v>640</v>
      </c>
      <c r="Z227">
        <v>112.724</v>
      </c>
      <c r="AA227">
        <v>-9689000</v>
      </c>
      <c r="AB227" s="3" t="s">
        <v>449</v>
      </c>
      <c r="AC227" s="3" t="s">
        <v>10</v>
      </c>
      <c r="AD227">
        <v>0</v>
      </c>
      <c r="AE227">
        <v>0</v>
      </c>
      <c r="AF227" s="3" t="s">
        <v>640</v>
      </c>
    </row>
    <row r="228" spans="1:32" x14ac:dyDescent="0.35">
      <c r="A228" s="3" t="s">
        <v>608</v>
      </c>
      <c r="B228" s="3" t="s">
        <v>608</v>
      </c>
      <c r="C228" s="3" t="s">
        <v>608</v>
      </c>
      <c r="D228" s="3" t="s">
        <v>608</v>
      </c>
      <c r="E228" s="3" t="s">
        <v>608</v>
      </c>
      <c r="F228" s="3" t="s">
        <v>640</v>
      </c>
      <c r="G228" s="3" t="s">
        <v>559</v>
      </c>
      <c r="H228" s="3" t="s">
        <v>559</v>
      </c>
      <c r="I228" s="3" t="s">
        <v>640</v>
      </c>
      <c r="J228" s="3" t="s">
        <v>266</v>
      </c>
      <c r="K228" s="3" t="s">
        <v>640</v>
      </c>
      <c r="L228" s="3" t="s">
        <v>448</v>
      </c>
      <c r="M228" s="3" t="s">
        <v>14</v>
      </c>
      <c r="N228">
        <v>850000</v>
      </c>
      <c r="O228">
        <v>80.593999999999994</v>
      </c>
      <c r="Q228">
        <v>0</v>
      </c>
      <c r="R228">
        <v>-6</v>
      </c>
      <c r="S228" s="3" t="s">
        <v>640</v>
      </c>
      <c r="T228">
        <v>0</v>
      </c>
      <c r="U228">
        <v>0</v>
      </c>
      <c r="V228">
        <v>0</v>
      </c>
      <c r="W228">
        <v>0</v>
      </c>
      <c r="X228">
        <v>-577976</v>
      </c>
      <c r="Y228" s="3" t="s">
        <v>640</v>
      </c>
      <c r="Z228">
        <v>80.593999999999994</v>
      </c>
      <c r="AA228">
        <v>850000</v>
      </c>
      <c r="AB228" s="3" t="s">
        <v>449</v>
      </c>
      <c r="AC228" s="3" t="s">
        <v>10</v>
      </c>
      <c r="AD228">
        <v>0</v>
      </c>
      <c r="AE228">
        <v>0</v>
      </c>
      <c r="AF228" s="3" t="s">
        <v>640</v>
      </c>
    </row>
    <row r="229" spans="1:32" x14ac:dyDescent="0.35">
      <c r="A229" s="3" t="s">
        <v>608</v>
      </c>
      <c r="B229" s="3" t="s">
        <v>608</v>
      </c>
      <c r="C229" s="3" t="s">
        <v>608</v>
      </c>
      <c r="D229" s="3" t="s">
        <v>608</v>
      </c>
      <c r="E229" s="3" t="s">
        <v>608</v>
      </c>
      <c r="F229" s="3" t="s">
        <v>640</v>
      </c>
      <c r="G229" s="3" t="s">
        <v>951</v>
      </c>
      <c r="H229" s="3" t="s">
        <v>951</v>
      </c>
      <c r="I229" s="3" t="s">
        <v>640</v>
      </c>
      <c r="J229" s="3" t="s">
        <v>266</v>
      </c>
      <c r="K229" s="3" t="s">
        <v>640</v>
      </c>
      <c r="L229" s="3" t="s">
        <v>448</v>
      </c>
      <c r="M229" s="3" t="s">
        <v>14</v>
      </c>
      <c r="N229">
        <v>3100000</v>
      </c>
      <c r="O229">
        <v>80.459000000000003</v>
      </c>
      <c r="Q229">
        <v>0</v>
      </c>
      <c r="R229">
        <v>-9</v>
      </c>
      <c r="S229" s="3" t="s">
        <v>640</v>
      </c>
      <c r="T229">
        <v>0</v>
      </c>
      <c r="U229">
        <v>0</v>
      </c>
      <c r="V229">
        <v>0</v>
      </c>
      <c r="W229">
        <v>0</v>
      </c>
      <c r="X229">
        <v>-2086887</v>
      </c>
      <c r="Y229" s="3" t="s">
        <v>640</v>
      </c>
      <c r="Z229">
        <v>79.5</v>
      </c>
      <c r="AA229">
        <v>2000000</v>
      </c>
      <c r="AB229" s="3" t="s">
        <v>449</v>
      </c>
      <c r="AC229" s="3" t="s">
        <v>10</v>
      </c>
      <c r="AD229">
        <v>0</v>
      </c>
      <c r="AE229">
        <v>0</v>
      </c>
      <c r="AF229" s="3" t="s">
        <v>640</v>
      </c>
    </row>
    <row r="230" spans="1:32" x14ac:dyDescent="0.35">
      <c r="A230" s="3" t="s">
        <v>608</v>
      </c>
      <c r="B230" s="3" t="s">
        <v>608</v>
      </c>
      <c r="C230" s="3" t="s">
        <v>608</v>
      </c>
      <c r="D230" s="3" t="s">
        <v>608</v>
      </c>
      <c r="E230" s="3" t="s">
        <v>608</v>
      </c>
      <c r="F230" s="3" t="s">
        <v>640</v>
      </c>
      <c r="G230" s="3" t="s">
        <v>952</v>
      </c>
      <c r="H230" s="3" t="s">
        <v>952</v>
      </c>
      <c r="I230" s="3" t="s">
        <v>640</v>
      </c>
      <c r="J230" s="3" t="s">
        <v>4</v>
      </c>
      <c r="K230" s="3" t="s">
        <v>640</v>
      </c>
      <c r="L230" s="3" t="s">
        <v>448</v>
      </c>
      <c r="M230" s="3" t="s">
        <v>14</v>
      </c>
      <c r="N230">
        <v>-748000</v>
      </c>
      <c r="O230">
        <v>104.14700000000001</v>
      </c>
      <c r="Q230">
        <v>0</v>
      </c>
      <c r="R230">
        <v>-21</v>
      </c>
      <c r="S230" s="3" t="s">
        <v>640</v>
      </c>
      <c r="T230">
        <v>0</v>
      </c>
      <c r="U230">
        <v>0</v>
      </c>
      <c r="V230">
        <v>0</v>
      </c>
      <c r="W230">
        <v>0</v>
      </c>
      <c r="X230">
        <v>779019</v>
      </c>
      <c r="Y230" s="3" t="s">
        <v>640</v>
      </c>
      <c r="Z230">
        <v>104.14700000000001</v>
      </c>
      <c r="AA230">
        <v>-748000</v>
      </c>
      <c r="AB230" s="3" t="s">
        <v>449</v>
      </c>
      <c r="AC230" s="3" t="s">
        <v>10</v>
      </c>
      <c r="AD230">
        <v>0</v>
      </c>
      <c r="AE230">
        <v>0</v>
      </c>
      <c r="AF230" s="3" t="s">
        <v>640</v>
      </c>
    </row>
    <row r="231" spans="1:32" x14ac:dyDescent="0.35">
      <c r="A231" s="3" t="s">
        <v>608</v>
      </c>
      <c r="B231" s="3" t="s">
        <v>608</v>
      </c>
      <c r="C231" s="3" t="s">
        <v>608</v>
      </c>
      <c r="D231" s="3" t="s">
        <v>608</v>
      </c>
      <c r="E231" s="3" t="s">
        <v>608</v>
      </c>
      <c r="F231" s="3" t="s">
        <v>640</v>
      </c>
      <c r="G231" s="3" t="s">
        <v>477</v>
      </c>
      <c r="H231" s="3" t="s">
        <v>477</v>
      </c>
      <c r="I231" s="3" t="s">
        <v>640</v>
      </c>
      <c r="J231" s="3" t="s">
        <v>283</v>
      </c>
      <c r="K231" s="3" t="s">
        <v>640</v>
      </c>
      <c r="L231" s="3" t="s">
        <v>448</v>
      </c>
      <c r="M231" s="3" t="s">
        <v>14</v>
      </c>
      <c r="N231">
        <v>-1000000</v>
      </c>
      <c r="O231">
        <v>109.991</v>
      </c>
      <c r="Q231">
        <v>0</v>
      </c>
      <c r="R231">
        <v>-13</v>
      </c>
      <c r="S231" s="3" t="s">
        <v>640</v>
      </c>
      <c r="T231">
        <v>0</v>
      </c>
      <c r="U231">
        <v>0</v>
      </c>
      <c r="V231">
        <v>0</v>
      </c>
      <c r="W231">
        <v>0</v>
      </c>
      <c r="X231">
        <v>1221221</v>
      </c>
      <c r="Y231" s="3" t="s">
        <v>640</v>
      </c>
      <c r="Z231">
        <v>109.991</v>
      </c>
      <c r="AA231">
        <v>-1000000</v>
      </c>
      <c r="AB231" s="3" t="s">
        <v>449</v>
      </c>
      <c r="AC231" s="3" t="s">
        <v>10</v>
      </c>
      <c r="AD231">
        <v>0</v>
      </c>
      <c r="AE231">
        <v>0</v>
      </c>
      <c r="AF231" s="3" t="s">
        <v>640</v>
      </c>
    </row>
    <row r="232" spans="1:32" x14ac:dyDescent="0.35">
      <c r="A232" s="3" t="s">
        <v>608</v>
      </c>
      <c r="B232" s="3" t="s">
        <v>608</v>
      </c>
      <c r="C232" s="3" t="s">
        <v>608</v>
      </c>
      <c r="D232" s="3" t="s">
        <v>608</v>
      </c>
      <c r="E232" s="3" t="s">
        <v>608</v>
      </c>
      <c r="F232" s="3" t="s">
        <v>640</v>
      </c>
      <c r="G232" s="3" t="s">
        <v>447</v>
      </c>
      <c r="H232" s="3" t="s">
        <v>447</v>
      </c>
      <c r="I232" s="3" t="s">
        <v>640</v>
      </c>
      <c r="J232" s="3" t="s">
        <v>4</v>
      </c>
      <c r="K232" s="3" t="s">
        <v>640</v>
      </c>
      <c r="L232" s="3" t="s">
        <v>448</v>
      </c>
      <c r="M232" s="3" t="s">
        <v>14</v>
      </c>
      <c r="N232">
        <v>-1100000</v>
      </c>
      <c r="O232">
        <v>114.107</v>
      </c>
      <c r="Q232">
        <v>0</v>
      </c>
      <c r="R232">
        <v>-33</v>
      </c>
      <c r="S232" s="3" t="s">
        <v>640</v>
      </c>
      <c r="T232">
        <v>0</v>
      </c>
      <c r="U232">
        <v>0</v>
      </c>
      <c r="V232">
        <v>0</v>
      </c>
      <c r="W232">
        <v>0</v>
      </c>
      <c r="X232">
        <v>1247254</v>
      </c>
      <c r="Y232" s="3" t="s">
        <v>640</v>
      </c>
      <c r="Z232">
        <v>114.107</v>
      </c>
      <c r="AA232">
        <v>-1100000</v>
      </c>
      <c r="AB232" s="3" t="s">
        <v>449</v>
      </c>
      <c r="AC232" s="3" t="s">
        <v>10</v>
      </c>
      <c r="AD232">
        <v>0</v>
      </c>
      <c r="AE232">
        <v>0</v>
      </c>
      <c r="AF232" s="3" t="s">
        <v>640</v>
      </c>
    </row>
    <row r="233" spans="1:32" x14ac:dyDescent="0.35">
      <c r="A233" s="3" t="s">
        <v>608</v>
      </c>
      <c r="B233" s="3" t="s">
        <v>608</v>
      </c>
      <c r="C233" s="3" t="s">
        <v>608</v>
      </c>
      <c r="D233" s="3" t="s">
        <v>608</v>
      </c>
      <c r="E233" s="3" t="s">
        <v>608</v>
      </c>
      <c r="F233" s="3" t="s">
        <v>640</v>
      </c>
      <c r="G233" s="3" t="s">
        <v>461</v>
      </c>
      <c r="H233" s="3" t="s">
        <v>461</v>
      </c>
      <c r="I233" s="3" t="s">
        <v>640</v>
      </c>
      <c r="J233" s="3" t="s">
        <v>266</v>
      </c>
      <c r="K233" s="3" t="s">
        <v>640</v>
      </c>
      <c r="L233" s="3" t="s">
        <v>448</v>
      </c>
      <c r="M233" s="3" t="s">
        <v>14</v>
      </c>
      <c r="N233">
        <v>-8000000</v>
      </c>
      <c r="O233">
        <v>121.64100000000001</v>
      </c>
      <c r="Q233">
        <v>0</v>
      </c>
      <c r="R233">
        <v>-80</v>
      </c>
      <c r="S233" s="3" t="s">
        <v>640</v>
      </c>
      <c r="T233">
        <v>0</v>
      </c>
      <c r="U233">
        <v>0</v>
      </c>
      <c r="V233">
        <v>0</v>
      </c>
      <c r="W233">
        <v>0</v>
      </c>
      <c r="X233">
        <v>8260710</v>
      </c>
      <c r="Y233" s="3" t="s">
        <v>640</v>
      </c>
      <c r="Z233">
        <v>121.64100000000001</v>
      </c>
      <c r="AA233">
        <v>-8000000</v>
      </c>
      <c r="AB233" s="3" t="s">
        <v>449</v>
      </c>
      <c r="AC233" s="3" t="s">
        <v>10</v>
      </c>
      <c r="AD233">
        <v>0</v>
      </c>
      <c r="AE233">
        <v>0</v>
      </c>
      <c r="AF233" s="3" t="s">
        <v>640</v>
      </c>
    </row>
    <row r="234" spans="1:32" x14ac:dyDescent="0.35">
      <c r="A234" s="3" t="s">
        <v>608</v>
      </c>
      <c r="B234" s="3" t="s">
        <v>608</v>
      </c>
      <c r="C234" s="3" t="s">
        <v>608</v>
      </c>
      <c r="D234" s="3" t="s">
        <v>608</v>
      </c>
      <c r="E234" s="3" t="s">
        <v>608</v>
      </c>
      <c r="F234" s="3" t="s">
        <v>640</v>
      </c>
      <c r="G234" s="3" t="s">
        <v>462</v>
      </c>
      <c r="H234" s="3" t="s">
        <v>462</v>
      </c>
      <c r="I234" s="3" t="s">
        <v>640</v>
      </c>
      <c r="J234" s="3" t="s">
        <v>4</v>
      </c>
      <c r="K234" s="3" t="s">
        <v>640</v>
      </c>
      <c r="L234" s="3" t="s">
        <v>448</v>
      </c>
      <c r="M234" s="3" t="s">
        <v>14</v>
      </c>
      <c r="N234">
        <v>-1300000</v>
      </c>
      <c r="O234">
        <v>103.501</v>
      </c>
      <c r="Q234">
        <v>0</v>
      </c>
      <c r="R234">
        <v>-36</v>
      </c>
      <c r="S234" s="3" t="s">
        <v>640</v>
      </c>
      <c r="T234">
        <v>0</v>
      </c>
      <c r="U234">
        <v>0</v>
      </c>
      <c r="V234">
        <v>0</v>
      </c>
      <c r="W234">
        <v>0</v>
      </c>
      <c r="X234">
        <v>1346825</v>
      </c>
      <c r="Y234" s="3" t="s">
        <v>640</v>
      </c>
      <c r="Z234">
        <v>103.501</v>
      </c>
      <c r="AA234">
        <v>-1300000</v>
      </c>
      <c r="AB234" s="3" t="s">
        <v>449</v>
      </c>
      <c r="AC234" s="3" t="s">
        <v>10</v>
      </c>
      <c r="AD234">
        <v>0</v>
      </c>
      <c r="AE234">
        <v>0</v>
      </c>
      <c r="AF234" s="3" t="s">
        <v>640</v>
      </c>
    </row>
    <row r="235" spans="1:32" x14ac:dyDescent="0.35">
      <c r="A235" s="3" t="s">
        <v>608</v>
      </c>
      <c r="B235" s="3" t="s">
        <v>608</v>
      </c>
      <c r="C235" s="3" t="s">
        <v>608</v>
      </c>
      <c r="D235" s="3" t="s">
        <v>608</v>
      </c>
      <c r="E235" s="3" t="s">
        <v>608</v>
      </c>
      <c r="F235" s="3" t="s">
        <v>640</v>
      </c>
      <c r="G235" s="3" t="s">
        <v>470</v>
      </c>
      <c r="H235" s="3" t="s">
        <v>470</v>
      </c>
      <c r="I235" s="3" t="s">
        <v>640</v>
      </c>
      <c r="J235" s="3" t="s">
        <v>4</v>
      </c>
      <c r="K235" s="3" t="s">
        <v>640</v>
      </c>
      <c r="L235" s="3" t="s">
        <v>448</v>
      </c>
      <c r="M235" s="3" t="s">
        <v>14</v>
      </c>
      <c r="N235">
        <v>16558000</v>
      </c>
      <c r="O235">
        <v>76.48</v>
      </c>
      <c r="Q235">
        <v>0</v>
      </c>
      <c r="R235">
        <v>88</v>
      </c>
      <c r="S235" s="3" t="s">
        <v>640</v>
      </c>
      <c r="T235">
        <v>0</v>
      </c>
      <c r="U235">
        <v>0</v>
      </c>
      <c r="V235">
        <v>0</v>
      </c>
      <c r="W235">
        <v>0</v>
      </c>
      <c r="X235">
        <v>-12677548</v>
      </c>
      <c r="Y235" s="3" t="s">
        <v>640</v>
      </c>
      <c r="Z235">
        <v>76.48</v>
      </c>
      <c r="AA235">
        <v>16558000</v>
      </c>
      <c r="AB235" s="3" t="s">
        <v>449</v>
      </c>
      <c r="AC235" s="3" t="s">
        <v>10</v>
      </c>
      <c r="AD235">
        <v>0</v>
      </c>
      <c r="AE235">
        <v>0</v>
      </c>
      <c r="AF235" s="3" t="s">
        <v>640</v>
      </c>
    </row>
    <row r="236" spans="1:32" x14ac:dyDescent="0.35">
      <c r="A236" s="3" t="s">
        <v>608</v>
      </c>
      <c r="B236" s="3" t="s">
        <v>608</v>
      </c>
      <c r="C236" s="3" t="s">
        <v>608</v>
      </c>
      <c r="D236" s="3" t="s">
        <v>608</v>
      </c>
      <c r="E236" s="3" t="s">
        <v>608</v>
      </c>
      <c r="F236" s="3" t="s">
        <v>640</v>
      </c>
      <c r="G236" s="3" t="s">
        <v>490</v>
      </c>
      <c r="H236" s="3" t="s">
        <v>490</v>
      </c>
      <c r="I236" s="3" t="s">
        <v>640</v>
      </c>
      <c r="J236" s="3" t="s">
        <v>283</v>
      </c>
      <c r="K236" s="3" t="s">
        <v>640</v>
      </c>
      <c r="L236" s="3" t="s">
        <v>448</v>
      </c>
      <c r="M236" s="3" t="s">
        <v>14</v>
      </c>
      <c r="N236">
        <v>-9960000</v>
      </c>
      <c r="O236">
        <v>110.194</v>
      </c>
      <c r="Q236">
        <v>0</v>
      </c>
      <c r="R236">
        <v>-118</v>
      </c>
      <c r="S236" s="3" t="s">
        <v>640</v>
      </c>
      <c r="T236">
        <v>0</v>
      </c>
      <c r="U236">
        <v>0</v>
      </c>
      <c r="V236">
        <v>0</v>
      </c>
      <c r="W236">
        <v>0</v>
      </c>
      <c r="X236">
        <v>12257078</v>
      </c>
      <c r="Y236" s="3" t="s">
        <v>640</v>
      </c>
      <c r="Z236">
        <v>110.194</v>
      </c>
      <c r="AA236">
        <v>-9960000</v>
      </c>
      <c r="AB236" s="3" t="s">
        <v>449</v>
      </c>
      <c r="AC236" s="3" t="s">
        <v>10</v>
      </c>
      <c r="AD236">
        <v>0</v>
      </c>
      <c r="AE236">
        <v>0</v>
      </c>
      <c r="AF236" s="3" t="s">
        <v>640</v>
      </c>
    </row>
    <row r="237" spans="1:32" x14ac:dyDescent="0.35">
      <c r="A237" s="3" t="s">
        <v>608</v>
      </c>
      <c r="B237" s="3" t="s">
        <v>608</v>
      </c>
      <c r="C237" s="3" t="s">
        <v>608</v>
      </c>
      <c r="D237" s="3" t="s">
        <v>608</v>
      </c>
      <c r="E237" s="3" t="s">
        <v>608</v>
      </c>
      <c r="F237" s="3" t="s">
        <v>640</v>
      </c>
      <c r="G237" s="3" t="s">
        <v>1246</v>
      </c>
      <c r="H237" s="3" t="s">
        <v>1246</v>
      </c>
      <c r="I237" s="3" t="s">
        <v>640</v>
      </c>
      <c r="J237" s="3" t="s">
        <v>4</v>
      </c>
      <c r="K237" s="3" t="s">
        <v>640</v>
      </c>
      <c r="L237" s="3" t="s">
        <v>448</v>
      </c>
      <c r="M237" s="3" t="s">
        <v>14</v>
      </c>
      <c r="N237">
        <v>-800000</v>
      </c>
      <c r="O237">
        <v>126.78</v>
      </c>
      <c r="Q237">
        <v>0</v>
      </c>
      <c r="R237">
        <v>-28</v>
      </c>
      <c r="S237" s="3" t="s">
        <v>640</v>
      </c>
      <c r="T237">
        <v>0</v>
      </c>
      <c r="U237">
        <v>0</v>
      </c>
      <c r="V237">
        <v>0</v>
      </c>
      <c r="W237">
        <v>0</v>
      </c>
      <c r="X237">
        <v>1014242</v>
      </c>
      <c r="Y237" s="3" t="s">
        <v>640</v>
      </c>
      <c r="Z237">
        <v>126.78</v>
      </c>
      <c r="AA237">
        <v>-800000</v>
      </c>
      <c r="AB237" s="3" t="s">
        <v>449</v>
      </c>
      <c r="AC237" s="3" t="s">
        <v>10</v>
      </c>
      <c r="AD237">
        <v>0</v>
      </c>
      <c r="AE237">
        <v>0</v>
      </c>
      <c r="AF237" s="3" t="s">
        <v>640</v>
      </c>
    </row>
    <row r="238" spans="1:32" x14ac:dyDescent="0.35">
      <c r="A238" s="3" t="s">
        <v>608</v>
      </c>
      <c r="B238" s="3" t="s">
        <v>608</v>
      </c>
      <c r="C238" s="3" t="s">
        <v>608</v>
      </c>
      <c r="D238" s="3" t="s">
        <v>608</v>
      </c>
      <c r="E238" s="3" t="s">
        <v>608</v>
      </c>
      <c r="F238" s="3" t="s">
        <v>640</v>
      </c>
      <c r="G238" s="3" t="s">
        <v>457</v>
      </c>
      <c r="H238" s="3" t="s">
        <v>457</v>
      </c>
      <c r="I238" s="3" t="s">
        <v>640</v>
      </c>
      <c r="J238" s="3" t="s">
        <v>4</v>
      </c>
      <c r="K238" s="3" t="s">
        <v>640</v>
      </c>
      <c r="L238" s="3" t="s">
        <v>448</v>
      </c>
      <c r="M238" s="3" t="s">
        <v>14</v>
      </c>
      <c r="N238">
        <v>4484000</v>
      </c>
      <c r="O238">
        <v>90.471999999999994</v>
      </c>
      <c r="Q238">
        <v>0</v>
      </c>
      <c r="R238">
        <v>28</v>
      </c>
      <c r="S238" s="3" t="s">
        <v>640</v>
      </c>
      <c r="T238">
        <v>0</v>
      </c>
      <c r="U238">
        <v>0</v>
      </c>
      <c r="V238">
        <v>0</v>
      </c>
      <c r="W238">
        <v>0</v>
      </c>
      <c r="X238">
        <v>-4056773</v>
      </c>
      <c r="Y238" s="3" t="s">
        <v>640</v>
      </c>
      <c r="Z238">
        <v>90.471999999999994</v>
      </c>
      <c r="AA238">
        <v>4484000</v>
      </c>
      <c r="AB238" s="3" t="s">
        <v>449</v>
      </c>
      <c r="AC238" s="3" t="s">
        <v>10</v>
      </c>
      <c r="AD238">
        <v>0</v>
      </c>
      <c r="AE238">
        <v>0</v>
      </c>
      <c r="AF238" s="3" t="s">
        <v>640</v>
      </c>
    </row>
    <row r="239" spans="1:32" x14ac:dyDescent="0.35">
      <c r="A239" s="3" t="s">
        <v>608</v>
      </c>
      <c r="B239" s="3" t="s">
        <v>608</v>
      </c>
      <c r="C239" s="3" t="s">
        <v>608</v>
      </c>
      <c r="D239" s="3" t="s">
        <v>608</v>
      </c>
      <c r="E239" s="3" t="s">
        <v>608</v>
      </c>
      <c r="F239" s="3" t="s">
        <v>640</v>
      </c>
      <c r="G239" s="3" t="s">
        <v>463</v>
      </c>
      <c r="H239" s="3" t="s">
        <v>463</v>
      </c>
      <c r="I239" s="3" t="s">
        <v>640</v>
      </c>
      <c r="J239" s="3" t="s">
        <v>4</v>
      </c>
      <c r="K239" s="3" t="s">
        <v>640</v>
      </c>
      <c r="L239" s="3" t="s">
        <v>448</v>
      </c>
      <c r="M239" s="3" t="s">
        <v>14</v>
      </c>
      <c r="N239">
        <v>0</v>
      </c>
      <c r="O239">
        <v>110.566</v>
      </c>
      <c r="Q239">
        <v>0</v>
      </c>
      <c r="R239">
        <v>0</v>
      </c>
      <c r="S239" s="3" t="s">
        <v>640</v>
      </c>
      <c r="T239">
        <v>0</v>
      </c>
      <c r="U239">
        <v>0</v>
      </c>
      <c r="V239">
        <v>0</v>
      </c>
      <c r="W239">
        <v>0</v>
      </c>
      <c r="X239">
        <v>0</v>
      </c>
      <c r="Y239" s="3" t="s">
        <v>640</v>
      </c>
      <c r="Z239">
        <v>110.566</v>
      </c>
      <c r="AA239">
        <v>0</v>
      </c>
      <c r="AB239" s="3" t="s">
        <v>449</v>
      </c>
      <c r="AC239" s="3" t="s">
        <v>10</v>
      </c>
      <c r="AD239">
        <v>0</v>
      </c>
      <c r="AE239">
        <v>0</v>
      </c>
      <c r="AF239" s="3" t="s">
        <v>640</v>
      </c>
    </row>
    <row r="240" spans="1:32" x14ac:dyDescent="0.35">
      <c r="A240" s="3" t="s">
        <v>608</v>
      </c>
      <c r="B240" s="3" t="s">
        <v>608</v>
      </c>
      <c r="C240" s="3" t="s">
        <v>608</v>
      </c>
      <c r="D240" s="3" t="s">
        <v>608</v>
      </c>
      <c r="E240" s="3" t="s">
        <v>608</v>
      </c>
      <c r="F240" s="3" t="s">
        <v>640</v>
      </c>
      <c r="G240" s="3" t="s">
        <v>1469</v>
      </c>
      <c r="H240" s="3" t="s">
        <v>1469</v>
      </c>
      <c r="I240" s="3" t="s">
        <v>640</v>
      </c>
      <c r="J240" s="3" t="s">
        <v>4</v>
      </c>
      <c r="K240" s="3" t="s">
        <v>640</v>
      </c>
      <c r="L240" s="3" t="s">
        <v>448</v>
      </c>
      <c r="M240" s="3" t="s">
        <v>14</v>
      </c>
      <c r="N240">
        <v>-4000000</v>
      </c>
      <c r="O240">
        <v>105.84</v>
      </c>
      <c r="Q240">
        <v>0</v>
      </c>
      <c r="R240">
        <v>-112</v>
      </c>
      <c r="S240" s="3" t="s">
        <v>640</v>
      </c>
      <c r="T240">
        <v>0</v>
      </c>
      <c r="U240">
        <v>0</v>
      </c>
      <c r="V240">
        <v>0</v>
      </c>
      <c r="W240">
        <v>0</v>
      </c>
      <c r="X240">
        <v>4233583</v>
      </c>
      <c r="Y240" s="3" t="s">
        <v>640</v>
      </c>
      <c r="Z240">
        <v>105.84</v>
      </c>
      <c r="AA240">
        <v>-4000000</v>
      </c>
      <c r="AB240" s="3" t="s">
        <v>449</v>
      </c>
      <c r="AC240" s="3" t="s">
        <v>10</v>
      </c>
      <c r="AD240">
        <v>0</v>
      </c>
      <c r="AE240">
        <v>0</v>
      </c>
      <c r="AF240" s="3" t="s">
        <v>640</v>
      </c>
    </row>
    <row r="241" spans="1:32" x14ac:dyDescent="0.35">
      <c r="A241" s="3" t="s">
        <v>608</v>
      </c>
      <c r="B241" s="3" t="s">
        <v>608</v>
      </c>
      <c r="C241" s="3" t="s">
        <v>608</v>
      </c>
      <c r="D241" s="3" t="s">
        <v>608</v>
      </c>
      <c r="E241" s="3" t="s">
        <v>608</v>
      </c>
      <c r="F241" s="3" t="s">
        <v>640</v>
      </c>
      <c r="G241" s="3" t="s">
        <v>458</v>
      </c>
      <c r="H241" s="3" t="s">
        <v>458</v>
      </c>
      <c r="I241" s="3" t="s">
        <v>640</v>
      </c>
      <c r="J241" s="3" t="s">
        <v>283</v>
      </c>
      <c r="K241" s="3" t="s">
        <v>640</v>
      </c>
      <c r="L241" s="3" t="s">
        <v>448</v>
      </c>
      <c r="M241" s="3" t="s">
        <v>14</v>
      </c>
      <c r="N241">
        <v>-200000</v>
      </c>
      <c r="O241">
        <v>87.355000000000004</v>
      </c>
      <c r="Q241">
        <v>0</v>
      </c>
      <c r="R241">
        <v>-1</v>
      </c>
      <c r="S241" s="3" t="s">
        <v>640</v>
      </c>
      <c r="T241">
        <v>0</v>
      </c>
      <c r="U241">
        <v>0</v>
      </c>
      <c r="V241">
        <v>0</v>
      </c>
      <c r="W241">
        <v>0</v>
      </c>
      <c r="X241">
        <v>195113</v>
      </c>
      <c r="Y241" s="3" t="s">
        <v>640</v>
      </c>
      <c r="Z241">
        <v>87.355000000000004</v>
      </c>
      <c r="AA241">
        <v>-200000</v>
      </c>
      <c r="AB241" s="3" t="s">
        <v>449</v>
      </c>
      <c r="AC241" s="3" t="s">
        <v>10</v>
      </c>
      <c r="AD241">
        <v>0</v>
      </c>
      <c r="AE241">
        <v>0</v>
      </c>
      <c r="AF241" s="3" t="s">
        <v>640</v>
      </c>
    </row>
    <row r="242" spans="1:32" x14ac:dyDescent="0.35">
      <c r="A242" s="3" t="s">
        <v>608</v>
      </c>
      <c r="B242" s="3" t="s">
        <v>608</v>
      </c>
      <c r="C242" s="3" t="s">
        <v>608</v>
      </c>
      <c r="D242" s="3" t="s">
        <v>608</v>
      </c>
      <c r="E242" s="3" t="s">
        <v>608</v>
      </c>
      <c r="F242" s="3" t="s">
        <v>640</v>
      </c>
      <c r="G242" s="3" t="s">
        <v>1641</v>
      </c>
      <c r="H242" s="3" t="s">
        <v>1641</v>
      </c>
      <c r="I242" s="3" t="s">
        <v>640</v>
      </c>
      <c r="J242" s="3" t="s">
        <v>4</v>
      </c>
      <c r="K242" s="3" t="s">
        <v>640</v>
      </c>
      <c r="L242" s="3" t="s">
        <v>448</v>
      </c>
      <c r="M242" s="3" t="s">
        <v>14</v>
      </c>
      <c r="N242">
        <v>-3000000</v>
      </c>
      <c r="O242">
        <v>109.364</v>
      </c>
      <c r="Q242">
        <v>0</v>
      </c>
      <c r="R242">
        <v>-87</v>
      </c>
      <c r="S242" s="3" t="s">
        <v>640</v>
      </c>
      <c r="T242">
        <v>0</v>
      </c>
      <c r="U242">
        <v>0</v>
      </c>
      <c r="V242">
        <v>0</v>
      </c>
      <c r="W242">
        <v>0</v>
      </c>
      <c r="X242">
        <v>3280932</v>
      </c>
      <c r="Y242" s="3" t="s">
        <v>640</v>
      </c>
      <c r="Z242">
        <v>109.364</v>
      </c>
      <c r="AA242">
        <v>-3000000</v>
      </c>
      <c r="AB242" s="3" t="s">
        <v>449</v>
      </c>
      <c r="AC242" s="3" t="s">
        <v>10</v>
      </c>
      <c r="AD242">
        <v>0</v>
      </c>
      <c r="AE242">
        <v>0</v>
      </c>
      <c r="AF242" s="3" t="s">
        <v>640</v>
      </c>
    </row>
    <row r="243" spans="1:32" x14ac:dyDescent="0.35">
      <c r="A243" s="3" t="s">
        <v>608</v>
      </c>
      <c r="B243" s="3" t="s">
        <v>608</v>
      </c>
      <c r="C243" s="3" t="s">
        <v>608</v>
      </c>
      <c r="D243" s="3" t="s">
        <v>608</v>
      </c>
      <c r="E243" s="3" t="s">
        <v>608</v>
      </c>
      <c r="F243" s="3" t="s">
        <v>640</v>
      </c>
      <c r="G243" s="3" t="s">
        <v>459</v>
      </c>
      <c r="H243" s="3" t="s">
        <v>459</v>
      </c>
      <c r="I243" s="3" t="s">
        <v>640</v>
      </c>
      <c r="J243" s="3" t="s">
        <v>4</v>
      </c>
      <c r="K243" s="3" t="s">
        <v>640</v>
      </c>
      <c r="L243" s="3" t="s">
        <v>448</v>
      </c>
      <c r="M243" s="3" t="s">
        <v>14</v>
      </c>
      <c r="N243">
        <v>-1300000</v>
      </c>
      <c r="O243">
        <v>107.764</v>
      </c>
      <c r="Q243">
        <v>0</v>
      </c>
      <c r="R243">
        <v>-37</v>
      </c>
      <c r="S243" s="3" t="s">
        <v>640</v>
      </c>
      <c r="T243">
        <v>0</v>
      </c>
      <c r="U243">
        <v>0</v>
      </c>
      <c r="V243">
        <v>0</v>
      </c>
      <c r="W243">
        <v>0</v>
      </c>
      <c r="X243">
        <v>1400935</v>
      </c>
      <c r="Y243" s="3" t="s">
        <v>640</v>
      </c>
      <c r="Z243">
        <v>107.764</v>
      </c>
      <c r="AA243">
        <v>-1300000</v>
      </c>
      <c r="AB243" s="3" t="s">
        <v>449</v>
      </c>
      <c r="AC243" s="3" t="s">
        <v>10</v>
      </c>
      <c r="AD243">
        <v>0</v>
      </c>
      <c r="AE243">
        <v>0</v>
      </c>
      <c r="AF243" s="3" t="s">
        <v>640</v>
      </c>
    </row>
    <row r="244" spans="1:32" x14ac:dyDescent="0.35">
      <c r="A244" s="3" t="s">
        <v>608</v>
      </c>
      <c r="B244" s="3" t="s">
        <v>608</v>
      </c>
      <c r="C244" s="3" t="s">
        <v>608</v>
      </c>
      <c r="D244" s="3" t="s">
        <v>608</v>
      </c>
      <c r="E244" s="3" t="s">
        <v>608</v>
      </c>
      <c r="F244" s="3" t="s">
        <v>640</v>
      </c>
      <c r="G244" s="3" t="s">
        <v>920</v>
      </c>
      <c r="H244" s="3" t="s">
        <v>920</v>
      </c>
      <c r="I244" s="3" t="s">
        <v>640</v>
      </c>
      <c r="J244" s="3" t="s">
        <v>4</v>
      </c>
      <c r="K244" s="3" t="s">
        <v>640</v>
      </c>
      <c r="L244" s="3" t="s">
        <v>448</v>
      </c>
      <c r="M244" s="3" t="s">
        <v>14</v>
      </c>
      <c r="N244">
        <v>0</v>
      </c>
      <c r="O244">
        <v>106.508</v>
      </c>
      <c r="Q244">
        <v>0</v>
      </c>
      <c r="R244">
        <v>-87</v>
      </c>
      <c r="S244" s="3" t="s">
        <v>640</v>
      </c>
      <c r="T244">
        <v>0</v>
      </c>
      <c r="U244">
        <v>0</v>
      </c>
      <c r="V244">
        <v>0</v>
      </c>
      <c r="W244">
        <v>0</v>
      </c>
      <c r="X244">
        <v>0</v>
      </c>
      <c r="Y244" s="3" t="s">
        <v>640</v>
      </c>
      <c r="Z244">
        <v>105.43899999999999</v>
      </c>
      <c r="AA244">
        <v>-3098000</v>
      </c>
      <c r="AB244" s="3" t="s">
        <v>449</v>
      </c>
      <c r="AC244" s="3" t="s">
        <v>10</v>
      </c>
      <c r="AD244">
        <v>0</v>
      </c>
      <c r="AE244">
        <v>0</v>
      </c>
      <c r="AF244" s="3" t="s">
        <v>640</v>
      </c>
    </row>
    <row r="245" spans="1:32" x14ac:dyDescent="0.35">
      <c r="A245" s="3" t="s">
        <v>608</v>
      </c>
      <c r="B245" s="3" t="s">
        <v>608</v>
      </c>
      <c r="C245" s="3" t="s">
        <v>608</v>
      </c>
      <c r="D245" s="3" t="s">
        <v>608</v>
      </c>
      <c r="E245" s="3" t="s">
        <v>608</v>
      </c>
      <c r="F245" s="3" t="s">
        <v>640</v>
      </c>
      <c r="G245" s="3" t="s">
        <v>465</v>
      </c>
      <c r="H245" s="3" t="s">
        <v>465</v>
      </c>
      <c r="I245" s="3" t="s">
        <v>640</v>
      </c>
      <c r="J245" s="3" t="s">
        <v>4</v>
      </c>
      <c r="K245" s="3" t="s">
        <v>640</v>
      </c>
      <c r="L245" s="3" t="s">
        <v>448</v>
      </c>
      <c r="M245" s="3" t="s">
        <v>14</v>
      </c>
      <c r="N245">
        <v>0</v>
      </c>
      <c r="O245">
        <v>88.795000000000002</v>
      </c>
      <c r="Q245">
        <v>0</v>
      </c>
      <c r="R245">
        <v>6</v>
      </c>
      <c r="S245" s="3" t="s">
        <v>640</v>
      </c>
      <c r="T245">
        <v>0</v>
      </c>
      <c r="U245">
        <v>0</v>
      </c>
      <c r="V245">
        <v>0</v>
      </c>
      <c r="W245">
        <v>0</v>
      </c>
      <c r="X245">
        <v>0</v>
      </c>
      <c r="Y245" s="3" t="s">
        <v>640</v>
      </c>
      <c r="Z245">
        <v>88.795000000000002</v>
      </c>
      <c r="AA245">
        <v>1000000</v>
      </c>
      <c r="AB245" s="3" t="s">
        <v>449</v>
      </c>
      <c r="AC245" s="3" t="s">
        <v>10</v>
      </c>
      <c r="AD245">
        <v>0</v>
      </c>
      <c r="AE245">
        <v>0</v>
      </c>
      <c r="AF245" s="3" t="s">
        <v>640</v>
      </c>
    </row>
    <row r="246" spans="1:32" x14ac:dyDescent="0.35">
      <c r="A246" s="3" t="s">
        <v>608</v>
      </c>
      <c r="B246" s="3" t="s">
        <v>608</v>
      </c>
      <c r="C246" s="3" t="s">
        <v>608</v>
      </c>
      <c r="D246" s="3" t="s">
        <v>608</v>
      </c>
      <c r="E246" s="3" t="s">
        <v>608</v>
      </c>
      <c r="F246" s="3" t="s">
        <v>640</v>
      </c>
      <c r="G246" s="3" t="s">
        <v>517</v>
      </c>
      <c r="H246" s="3" t="s">
        <v>517</v>
      </c>
      <c r="I246" s="3" t="s">
        <v>640</v>
      </c>
      <c r="J246" s="3" t="s">
        <v>4</v>
      </c>
      <c r="K246" s="3" t="s">
        <v>640</v>
      </c>
      <c r="L246" s="3" t="s">
        <v>448</v>
      </c>
      <c r="M246" s="3" t="s">
        <v>14</v>
      </c>
      <c r="N246">
        <v>-1400000</v>
      </c>
      <c r="O246">
        <v>110.98399999999999</v>
      </c>
      <c r="Q246">
        <v>0</v>
      </c>
      <c r="R246">
        <v>-41</v>
      </c>
      <c r="S246" s="3" t="s">
        <v>640</v>
      </c>
      <c r="T246">
        <v>0</v>
      </c>
      <c r="U246">
        <v>0</v>
      </c>
      <c r="V246">
        <v>0</v>
      </c>
      <c r="W246">
        <v>0</v>
      </c>
      <c r="X246">
        <v>1553771</v>
      </c>
      <c r="Y246" s="3" t="s">
        <v>640</v>
      </c>
      <c r="Z246">
        <v>110.98399999999999</v>
      </c>
      <c r="AA246">
        <v>-1400000</v>
      </c>
      <c r="AB246" s="3" t="s">
        <v>449</v>
      </c>
      <c r="AC246" s="3" t="s">
        <v>10</v>
      </c>
      <c r="AD246">
        <v>0</v>
      </c>
      <c r="AE246">
        <v>0</v>
      </c>
      <c r="AF246" s="3" t="s">
        <v>640</v>
      </c>
    </row>
    <row r="247" spans="1:32" x14ac:dyDescent="0.35">
      <c r="A247" s="3" t="s">
        <v>608</v>
      </c>
      <c r="B247" s="3" t="s">
        <v>608</v>
      </c>
      <c r="C247" s="3" t="s">
        <v>608</v>
      </c>
      <c r="D247" s="3" t="s">
        <v>608</v>
      </c>
      <c r="E247" s="3" t="s">
        <v>608</v>
      </c>
      <c r="F247" s="3" t="s">
        <v>640</v>
      </c>
      <c r="G247" s="3" t="s">
        <v>466</v>
      </c>
      <c r="H247" s="3" t="s">
        <v>466</v>
      </c>
      <c r="I247" s="3" t="s">
        <v>640</v>
      </c>
      <c r="J247" s="3" t="s">
        <v>4</v>
      </c>
      <c r="K247" s="3" t="s">
        <v>640</v>
      </c>
      <c r="L247" s="3" t="s">
        <v>448</v>
      </c>
      <c r="M247" s="3" t="s">
        <v>14</v>
      </c>
      <c r="N247">
        <v>-500000</v>
      </c>
      <c r="O247">
        <v>112.46</v>
      </c>
      <c r="Q247">
        <v>0</v>
      </c>
      <c r="R247">
        <v>-104</v>
      </c>
      <c r="S247" s="3" t="s">
        <v>640</v>
      </c>
      <c r="T247">
        <v>0</v>
      </c>
      <c r="U247">
        <v>0</v>
      </c>
      <c r="V247">
        <v>0</v>
      </c>
      <c r="W247">
        <v>0</v>
      </c>
      <c r="X247">
        <v>566539</v>
      </c>
      <c r="Y247" s="3" t="s">
        <v>640</v>
      </c>
      <c r="Z247">
        <v>112.54600000000001</v>
      </c>
      <c r="AA247">
        <v>-2000000</v>
      </c>
      <c r="AB247" s="3" t="s">
        <v>449</v>
      </c>
      <c r="AC247" s="3" t="s">
        <v>10</v>
      </c>
      <c r="AD247">
        <v>0</v>
      </c>
      <c r="AE247">
        <v>0</v>
      </c>
      <c r="AF247" s="3" t="s">
        <v>640</v>
      </c>
    </row>
    <row r="248" spans="1:32" x14ac:dyDescent="0.35">
      <c r="A248" s="3" t="s">
        <v>608</v>
      </c>
      <c r="B248" s="3" t="s">
        <v>608</v>
      </c>
      <c r="C248" s="3" t="s">
        <v>608</v>
      </c>
      <c r="D248" s="3" t="s">
        <v>608</v>
      </c>
      <c r="E248" s="3" t="s">
        <v>608</v>
      </c>
      <c r="F248" s="3" t="s">
        <v>640</v>
      </c>
      <c r="G248" s="3" t="s">
        <v>1392</v>
      </c>
      <c r="H248" s="3" t="s">
        <v>1392</v>
      </c>
      <c r="I248" s="3" t="s">
        <v>640</v>
      </c>
      <c r="J248" s="3" t="s">
        <v>4</v>
      </c>
      <c r="K248" s="3" t="s">
        <v>640</v>
      </c>
      <c r="L248" s="3" t="s">
        <v>448</v>
      </c>
      <c r="M248" s="3" t="s">
        <v>14</v>
      </c>
      <c r="N248">
        <v>-700000</v>
      </c>
      <c r="O248">
        <v>94.013000000000005</v>
      </c>
      <c r="Q248">
        <v>0</v>
      </c>
      <c r="R248">
        <v>-17</v>
      </c>
      <c r="S248" s="3" t="s">
        <v>640</v>
      </c>
      <c r="T248">
        <v>0</v>
      </c>
      <c r="U248">
        <v>0</v>
      </c>
      <c r="V248">
        <v>0</v>
      </c>
      <c r="W248">
        <v>0</v>
      </c>
      <c r="X248">
        <v>659165</v>
      </c>
      <c r="Y248" s="3" t="s">
        <v>640</v>
      </c>
      <c r="Z248">
        <v>94.013000000000005</v>
      </c>
      <c r="AA248">
        <v>-700000</v>
      </c>
      <c r="AB248" s="3" t="s">
        <v>449</v>
      </c>
      <c r="AC248" s="3" t="s">
        <v>10</v>
      </c>
      <c r="AD248">
        <v>0</v>
      </c>
      <c r="AE248">
        <v>0</v>
      </c>
      <c r="AF248" s="3" t="s">
        <v>640</v>
      </c>
    </row>
    <row r="249" spans="1:32" x14ac:dyDescent="0.35">
      <c r="A249" s="3" t="s">
        <v>608</v>
      </c>
      <c r="B249" s="3" t="s">
        <v>608</v>
      </c>
      <c r="C249" s="3" t="s">
        <v>608</v>
      </c>
      <c r="D249" s="3" t="s">
        <v>608</v>
      </c>
      <c r="E249" s="3" t="s">
        <v>608</v>
      </c>
      <c r="F249" s="3" t="s">
        <v>640</v>
      </c>
      <c r="G249" s="3" t="s">
        <v>546</v>
      </c>
      <c r="H249" s="3" t="s">
        <v>546</v>
      </c>
      <c r="I249" s="3" t="s">
        <v>640</v>
      </c>
      <c r="J249" s="3" t="s">
        <v>4</v>
      </c>
      <c r="K249" s="3" t="s">
        <v>640</v>
      </c>
      <c r="L249" s="3" t="s">
        <v>448</v>
      </c>
      <c r="M249" s="3" t="s">
        <v>14</v>
      </c>
      <c r="N249">
        <v>-3000000</v>
      </c>
      <c r="O249">
        <v>104.17</v>
      </c>
      <c r="Q249">
        <v>0</v>
      </c>
      <c r="R249">
        <v>-82</v>
      </c>
      <c r="S249" s="3" t="s">
        <v>640</v>
      </c>
      <c r="T249">
        <v>0</v>
      </c>
      <c r="U249">
        <v>0</v>
      </c>
      <c r="V249">
        <v>0</v>
      </c>
      <c r="W249">
        <v>0</v>
      </c>
      <c r="X249">
        <v>3125088</v>
      </c>
      <c r="Y249" s="3" t="s">
        <v>640</v>
      </c>
      <c r="Z249">
        <v>104.17</v>
      </c>
      <c r="AA249">
        <v>-3000000</v>
      </c>
      <c r="AB249" s="3" t="s">
        <v>449</v>
      </c>
      <c r="AC249" s="3" t="s">
        <v>10</v>
      </c>
      <c r="AD249">
        <v>0</v>
      </c>
      <c r="AE249">
        <v>0</v>
      </c>
      <c r="AF249" s="3" t="s">
        <v>640</v>
      </c>
    </row>
    <row r="250" spans="1:32" x14ac:dyDescent="0.35">
      <c r="A250" s="3" t="s">
        <v>608</v>
      </c>
      <c r="B250" s="3" t="s">
        <v>608</v>
      </c>
      <c r="C250" s="3" t="s">
        <v>608</v>
      </c>
      <c r="D250" s="3" t="s">
        <v>608</v>
      </c>
      <c r="E250" s="3" t="s">
        <v>608</v>
      </c>
      <c r="F250" s="3" t="s">
        <v>640</v>
      </c>
      <c r="G250" s="3" t="s">
        <v>467</v>
      </c>
      <c r="H250" s="3" t="s">
        <v>467</v>
      </c>
      <c r="I250" s="3" t="s">
        <v>640</v>
      </c>
      <c r="J250" s="3" t="s">
        <v>4</v>
      </c>
      <c r="K250" s="3" t="s">
        <v>640</v>
      </c>
      <c r="L250" s="3" t="s">
        <v>448</v>
      </c>
      <c r="M250" s="3" t="s">
        <v>14</v>
      </c>
      <c r="N250">
        <v>-2300000</v>
      </c>
      <c r="O250">
        <v>109.428</v>
      </c>
      <c r="Q250">
        <v>0</v>
      </c>
      <c r="R250">
        <v>-66</v>
      </c>
      <c r="S250" s="3" t="s">
        <v>640</v>
      </c>
      <c r="T250">
        <v>0</v>
      </c>
      <c r="U250">
        <v>0</v>
      </c>
      <c r="V250">
        <v>0</v>
      </c>
      <c r="W250">
        <v>0</v>
      </c>
      <c r="X250">
        <v>2510841</v>
      </c>
      <c r="Y250" s="3" t="s">
        <v>640</v>
      </c>
      <c r="Z250">
        <v>109.428</v>
      </c>
      <c r="AA250">
        <v>-2300000</v>
      </c>
      <c r="AB250" s="3" t="s">
        <v>449</v>
      </c>
      <c r="AC250" s="3" t="s">
        <v>10</v>
      </c>
      <c r="AD250">
        <v>0</v>
      </c>
      <c r="AE250">
        <v>0</v>
      </c>
      <c r="AF250" s="3" t="s">
        <v>640</v>
      </c>
    </row>
    <row r="251" spans="1:32" x14ac:dyDescent="0.35">
      <c r="A251" s="3" t="s">
        <v>608</v>
      </c>
      <c r="B251" s="3" t="s">
        <v>608</v>
      </c>
      <c r="C251" s="3" t="s">
        <v>608</v>
      </c>
      <c r="D251" s="3" t="s">
        <v>608</v>
      </c>
      <c r="E251" s="3" t="s">
        <v>608</v>
      </c>
      <c r="F251" s="3" t="s">
        <v>640</v>
      </c>
      <c r="G251" s="3" t="s">
        <v>521</v>
      </c>
      <c r="H251" s="3" t="s">
        <v>521</v>
      </c>
      <c r="I251" s="3" t="s">
        <v>640</v>
      </c>
      <c r="J251" s="3" t="s">
        <v>4</v>
      </c>
      <c r="K251" s="3" t="s">
        <v>640</v>
      </c>
      <c r="L251" s="3" t="s">
        <v>448</v>
      </c>
      <c r="M251" s="3" t="s">
        <v>14</v>
      </c>
      <c r="N251">
        <v>-1565000</v>
      </c>
      <c r="O251">
        <v>101.015</v>
      </c>
      <c r="Q251">
        <v>0</v>
      </c>
      <c r="R251">
        <v>-42</v>
      </c>
      <c r="S251" s="3" t="s">
        <v>640</v>
      </c>
      <c r="T251">
        <v>0</v>
      </c>
      <c r="U251">
        <v>0</v>
      </c>
      <c r="V251">
        <v>0</v>
      </c>
      <c r="W251">
        <v>0</v>
      </c>
      <c r="X251">
        <v>1581576</v>
      </c>
      <c r="Y251" s="3" t="s">
        <v>640</v>
      </c>
      <c r="Z251">
        <v>101.015</v>
      </c>
      <c r="AA251">
        <v>-1565000</v>
      </c>
      <c r="AB251" s="3" t="s">
        <v>449</v>
      </c>
      <c r="AC251" s="3" t="s">
        <v>10</v>
      </c>
      <c r="AD251">
        <v>0</v>
      </c>
      <c r="AE251">
        <v>0</v>
      </c>
      <c r="AF251" s="3" t="s">
        <v>640</v>
      </c>
    </row>
    <row r="252" spans="1:32" x14ac:dyDescent="0.35">
      <c r="A252" s="3" t="s">
        <v>608</v>
      </c>
      <c r="B252" s="3" t="s">
        <v>608</v>
      </c>
      <c r="C252" s="3" t="s">
        <v>608</v>
      </c>
      <c r="D252" s="3" t="s">
        <v>608</v>
      </c>
      <c r="E252" s="3" t="s">
        <v>608</v>
      </c>
      <c r="F252" s="3" t="s">
        <v>640</v>
      </c>
      <c r="G252" s="3" t="s">
        <v>547</v>
      </c>
      <c r="H252" s="3" t="s">
        <v>547</v>
      </c>
      <c r="I252" s="3" t="s">
        <v>640</v>
      </c>
      <c r="J252" s="3" t="s">
        <v>4</v>
      </c>
      <c r="K252" s="3" t="s">
        <v>640</v>
      </c>
      <c r="L252" s="3" t="s">
        <v>448</v>
      </c>
      <c r="M252" s="3" t="s">
        <v>14</v>
      </c>
      <c r="N252">
        <v>5000000</v>
      </c>
      <c r="O252">
        <v>96.055000000000007</v>
      </c>
      <c r="Q252">
        <v>0</v>
      </c>
      <c r="R252">
        <v>33</v>
      </c>
      <c r="S252" s="3" t="s">
        <v>640</v>
      </c>
      <c r="T252">
        <v>0</v>
      </c>
      <c r="U252">
        <v>0</v>
      </c>
      <c r="V252">
        <v>0</v>
      </c>
      <c r="W252">
        <v>0</v>
      </c>
      <c r="X252">
        <v>-4802728</v>
      </c>
      <c r="Y252" s="3" t="s">
        <v>640</v>
      </c>
      <c r="Z252">
        <v>96.055000000000007</v>
      </c>
      <c r="AA252">
        <v>5000000</v>
      </c>
      <c r="AB252" s="3" t="s">
        <v>449</v>
      </c>
      <c r="AC252" s="3" t="s">
        <v>10</v>
      </c>
      <c r="AD252">
        <v>0</v>
      </c>
      <c r="AE252">
        <v>0</v>
      </c>
      <c r="AF252" s="3" t="s">
        <v>640</v>
      </c>
    </row>
    <row r="253" spans="1:32" x14ac:dyDescent="0.35">
      <c r="A253" s="3" t="s">
        <v>608</v>
      </c>
      <c r="B253" s="3" t="s">
        <v>608</v>
      </c>
      <c r="C253" s="3" t="s">
        <v>608</v>
      </c>
      <c r="D253" s="3" t="s">
        <v>608</v>
      </c>
      <c r="E253" s="3" t="s">
        <v>608</v>
      </c>
      <c r="F253" s="3" t="s">
        <v>640</v>
      </c>
      <c r="G253" s="3" t="s">
        <v>450</v>
      </c>
      <c r="H253" s="3" t="s">
        <v>450</v>
      </c>
      <c r="I253" s="3" t="s">
        <v>640</v>
      </c>
      <c r="J253" s="3" t="s">
        <v>4</v>
      </c>
      <c r="K253" s="3" t="s">
        <v>640</v>
      </c>
      <c r="L253" s="3" t="s">
        <v>448</v>
      </c>
      <c r="M253" s="3" t="s">
        <v>14</v>
      </c>
      <c r="N253">
        <v>0</v>
      </c>
      <c r="O253">
        <v>88.477999999999994</v>
      </c>
      <c r="Q253">
        <v>0</v>
      </c>
      <c r="R253">
        <v>17</v>
      </c>
      <c r="S253" s="3" t="s">
        <v>640</v>
      </c>
      <c r="T253">
        <v>0</v>
      </c>
      <c r="U253">
        <v>0</v>
      </c>
      <c r="V253">
        <v>0</v>
      </c>
      <c r="W253">
        <v>0</v>
      </c>
      <c r="X253">
        <v>0</v>
      </c>
      <c r="Y253" s="3" t="s">
        <v>640</v>
      </c>
      <c r="Z253">
        <v>88.477999999999994</v>
      </c>
      <c r="AA253">
        <v>2700000</v>
      </c>
      <c r="AB253" s="3" t="s">
        <v>449</v>
      </c>
      <c r="AC253" s="3" t="s">
        <v>10</v>
      </c>
      <c r="AD253">
        <v>0</v>
      </c>
      <c r="AE253">
        <v>0</v>
      </c>
      <c r="AF253" s="3" t="s">
        <v>640</v>
      </c>
    </row>
    <row r="254" spans="1:32" x14ac:dyDescent="0.35">
      <c r="A254" s="3" t="s">
        <v>608</v>
      </c>
      <c r="B254" s="3" t="s">
        <v>608</v>
      </c>
      <c r="C254" s="3" t="s">
        <v>608</v>
      </c>
      <c r="D254" s="3" t="s">
        <v>608</v>
      </c>
      <c r="E254" s="3" t="s">
        <v>608</v>
      </c>
      <c r="F254" s="3" t="s">
        <v>640</v>
      </c>
      <c r="G254" s="3" t="s">
        <v>1415</v>
      </c>
      <c r="H254" s="3" t="s">
        <v>1415</v>
      </c>
      <c r="I254" s="3" t="s">
        <v>640</v>
      </c>
      <c r="J254" s="3" t="s">
        <v>4</v>
      </c>
      <c r="K254" s="3" t="s">
        <v>640</v>
      </c>
      <c r="L254" s="3" t="s">
        <v>448</v>
      </c>
      <c r="M254" s="3" t="s">
        <v>14</v>
      </c>
      <c r="N254">
        <v>1004000</v>
      </c>
      <c r="O254">
        <v>77.561999999999998</v>
      </c>
      <c r="Q254">
        <v>0</v>
      </c>
      <c r="R254">
        <v>5</v>
      </c>
      <c r="S254" s="3" t="s">
        <v>640</v>
      </c>
      <c r="T254">
        <v>0</v>
      </c>
      <c r="U254">
        <v>0</v>
      </c>
      <c r="V254">
        <v>0</v>
      </c>
      <c r="W254">
        <v>0</v>
      </c>
      <c r="X254">
        <v>-778724</v>
      </c>
      <c r="Y254" s="3" t="s">
        <v>640</v>
      </c>
      <c r="Z254">
        <v>77.561999999999998</v>
      </c>
      <c r="AA254">
        <v>1004000</v>
      </c>
      <c r="AB254" s="3" t="s">
        <v>449</v>
      </c>
      <c r="AC254" s="3" t="s">
        <v>10</v>
      </c>
      <c r="AD254">
        <v>0</v>
      </c>
      <c r="AE254">
        <v>0</v>
      </c>
      <c r="AF254" s="3" t="s">
        <v>640</v>
      </c>
    </row>
    <row r="255" spans="1:32" x14ac:dyDescent="0.35">
      <c r="A255" s="3" t="s">
        <v>608</v>
      </c>
      <c r="B255" s="3" t="s">
        <v>608</v>
      </c>
      <c r="C255" s="3" t="s">
        <v>608</v>
      </c>
      <c r="D255" s="3" t="s">
        <v>608</v>
      </c>
      <c r="E255" s="3" t="s">
        <v>608</v>
      </c>
      <c r="F255" s="3" t="s">
        <v>640</v>
      </c>
      <c r="G255" s="3" t="s">
        <v>501</v>
      </c>
      <c r="H255" s="3" t="s">
        <v>501</v>
      </c>
      <c r="I255" s="3" t="s">
        <v>640</v>
      </c>
      <c r="J255" s="3" t="s">
        <v>4</v>
      </c>
      <c r="K255" s="3" t="s">
        <v>640</v>
      </c>
      <c r="L255" s="3" t="s">
        <v>448</v>
      </c>
      <c r="M255" s="3" t="s">
        <v>14</v>
      </c>
      <c r="N255">
        <v>0</v>
      </c>
      <c r="O255">
        <v>81.66</v>
      </c>
      <c r="Q255">
        <v>0</v>
      </c>
      <c r="R255">
        <v>26</v>
      </c>
      <c r="S255" s="3" t="s">
        <v>640</v>
      </c>
      <c r="T255">
        <v>0</v>
      </c>
      <c r="U255">
        <v>0</v>
      </c>
      <c r="V255">
        <v>0</v>
      </c>
      <c r="W255">
        <v>0</v>
      </c>
      <c r="X255">
        <v>0</v>
      </c>
      <c r="Y255" s="3" t="s">
        <v>640</v>
      </c>
      <c r="Z255">
        <v>81.66</v>
      </c>
      <c r="AA255">
        <v>4500000</v>
      </c>
      <c r="AB255" s="3" t="s">
        <v>449</v>
      </c>
      <c r="AC255" s="3" t="s">
        <v>10</v>
      </c>
      <c r="AD255">
        <v>0</v>
      </c>
      <c r="AE255">
        <v>0</v>
      </c>
      <c r="AF255" s="3" t="s">
        <v>640</v>
      </c>
    </row>
    <row r="256" spans="1:32" x14ac:dyDescent="0.35">
      <c r="A256" s="3" t="s">
        <v>608</v>
      </c>
      <c r="B256" s="3" t="s">
        <v>608</v>
      </c>
      <c r="C256" s="3" t="s">
        <v>608</v>
      </c>
      <c r="D256" s="3" t="s">
        <v>608</v>
      </c>
      <c r="E256" s="3" t="s">
        <v>608</v>
      </c>
      <c r="F256" s="3" t="s">
        <v>640</v>
      </c>
      <c r="G256" s="3" t="s">
        <v>1362</v>
      </c>
      <c r="H256" s="3" t="s">
        <v>1362</v>
      </c>
      <c r="I256" s="3" t="s">
        <v>640</v>
      </c>
      <c r="J256" s="3" t="s">
        <v>4</v>
      </c>
      <c r="K256" s="3" t="s">
        <v>640</v>
      </c>
      <c r="L256" s="3" t="s">
        <v>448</v>
      </c>
      <c r="M256" s="3" t="s">
        <v>14</v>
      </c>
      <c r="N256">
        <v>0</v>
      </c>
      <c r="O256">
        <v>102.399</v>
      </c>
      <c r="Q256">
        <v>0</v>
      </c>
      <c r="R256">
        <v>-97</v>
      </c>
      <c r="S256" s="3" t="s">
        <v>640</v>
      </c>
      <c r="T256">
        <v>0</v>
      </c>
      <c r="U256">
        <v>0</v>
      </c>
      <c r="V256">
        <v>0</v>
      </c>
      <c r="W256">
        <v>0</v>
      </c>
      <c r="X256">
        <v>0</v>
      </c>
      <c r="Y256" s="3" t="s">
        <v>640</v>
      </c>
      <c r="Z256">
        <v>102.622</v>
      </c>
      <c r="AA256">
        <v>-3600000</v>
      </c>
      <c r="AB256" s="3" t="s">
        <v>449</v>
      </c>
      <c r="AC256" s="3" t="s">
        <v>10</v>
      </c>
      <c r="AD256">
        <v>0</v>
      </c>
      <c r="AE256">
        <v>0</v>
      </c>
      <c r="AF256" s="3" t="s">
        <v>640</v>
      </c>
    </row>
    <row r="257" spans="1:32" x14ac:dyDescent="0.35">
      <c r="A257" s="3" t="s">
        <v>608</v>
      </c>
      <c r="B257" s="3" t="s">
        <v>608</v>
      </c>
      <c r="C257" s="3" t="s">
        <v>608</v>
      </c>
      <c r="D257" s="3" t="s">
        <v>608</v>
      </c>
      <c r="E257" s="3" t="s">
        <v>608</v>
      </c>
      <c r="F257" s="3" t="s">
        <v>640</v>
      </c>
      <c r="G257" s="3" t="s">
        <v>912</v>
      </c>
      <c r="H257" s="3" t="s">
        <v>912</v>
      </c>
      <c r="I257" s="3" t="s">
        <v>640</v>
      </c>
      <c r="J257" s="3" t="s">
        <v>266</v>
      </c>
      <c r="K257" s="3" t="s">
        <v>640</v>
      </c>
      <c r="L257" s="3" t="s">
        <v>448</v>
      </c>
      <c r="M257" s="3" t="s">
        <v>14</v>
      </c>
      <c r="N257">
        <v>250000</v>
      </c>
      <c r="O257">
        <v>80.103999999999999</v>
      </c>
      <c r="Q257">
        <v>0</v>
      </c>
      <c r="R257">
        <v>-2</v>
      </c>
      <c r="S257" s="3" t="s">
        <v>640</v>
      </c>
      <c r="T257">
        <v>0</v>
      </c>
      <c r="U257">
        <v>0</v>
      </c>
      <c r="V257">
        <v>0</v>
      </c>
      <c r="W257">
        <v>0</v>
      </c>
      <c r="X257">
        <v>-168854</v>
      </c>
      <c r="Y257" s="3" t="s">
        <v>640</v>
      </c>
      <c r="Z257">
        <v>80.103999999999999</v>
      </c>
      <c r="AA257">
        <v>250000</v>
      </c>
      <c r="AB257" s="3" t="s">
        <v>449</v>
      </c>
      <c r="AC257" s="3" t="s">
        <v>10</v>
      </c>
      <c r="AD257">
        <v>0</v>
      </c>
      <c r="AE257">
        <v>0</v>
      </c>
      <c r="AF257" s="3" t="s">
        <v>640</v>
      </c>
    </row>
    <row r="258" spans="1:32" x14ac:dyDescent="0.35">
      <c r="A258" s="3" t="s">
        <v>608</v>
      </c>
      <c r="B258" s="3" t="s">
        <v>608</v>
      </c>
      <c r="C258" s="3" t="s">
        <v>608</v>
      </c>
      <c r="D258" s="3" t="s">
        <v>608</v>
      </c>
      <c r="E258" s="3" t="s">
        <v>608</v>
      </c>
      <c r="F258" s="3" t="s">
        <v>640</v>
      </c>
      <c r="G258" s="3" t="s">
        <v>592</v>
      </c>
      <c r="H258" s="3" t="s">
        <v>592</v>
      </c>
      <c r="I258" s="3" t="s">
        <v>640</v>
      </c>
      <c r="J258" s="3" t="s">
        <v>4</v>
      </c>
      <c r="K258" s="3" t="s">
        <v>640</v>
      </c>
      <c r="L258" s="3" t="s">
        <v>448</v>
      </c>
      <c r="M258" s="3" t="s">
        <v>14</v>
      </c>
      <c r="N258">
        <v>-3000000</v>
      </c>
      <c r="O258">
        <v>119.152</v>
      </c>
      <c r="Q258">
        <v>0</v>
      </c>
      <c r="R258">
        <v>-94</v>
      </c>
      <c r="S258" s="3" t="s">
        <v>640</v>
      </c>
      <c r="T258">
        <v>0</v>
      </c>
      <c r="U258">
        <v>0</v>
      </c>
      <c r="V258">
        <v>0</v>
      </c>
      <c r="W258">
        <v>0</v>
      </c>
      <c r="X258">
        <v>3571021</v>
      </c>
      <c r="Y258" s="3" t="s">
        <v>640</v>
      </c>
      <c r="Z258">
        <v>119.152</v>
      </c>
      <c r="AA258">
        <v>-3000000</v>
      </c>
      <c r="AB258" s="3" t="s">
        <v>449</v>
      </c>
      <c r="AC258" s="3" t="s">
        <v>10</v>
      </c>
      <c r="AD258">
        <v>0</v>
      </c>
      <c r="AE258">
        <v>0</v>
      </c>
      <c r="AF258" s="3" t="s">
        <v>640</v>
      </c>
    </row>
    <row r="259" spans="1:32" x14ac:dyDescent="0.35">
      <c r="A259" s="3" t="s">
        <v>608</v>
      </c>
      <c r="B259" s="3" t="s">
        <v>608</v>
      </c>
      <c r="C259" s="3" t="s">
        <v>608</v>
      </c>
      <c r="D259" s="3" t="s">
        <v>608</v>
      </c>
      <c r="E259" s="3" t="s">
        <v>608</v>
      </c>
      <c r="F259" s="3" t="s">
        <v>640</v>
      </c>
      <c r="G259" s="3" t="s">
        <v>471</v>
      </c>
      <c r="H259" s="3" t="s">
        <v>471</v>
      </c>
      <c r="I259" s="3" t="s">
        <v>640</v>
      </c>
      <c r="J259" s="3" t="s">
        <v>4</v>
      </c>
      <c r="K259" s="3" t="s">
        <v>640</v>
      </c>
      <c r="L259" s="3" t="s">
        <v>448</v>
      </c>
      <c r="M259" s="3" t="s">
        <v>14</v>
      </c>
      <c r="N259">
        <v>-1500000</v>
      </c>
      <c r="O259">
        <v>116.755</v>
      </c>
      <c r="Q259">
        <v>0</v>
      </c>
      <c r="R259">
        <v>-47</v>
      </c>
      <c r="S259" s="3" t="s">
        <v>640</v>
      </c>
      <c r="T259">
        <v>0</v>
      </c>
      <c r="U259">
        <v>0</v>
      </c>
      <c r="V259">
        <v>0</v>
      </c>
      <c r="W259">
        <v>0</v>
      </c>
      <c r="X259">
        <v>1788365</v>
      </c>
      <c r="Y259" s="3" t="s">
        <v>640</v>
      </c>
      <c r="Z259">
        <v>116.755</v>
      </c>
      <c r="AA259">
        <v>-1500000</v>
      </c>
      <c r="AB259" s="3" t="s">
        <v>449</v>
      </c>
      <c r="AC259" s="3" t="s">
        <v>10</v>
      </c>
      <c r="AD259">
        <v>0</v>
      </c>
      <c r="AE259">
        <v>0</v>
      </c>
      <c r="AF259" s="3" t="s">
        <v>640</v>
      </c>
    </row>
    <row r="260" spans="1:32" x14ac:dyDescent="0.35">
      <c r="A260" s="3" t="s">
        <v>608</v>
      </c>
      <c r="B260" s="3" t="s">
        <v>608</v>
      </c>
      <c r="C260" s="3" t="s">
        <v>608</v>
      </c>
      <c r="D260" s="3" t="s">
        <v>608</v>
      </c>
      <c r="E260" s="3" t="s">
        <v>608</v>
      </c>
      <c r="F260" s="3" t="s">
        <v>640</v>
      </c>
      <c r="G260" s="3" t="s">
        <v>602</v>
      </c>
      <c r="H260" s="3" t="s">
        <v>602</v>
      </c>
      <c r="I260" s="3" t="s">
        <v>640</v>
      </c>
      <c r="J260" s="3" t="s">
        <v>4</v>
      </c>
      <c r="K260" s="3" t="s">
        <v>640</v>
      </c>
      <c r="L260" s="3" t="s">
        <v>448</v>
      </c>
      <c r="M260" s="3" t="s">
        <v>14</v>
      </c>
      <c r="N260">
        <v>1000000</v>
      </c>
      <c r="O260">
        <v>78.795000000000002</v>
      </c>
      <c r="Q260">
        <v>0</v>
      </c>
      <c r="R260">
        <v>5</v>
      </c>
      <c r="S260" s="3" t="s">
        <v>640</v>
      </c>
      <c r="T260">
        <v>0</v>
      </c>
      <c r="U260">
        <v>0</v>
      </c>
      <c r="V260">
        <v>0</v>
      </c>
      <c r="W260">
        <v>0</v>
      </c>
      <c r="X260">
        <v>-787950</v>
      </c>
      <c r="Y260" s="3" t="s">
        <v>640</v>
      </c>
      <c r="Z260">
        <v>78.795000000000002</v>
      </c>
      <c r="AA260">
        <v>1000000</v>
      </c>
      <c r="AB260" s="3" t="s">
        <v>449</v>
      </c>
      <c r="AC260" s="3" t="s">
        <v>10</v>
      </c>
      <c r="AD260">
        <v>0</v>
      </c>
      <c r="AE260">
        <v>0</v>
      </c>
      <c r="AF260" s="3" t="s">
        <v>640</v>
      </c>
    </row>
    <row r="261" spans="1:32" x14ac:dyDescent="0.35">
      <c r="A261" s="3" t="s">
        <v>608</v>
      </c>
      <c r="B261" s="3" t="s">
        <v>608</v>
      </c>
      <c r="C261" s="3" t="s">
        <v>608</v>
      </c>
      <c r="D261" s="3" t="s">
        <v>608</v>
      </c>
      <c r="E261" s="3" t="s">
        <v>608</v>
      </c>
      <c r="F261" s="3" t="s">
        <v>640</v>
      </c>
      <c r="G261" s="3" t="s">
        <v>472</v>
      </c>
      <c r="H261" s="3" t="s">
        <v>472</v>
      </c>
      <c r="I261" s="3" t="s">
        <v>640</v>
      </c>
      <c r="J261" s="3" t="s">
        <v>4</v>
      </c>
      <c r="K261" s="3" t="s">
        <v>640</v>
      </c>
      <c r="L261" s="3" t="s">
        <v>448</v>
      </c>
      <c r="M261" s="3" t="s">
        <v>14</v>
      </c>
      <c r="N261">
        <v>-174000</v>
      </c>
      <c r="O261">
        <v>106.627</v>
      </c>
      <c r="Q261">
        <v>0</v>
      </c>
      <c r="R261">
        <v>-5</v>
      </c>
      <c r="S261" s="3" t="s">
        <v>640</v>
      </c>
      <c r="T261">
        <v>0</v>
      </c>
      <c r="U261">
        <v>0</v>
      </c>
      <c r="V261">
        <v>0</v>
      </c>
      <c r="W261">
        <v>0</v>
      </c>
      <c r="X261">
        <v>185325</v>
      </c>
      <c r="Y261" s="3" t="s">
        <v>640</v>
      </c>
      <c r="Z261">
        <v>106.627</v>
      </c>
      <c r="AA261">
        <v>-174000</v>
      </c>
      <c r="AB261" s="3" t="s">
        <v>449</v>
      </c>
      <c r="AC261" s="3" t="s">
        <v>10</v>
      </c>
      <c r="AD261">
        <v>0</v>
      </c>
      <c r="AE261">
        <v>0</v>
      </c>
      <c r="AF261" s="3" t="s">
        <v>640</v>
      </c>
    </row>
    <row r="262" spans="1:32" x14ac:dyDescent="0.35">
      <c r="A262" s="3" t="s">
        <v>608</v>
      </c>
      <c r="B262" s="3" t="s">
        <v>608</v>
      </c>
      <c r="C262" s="3" t="s">
        <v>608</v>
      </c>
      <c r="D262" s="3" t="s">
        <v>608</v>
      </c>
      <c r="E262" s="3" t="s">
        <v>608</v>
      </c>
      <c r="F262" s="3" t="s">
        <v>640</v>
      </c>
      <c r="G262" s="3" t="s">
        <v>1439</v>
      </c>
      <c r="H262" s="3" t="s">
        <v>1439</v>
      </c>
      <c r="I262" s="3" t="s">
        <v>640</v>
      </c>
      <c r="J262" s="3" t="s">
        <v>283</v>
      </c>
      <c r="K262" s="3" t="s">
        <v>640</v>
      </c>
      <c r="L262" s="3" t="s">
        <v>448</v>
      </c>
      <c r="M262" s="3" t="s">
        <v>14</v>
      </c>
      <c r="N262">
        <v>3181000</v>
      </c>
      <c r="O262">
        <v>84.959000000000003</v>
      </c>
      <c r="Q262">
        <v>0</v>
      </c>
      <c r="R262">
        <v>-25</v>
      </c>
      <c r="S262" s="3" t="s">
        <v>640</v>
      </c>
      <c r="T262">
        <v>0</v>
      </c>
      <c r="U262">
        <v>0</v>
      </c>
      <c r="V262">
        <v>0</v>
      </c>
      <c r="W262">
        <v>0</v>
      </c>
      <c r="X262">
        <v>-3018157</v>
      </c>
      <c r="Y262" s="3" t="s">
        <v>640</v>
      </c>
      <c r="Z262">
        <v>84.959000000000003</v>
      </c>
      <c r="AA262">
        <v>3181000</v>
      </c>
      <c r="AB262" s="3" t="s">
        <v>449</v>
      </c>
      <c r="AC262" s="3" t="s">
        <v>10</v>
      </c>
      <c r="AD262">
        <v>0</v>
      </c>
      <c r="AE262">
        <v>0</v>
      </c>
      <c r="AF262" s="3" t="s">
        <v>640</v>
      </c>
    </row>
    <row r="263" spans="1:32" x14ac:dyDescent="0.35">
      <c r="A263" s="3" t="s">
        <v>608</v>
      </c>
      <c r="B263" s="3" t="s">
        <v>608</v>
      </c>
      <c r="C263" s="3" t="s">
        <v>608</v>
      </c>
      <c r="D263" s="3" t="s">
        <v>608</v>
      </c>
      <c r="E263" s="3" t="s">
        <v>608</v>
      </c>
      <c r="F263" s="3" t="s">
        <v>640</v>
      </c>
      <c r="G263" s="3" t="s">
        <v>1001</v>
      </c>
      <c r="H263" s="3" t="s">
        <v>1001</v>
      </c>
      <c r="I263" s="3" t="s">
        <v>640</v>
      </c>
      <c r="J263" s="3" t="s">
        <v>4</v>
      </c>
      <c r="K263" s="3" t="s">
        <v>640</v>
      </c>
      <c r="L263" s="3" t="s">
        <v>448</v>
      </c>
      <c r="M263" s="3" t="s">
        <v>14</v>
      </c>
      <c r="N263">
        <v>-1840000</v>
      </c>
      <c r="O263">
        <v>108.967</v>
      </c>
      <c r="Q263">
        <v>0</v>
      </c>
      <c r="R263">
        <v>-53</v>
      </c>
      <c r="S263" s="3" t="s">
        <v>640</v>
      </c>
      <c r="T263">
        <v>0</v>
      </c>
      <c r="U263">
        <v>0</v>
      </c>
      <c r="V263">
        <v>0</v>
      </c>
      <c r="W263">
        <v>0</v>
      </c>
      <c r="X263">
        <v>2008002</v>
      </c>
      <c r="Y263" s="3" t="s">
        <v>640</v>
      </c>
      <c r="Z263">
        <v>108.967</v>
      </c>
      <c r="AA263">
        <v>-1840000</v>
      </c>
      <c r="AB263" s="3" t="s">
        <v>449</v>
      </c>
      <c r="AC263" s="3" t="s">
        <v>10</v>
      </c>
      <c r="AD263">
        <v>0</v>
      </c>
      <c r="AE263">
        <v>0</v>
      </c>
      <c r="AF263" s="3" t="s">
        <v>640</v>
      </c>
    </row>
    <row r="264" spans="1:32" x14ac:dyDescent="0.35">
      <c r="A264" s="3" t="s">
        <v>608</v>
      </c>
      <c r="B264" s="3" t="s">
        <v>608</v>
      </c>
      <c r="C264" s="3" t="s">
        <v>608</v>
      </c>
      <c r="D264" s="3" t="s">
        <v>608</v>
      </c>
      <c r="E264" s="3" t="s">
        <v>608</v>
      </c>
      <c r="F264" s="3" t="s">
        <v>640</v>
      </c>
      <c r="G264" s="3" t="s">
        <v>1256</v>
      </c>
      <c r="H264" s="3" t="s">
        <v>1256</v>
      </c>
      <c r="I264" s="3" t="s">
        <v>640</v>
      </c>
      <c r="J264" s="3" t="s">
        <v>266</v>
      </c>
      <c r="K264" s="3" t="s">
        <v>640</v>
      </c>
      <c r="L264" s="3" t="s">
        <v>448</v>
      </c>
      <c r="M264" s="3" t="s">
        <v>14</v>
      </c>
      <c r="N264">
        <v>-2275000</v>
      </c>
      <c r="O264">
        <v>110.877</v>
      </c>
      <c r="Q264">
        <v>0</v>
      </c>
      <c r="R264">
        <v>-25</v>
      </c>
      <c r="S264" s="3" t="s">
        <v>640</v>
      </c>
      <c r="T264">
        <v>0</v>
      </c>
      <c r="U264">
        <v>0</v>
      </c>
      <c r="V264">
        <v>0</v>
      </c>
      <c r="W264">
        <v>0</v>
      </c>
      <c r="X264">
        <v>2106023</v>
      </c>
      <c r="Y264" s="3" t="s">
        <v>640</v>
      </c>
      <c r="Z264">
        <v>110.877</v>
      </c>
      <c r="AA264">
        <v>-3025000</v>
      </c>
      <c r="AB264" s="3" t="s">
        <v>449</v>
      </c>
      <c r="AC264" s="3" t="s">
        <v>10</v>
      </c>
      <c r="AD264">
        <v>0</v>
      </c>
      <c r="AE264">
        <v>0</v>
      </c>
      <c r="AF264" s="3" t="s">
        <v>640</v>
      </c>
    </row>
    <row r="265" spans="1:32" x14ac:dyDescent="0.35">
      <c r="A265" s="3" t="s">
        <v>608</v>
      </c>
      <c r="B265" s="3" t="s">
        <v>608</v>
      </c>
      <c r="C265" s="3" t="s">
        <v>608</v>
      </c>
      <c r="D265" s="3" t="s">
        <v>608</v>
      </c>
      <c r="E265" s="3" t="s">
        <v>608</v>
      </c>
      <c r="F265" s="3" t="s">
        <v>640</v>
      </c>
      <c r="G265" s="3" t="s">
        <v>1334</v>
      </c>
      <c r="H265" s="3" t="s">
        <v>1334</v>
      </c>
      <c r="I265" s="3" t="s">
        <v>640</v>
      </c>
      <c r="J265" s="3" t="s">
        <v>4</v>
      </c>
      <c r="K265" s="3" t="s">
        <v>640</v>
      </c>
      <c r="L265" s="3" t="s">
        <v>448</v>
      </c>
      <c r="M265" s="3" t="s">
        <v>14</v>
      </c>
      <c r="N265">
        <v>-127000</v>
      </c>
      <c r="O265">
        <v>108.646</v>
      </c>
      <c r="Q265">
        <v>0</v>
      </c>
      <c r="R265">
        <v>-4</v>
      </c>
      <c r="S265" s="3" t="s">
        <v>640</v>
      </c>
      <c r="T265">
        <v>0</v>
      </c>
      <c r="U265">
        <v>0</v>
      </c>
      <c r="V265">
        <v>0</v>
      </c>
      <c r="W265">
        <v>0</v>
      </c>
      <c r="X265">
        <v>138977</v>
      </c>
      <c r="Y265" s="3" t="s">
        <v>640</v>
      </c>
      <c r="Z265">
        <v>108.646</v>
      </c>
      <c r="AA265">
        <v>-127000</v>
      </c>
      <c r="AB265" s="3" t="s">
        <v>449</v>
      </c>
      <c r="AC265" s="3" t="s">
        <v>10</v>
      </c>
      <c r="AD265">
        <v>0</v>
      </c>
      <c r="AE265">
        <v>0</v>
      </c>
      <c r="AF265" s="3" t="s">
        <v>640</v>
      </c>
    </row>
    <row r="266" spans="1:32" x14ac:dyDescent="0.35">
      <c r="A266" s="3" t="s">
        <v>608</v>
      </c>
      <c r="B266" s="3" t="s">
        <v>608</v>
      </c>
      <c r="C266" s="3" t="s">
        <v>608</v>
      </c>
      <c r="D266" s="3" t="s">
        <v>608</v>
      </c>
      <c r="E266" s="3" t="s">
        <v>608</v>
      </c>
      <c r="F266" s="3" t="s">
        <v>640</v>
      </c>
      <c r="G266" s="3" t="s">
        <v>544</v>
      </c>
      <c r="H266" s="3" t="s">
        <v>544</v>
      </c>
      <c r="I266" s="3" t="s">
        <v>640</v>
      </c>
      <c r="J266" s="3" t="s">
        <v>4</v>
      </c>
      <c r="K266" s="3" t="s">
        <v>640</v>
      </c>
      <c r="L266" s="3" t="s">
        <v>448</v>
      </c>
      <c r="M266" s="3" t="s">
        <v>14</v>
      </c>
      <c r="N266">
        <v>-1380000</v>
      </c>
      <c r="O266">
        <v>109.21899999999999</v>
      </c>
      <c r="Q266">
        <v>0</v>
      </c>
      <c r="R266">
        <v>-41</v>
      </c>
      <c r="S266" s="3" t="s">
        <v>640</v>
      </c>
      <c r="T266">
        <v>0</v>
      </c>
      <c r="U266">
        <v>0</v>
      </c>
      <c r="V266">
        <v>0</v>
      </c>
      <c r="W266">
        <v>0</v>
      </c>
      <c r="X266">
        <v>1502105</v>
      </c>
      <c r="Y266" s="3" t="s">
        <v>640</v>
      </c>
      <c r="Z266">
        <v>109.21899999999999</v>
      </c>
      <c r="AA266">
        <v>-1380000</v>
      </c>
      <c r="AB266" s="3" t="s">
        <v>449</v>
      </c>
      <c r="AC266" s="3" t="s">
        <v>10</v>
      </c>
      <c r="AD266">
        <v>0</v>
      </c>
      <c r="AE266">
        <v>0</v>
      </c>
      <c r="AF266" s="3" t="s">
        <v>640</v>
      </c>
    </row>
    <row r="267" spans="1:32" x14ac:dyDescent="0.35">
      <c r="A267" s="3" t="s">
        <v>608</v>
      </c>
      <c r="B267" s="3" t="s">
        <v>608</v>
      </c>
      <c r="C267" s="3" t="s">
        <v>608</v>
      </c>
      <c r="D267" s="3" t="s">
        <v>608</v>
      </c>
      <c r="E267" s="3" t="s">
        <v>608</v>
      </c>
      <c r="F267" s="3" t="s">
        <v>640</v>
      </c>
      <c r="G267" s="3" t="s">
        <v>1403</v>
      </c>
      <c r="H267" s="3" t="s">
        <v>1403</v>
      </c>
      <c r="I267" s="3" t="s">
        <v>640</v>
      </c>
      <c r="J267" s="3" t="s">
        <v>266</v>
      </c>
      <c r="K267" s="3" t="s">
        <v>640</v>
      </c>
      <c r="L267" s="3" t="s">
        <v>448</v>
      </c>
      <c r="M267" s="3" t="s">
        <v>14</v>
      </c>
      <c r="N267">
        <v>-5000000</v>
      </c>
      <c r="O267">
        <v>112.149</v>
      </c>
      <c r="Q267">
        <v>0</v>
      </c>
      <c r="R267">
        <v>-39</v>
      </c>
      <c r="S267" s="3" t="s">
        <v>640</v>
      </c>
      <c r="T267">
        <v>0</v>
      </c>
      <c r="U267">
        <v>0</v>
      </c>
      <c r="V267">
        <v>0</v>
      </c>
      <c r="W267">
        <v>0</v>
      </c>
      <c r="X267">
        <v>4728035</v>
      </c>
      <c r="Y267" s="3" t="s">
        <v>640</v>
      </c>
      <c r="Z267">
        <v>112.149</v>
      </c>
      <c r="AA267">
        <v>-5000000</v>
      </c>
      <c r="AB267" s="3" t="s">
        <v>449</v>
      </c>
      <c r="AC267" s="3" t="s">
        <v>10</v>
      </c>
      <c r="AD267">
        <v>0</v>
      </c>
      <c r="AE267">
        <v>0</v>
      </c>
      <c r="AF267" s="3" t="s">
        <v>640</v>
      </c>
    </row>
    <row r="268" spans="1:32" x14ac:dyDescent="0.35">
      <c r="A268" s="3" t="s">
        <v>608</v>
      </c>
      <c r="B268" s="3" t="s">
        <v>608</v>
      </c>
      <c r="C268" s="3" t="s">
        <v>608</v>
      </c>
      <c r="D268" s="3" t="s">
        <v>608</v>
      </c>
      <c r="E268" s="3" t="s">
        <v>608</v>
      </c>
      <c r="F268" s="3" t="s">
        <v>640</v>
      </c>
      <c r="G268" s="3" t="s">
        <v>903</v>
      </c>
      <c r="H268" s="3" t="s">
        <v>903</v>
      </c>
      <c r="I268" s="3" t="s">
        <v>640</v>
      </c>
      <c r="J268" s="3" t="s">
        <v>4</v>
      </c>
      <c r="K268" s="3" t="s">
        <v>640</v>
      </c>
      <c r="L268" s="3" t="s">
        <v>448</v>
      </c>
      <c r="M268" s="3" t="s">
        <v>14</v>
      </c>
      <c r="N268">
        <v>-3000000</v>
      </c>
      <c r="O268">
        <v>108.27200000000001</v>
      </c>
      <c r="Q268">
        <v>0</v>
      </c>
      <c r="R268">
        <v>-86</v>
      </c>
      <c r="S268" s="3" t="s">
        <v>640</v>
      </c>
      <c r="T268">
        <v>0</v>
      </c>
      <c r="U268">
        <v>0</v>
      </c>
      <c r="V268">
        <v>0</v>
      </c>
      <c r="W268">
        <v>0</v>
      </c>
      <c r="X268">
        <v>3248169</v>
      </c>
      <c r="Y268" s="3" t="s">
        <v>640</v>
      </c>
      <c r="Z268">
        <v>108.27200000000001</v>
      </c>
      <c r="AA268">
        <v>-3000000</v>
      </c>
      <c r="AB268" s="3" t="s">
        <v>449</v>
      </c>
      <c r="AC268" s="3" t="s">
        <v>10</v>
      </c>
      <c r="AD268">
        <v>0</v>
      </c>
      <c r="AE268">
        <v>0</v>
      </c>
      <c r="AF268" s="3" t="s">
        <v>640</v>
      </c>
    </row>
    <row r="269" spans="1:32" x14ac:dyDescent="0.35">
      <c r="A269" s="3" t="s">
        <v>608</v>
      </c>
      <c r="B269" s="3" t="s">
        <v>608</v>
      </c>
      <c r="C269" s="3" t="s">
        <v>608</v>
      </c>
      <c r="D269" s="3" t="s">
        <v>608</v>
      </c>
      <c r="E269" s="3" t="s">
        <v>608</v>
      </c>
      <c r="F269" s="3" t="s">
        <v>640</v>
      </c>
      <c r="G269" s="3" t="s">
        <v>497</v>
      </c>
      <c r="H269" s="3" t="s">
        <v>497</v>
      </c>
      <c r="I269" s="3" t="s">
        <v>640</v>
      </c>
      <c r="J269" s="3" t="s">
        <v>283</v>
      </c>
      <c r="K269" s="3" t="s">
        <v>640</v>
      </c>
      <c r="L269" s="3" t="s">
        <v>448</v>
      </c>
      <c r="M269" s="3" t="s">
        <v>14</v>
      </c>
      <c r="N269">
        <v>200000</v>
      </c>
      <c r="O269">
        <v>78.147999999999996</v>
      </c>
      <c r="Q269">
        <v>0</v>
      </c>
      <c r="R269">
        <v>-2</v>
      </c>
      <c r="S269" s="3" t="s">
        <v>640</v>
      </c>
      <c r="T269">
        <v>0</v>
      </c>
      <c r="U269">
        <v>0</v>
      </c>
      <c r="V269">
        <v>0</v>
      </c>
      <c r="W269">
        <v>0</v>
      </c>
      <c r="X269">
        <v>-174548</v>
      </c>
      <c r="Y269" s="3" t="s">
        <v>640</v>
      </c>
      <c r="Z269">
        <v>78.147999999999996</v>
      </c>
      <c r="AA269">
        <v>200000</v>
      </c>
      <c r="AB269" s="3" t="s">
        <v>449</v>
      </c>
      <c r="AC269" s="3" t="s">
        <v>10</v>
      </c>
      <c r="AD269">
        <v>0</v>
      </c>
      <c r="AE269">
        <v>0</v>
      </c>
      <c r="AF269" s="3" t="s">
        <v>640</v>
      </c>
    </row>
    <row r="270" spans="1:32" x14ac:dyDescent="0.35">
      <c r="A270" s="3" t="s">
        <v>608</v>
      </c>
      <c r="B270" s="3" t="s">
        <v>608</v>
      </c>
      <c r="C270" s="3" t="s">
        <v>608</v>
      </c>
      <c r="D270" s="3" t="s">
        <v>608</v>
      </c>
      <c r="E270" s="3" t="s">
        <v>608</v>
      </c>
      <c r="F270" s="3" t="s">
        <v>640</v>
      </c>
      <c r="G270" s="3" t="s">
        <v>850</v>
      </c>
      <c r="H270" s="3" t="s">
        <v>850</v>
      </c>
      <c r="I270" s="3" t="s">
        <v>640</v>
      </c>
      <c r="J270" s="3" t="s">
        <v>283</v>
      </c>
      <c r="K270" s="3" t="s">
        <v>640</v>
      </c>
      <c r="L270" s="3" t="s">
        <v>448</v>
      </c>
      <c r="M270" s="3" t="s">
        <v>14</v>
      </c>
      <c r="N270">
        <v>-4500000</v>
      </c>
      <c r="O270">
        <v>115.238</v>
      </c>
      <c r="Q270">
        <v>0</v>
      </c>
      <c r="R270">
        <v>-55</v>
      </c>
      <c r="S270" s="3" t="s">
        <v>640</v>
      </c>
      <c r="T270">
        <v>0</v>
      </c>
      <c r="U270">
        <v>0</v>
      </c>
      <c r="V270">
        <v>0</v>
      </c>
      <c r="W270">
        <v>0</v>
      </c>
      <c r="X270">
        <v>5773847</v>
      </c>
      <c r="Y270" s="3" t="s">
        <v>640</v>
      </c>
      <c r="Z270">
        <v>115.238</v>
      </c>
      <c r="AA270">
        <v>-4500000</v>
      </c>
      <c r="AB270" s="3" t="s">
        <v>449</v>
      </c>
      <c r="AC270" s="3" t="s">
        <v>10</v>
      </c>
      <c r="AD270">
        <v>0</v>
      </c>
      <c r="AE270">
        <v>0</v>
      </c>
      <c r="AF270" s="3" t="s">
        <v>640</v>
      </c>
    </row>
    <row r="271" spans="1:32" x14ac:dyDescent="0.35">
      <c r="A271" s="3" t="s">
        <v>608</v>
      </c>
      <c r="B271" s="3" t="s">
        <v>608</v>
      </c>
      <c r="C271" s="3" t="s">
        <v>608</v>
      </c>
      <c r="D271" s="3" t="s">
        <v>608</v>
      </c>
      <c r="E271" s="3" t="s">
        <v>608</v>
      </c>
      <c r="F271" s="3" t="s">
        <v>640</v>
      </c>
      <c r="G271" s="3" t="s">
        <v>590</v>
      </c>
      <c r="H271" s="3" t="s">
        <v>590</v>
      </c>
      <c r="I271" s="3" t="s">
        <v>640</v>
      </c>
      <c r="J271" s="3" t="s">
        <v>4</v>
      </c>
      <c r="K271" s="3" t="s">
        <v>640</v>
      </c>
      <c r="L271" s="3" t="s">
        <v>448</v>
      </c>
      <c r="M271" s="3" t="s">
        <v>14</v>
      </c>
      <c r="N271">
        <v>2000000</v>
      </c>
      <c r="O271">
        <v>80.745999999999995</v>
      </c>
      <c r="Q271">
        <v>0</v>
      </c>
      <c r="R271">
        <v>13</v>
      </c>
      <c r="S271" s="3" t="s">
        <v>640</v>
      </c>
      <c r="T271">
        <v>0</v>
      </c>
      <c r="U271">
        <v>0</v>
      </c>
      <c r="V271">
        <v>0</v>
      </c>
      <c r="W271">
        <v>0</v>
      </c>
      <c r="X271">
        <v>-1614912</v>
      </c>
      <c r="Y271" s="3" t="s">
        <v>640</v>
      </c>
      <c r="Z271">
        <v>80.745999999999995</v>
      </c>
      <c r="AA271">
        <v>2000000</v>
      </c>
      <c r="AB271" s="3" t="s">
        <v>449</v>
      </c>
      <c r="AC271" s="3" t="s">
        <v>10</v>
      </c>
      <c r="AD271">
        <v>0</v>
      </c>
      <c r="AE271">
        <v>0</v>
      </c>
      <c r="AF271" s="3" t="s">
        <v>640</v>
      </c>
    </row>
    <row r="272" spans="1:32" x14ac:dyDescent="0.35">
      <c r="A272" s="3" t="s">
        <v>608</v>
      </c>
      <c r="B272" s="3" t="s">
        <v>608</v>
      </c>
      <c r="C272" s="3" t="s">
        <v>608</v>
      </c>
      <c r="D272" s="3" t="s">
        <v>608</v>
      </c>
      <c r="E272" s="3" t="s">
        <v>608</v>
      </c>
      <c r="F272" s="3" t="s">
        <v>640</v>
      </c>
      <c r="G272" s="3" t="s">
        <v>1763</v>
      </c>
      <c r="H272" s="3" t="s">
        <v>1763</v>
      </c>
      <c r="I272" s="3" t="s">
        <v>640</v>
      </c>
      <c r="J272" s="3" t="s">
        <v>266</v>
      </c>
      <c r="K272" s="3" t="s">
        <v>640</v>
      </c>
      <c r="L272" s="3" t="s">
        <v>448</v>
      </c>
      <c r="M272" s="3" t="s">
        <v>14</v>
      </c>
      <c r="N272">
        <v>4000000</v>
      </c>
      <c r="O272">
        <v>80.466999999999999</v>
      </c>
      <c r="Q272">
        <v>0</v>
      </c>
      <c r="R272">
        <v>0</v>
      </c>
      <c r="S272" s="3" t="s">
        <v>640</v>
      </c>
      <c r="T272">
        <v>0</v>
      </c>
      <c r="U272">
        <v>0</v>
      </c>
      <c r="V272">
        <v>0</v>
      </c>
      <c r="W272">
        <v>0</v>
      </c>
      <c r="X272">
        <v>-2713905</v>
      </c>
      <c r="Y272" s="3" t="s">
        <v>640</v>
      </c>
      <c r="Z272">
        <v>107.217</v>
      </c>
      <c r="AA272">
        <v>0</v>
      </c>
      <c r="AB272" s="3" t="s">
        <v>449</v>
      </c>
      <c r="AC272" s="3" t="s">
        <v>10</v>
      </c>
      <c r="AD272">
        <v>0</v>
      </c>
      <c r="AE272">
        <v>0</v>
      </c>
      <c r="AF272" s="3" t="s">
        <v>640</v>
      </c>
    </row>
    <row r="273" spans="1:32" x14ac:dyDescent="0.35">
      <c r="A273" s="3" t="s">
        <v>608</v>
      </c>
      <c r="B273" s="3" t="s">
        <v>608</v>
      </c>
      <c r="C273" s="3" t="s">
        <v>608</v>
      </c>
      <c r="D273" s="3" t="s">
        <v>608</v>
      </c>
      <c r="E273" s="3" t="s">
        <v>608</v>
      </c>
      <c r="F273" s="3" t="s">
        <v>640</v>
      </c>
      <c r="G273" s="3" t="s">
        <v>473</v>
      </c>
      <c r="H273" s="3" t="s">
        <v>473</v>
      </c>
      <c r="I273" s="3" t="s">
        <v>640</v>
      </c>
      <c r="J273" s="3" t="s">
        <v>4</v>
      </c>
      <c r="K273" s="3" t="s">
        <v>640</v>
      </c>
      <c r="L273" s="3" t="s">
        <v>448</v>
      </c>
      <c r="M273" s="3" t="s">
        <v>14</v>
      </c>
      <c r="N273">
        <v>-1000000</v>
      </c>
      <c r="O273">
        <v>113.86199999999999</v>
      </c>
      <c r="Q273">
        <v>0</v>
      </c>
      <c r="R273">
        <v>-30</v>
      </c>
      <c r="S273" s="3" t="s">
        <v>640</v>
      </c>
      <c r="T273">
        <v>0</v>
      </c>
      <c r="U273">
        <v>0</v>
      </c>
      <c r="V273">
        <v>0</v>
      </c>
      <c r="W273">
        <v>0</v>
      </c>
      <c r="X273">
        <v>1138622</v>
      </c>
      <c r="Y273" s="3" t="s">
        <v>640</v>
      </c>
      <c r="Z273">
        <v>113.86199999999999</v>
      </c>
      <c r="AA273">
        <v>-1000000</v>
      </c>
      <c r="AB273" s="3" t="s">
        <v>449</v>
      </c>
      <c r="AC273" s="3" t="s">
        <v>10</v>
      </c>
      <c r="AD273">
        <v>0</v>
      </c>
      <c r="AE273">
        <v>0</v>
      </c>
      <c r="AF273" s="3" t="s">
        <v>640</v>
      </c>
    </row>
    <row r="274" spans="1:32" x14ac:dyDescent="0.35">
      <c r="A274" s="3" t="s">
        <v>608</v>
      </c>
      <c r="B274" s="3" t="s">
        <v>608</v>
      </c>
      <c r="C274" s="3" t="s">
        <v>608</v>
      </c>
      <c r="D274" s="3" t="s">
        <v>608</v>
      </c>
      <c r="E274" s="3" t="s">
        <v>608</v>
      </c>
      <c r="F274" s="3" t="s">
        <v>640</v>
      </c>
      <c r="G274" s="3" t="s">
        <v>474</v>
      </c>
      <c r="H274" s="3" t="s">
        <v>474</v>
      </c>
      <c r="I274" s="3" t="s">
        <v>640</v>
      </c>
      <c r="J274" s="3" t="s">
        <v>4</v>
      </c>
      <c r="K274" s="3" t="s">
        <v>640</v>
      </c>
      <c r="L274" s="3" t="s">
        <v>448</v>
      </c>
      <c r="M274" s="3" t="s">
        <v>14</v>
      </c>
      <c r="N274">
        <v>2300000</v>
      </c>
      <c r="O274">
        <v>90.320999999999998</v>
      </c>
      <c r="Q274">
        <v>0</v>
      </c>
      <c r="R274">
        <v>14</v>
      </c>
      <c r="S274" s="3" t="s">
        <v>640</v>
      </c>
      <c r="T274">
        <v>0</v>
      </c>
      <c r="U274">
        <v>0</v>
      </c>
      <c r="V274">
        <v>0</v>
      </c>
      <c r="W274">
        <v>0</v>
      </c>
      <c r="X274">
        <v>-2077387</v>
      </c>
      <c r="Y274" s="3" t="s">
        <v>640</v>
      </c>
      <c r="Z274">
        <v>90.320999999999998</v>
      </c>
      <c r="AA274">
        <v>2300000</v>
      </c>
      <c r="AB274" s="3" t="s">
        <v>449</v>
      </c>
      <c r="AC274" s="3" t="s">
        <v>10</v>
      </c>
      <c r="AD274">
        <v>0</v>
      </c>
      <c r="AE274">
        <v>0</v>
      </c>
      <c r="AF274" s="3" t="s">
        <v>640</v>
      </c>
    </row>
    <row r="275" spans="1:32" x14ac:dyDescent="0.35">
      <c r="A275" s="3" t="s">
        <v>608</v>
      </c>
      <c r="B275" s="3" t="s">
        <v>608</v>
      </c>
      <c r="C275" s="3" t="s">
        <v>608</v>
      </c>
      <c r="D275" s="3" t="s">
        <v>608</v>
      </c>
      <c r="E275" s="3" t="s">
        <v>608</v>
      </c>
      <c r="F275" s="3" t="s">
        <v>640</v>
      </c>
      <c r="G275" s="3" t="s">
        <v>1197</v>
      </c>
      <c r="H275" s="3" t="s">
        <v>1197</v>
      </c>
      <c r="I275" s="3" t="s">
        <v>640</v>
      </c>
      <c r="J275" s="3" t="s">
        <v>4</v>
      </c>
      <c r="K275" s="3" t="s">
        <v>640</v>
      </c>
      <c r="L275" s="3" t="s">
        <v>448</v>
      </c>
      <c r="M275" s="3" t="s">
        <v>14</v>
      </c>
      <c r="N275">
        <v>0</v>
      </c>
      <c r="O275">
        <v>78.876999999999995</v>
      </c>
      <c r="Q275">
        <v>0</v>
      </c>
      <c r="R275">
        <v>0</v>
      </c>
      <c r="S275" s="3" t="s">
        <v>640</v>
      </c>
      <c r="T275">
        <v>0</v>
      </c>
      <c r="U275">
        <v>0</v>
      </c>
      <c r="V275">
        <v>0</v>
      </c>
      <c r="W275">
        <v>0</v>
      </c>
      <c r="X275">
        <v>0</v>
      </c>
      <c r="Y275" s="3" t="s">
        <v>640</v>
      </c>
      <c r="Z275">
        <v>78.876999999999995</v>
      </c>
      <c r="AA275">
        <v>0</v>
      </c>
      <c r="AB275" s="3" t="s">
        <v>449</v>
      </c>
      <c r="AC275" s="3" t="s">
        <v>10</v>
      </c>
      <c r="AD275">
        <v>0</v>
      </c>
      <c r="AE275">
        <v>0</v>
      </c>
      <c r="AF275" s="3" t="s">
        <v>640</v>
      </c>
    </row>
    <row r="276" spans="1:32" x14ac:dyDescent="0.35">
      <c r="A276" s="3" t="s">
        <v>608</v>
      </c>
      <c r="B276" s="3" t="s">
        <v>608</v>
      </c>
      <c r="C276" s="3" t="s">
        <v>608</v>
      </c>
      <c r="D276" s="3" t="s">
        <v>608</v>
      </c>
      <c r="E276" s="3" t="s">
        <v>608</v>
      </c>
      <c r="F276" s="3" t="s">
        <v>640</v>
      </c>
      <c r="G276" s="3" t="s">
        <v>515</v>
      </c>
      <c r="H276" s="3" t="s">
        <v>515</v>
      </c>
      <c r="I276" s="3" t="s">
        <v>640</v>
      </c>
      <c r="J276" s="3" t="s">
        <v>283</v>
      </c>
      <c r="K276" s="3" t="s">
        <v>640</v>
      </c>
      <c r="L276" s="3" t="s">
        <v>448</v>
      </c>
      <c r="M276" s="3" t="s">
        <v>14</v>
      </c>
      <c r="N276">
        <v>1000000</v>
      </c>
      <c r="O276">
        <v>87.677000000000007</v>
      </c>
      <c r="Q276">
        <v>0</v>
      </c>
      <c r="R276">
        <v>-5</v>
      </c>
      <c r="S276" s="3" t="s">
        <v>640</v>
      </c>
      <c r="T276">
        <v>0</v>
      </c>
      <c r="U276">
        <v>0</v>
      </c>
      <c r="V276">
        <v>0</v>
      </c>
      <c r="W276">
        <v>0</v>
      </c>
      <c r="X276">
        <v>-979159</v>
      </c>
      <c r="Y276" s="3" t="s">
        <v>640</v>
      </c>
      <c r="Z276">
        <v>87.677000000000007</v>
      </c>
      <c r="AA276">
        <v>1000000</v>
      </c>
      <c r="AB276" s="3" t="s">
        <v>449</v>
      </c>
      <c r="AC276" s="3" t="s">
        <v>10</v>
      </c>
      <c r="AD276">
        <v>0</v>
      </c>
      <c r="AE276">
        <v>0</v>
      </c>
      <c r="AF276" s="3" t="s">
        <v>640</v>
      </c>
    </row>
    <row r="277" spans="1:32" x14ac:dyDescent="0.35">
      <c r="A277" s="3" t="s">
        <v>608</v>
      </c>
      <c r="B277" s="3" t="s">
        <v>608</v>
      </c>
      <c r="C277" s="3" t="s">
        <v>608</v>
      </c>
      <c r="D277" s="3" t="s">
        <v>608</v>
      </c>
      <c r="E277" s="3" t="s">
        <v>608</v>
      </c>
      <c r="F277" s="3" t="s">
        <v>640</v>
      </c>
      <c r="G277" s="3" t="s">
        <v>535</v>
      </c>
      <c r="H277" s="3" t="s">
        <v>535</v>
      </c>
      <c r="I277" s="3" t="s">
        <v>640</v>
      </c>
      <c r="J277" s="3" t="s">
        <v>4</v>
      </c>
      <c r="K277" s="3" t="s">
        <v>640</v>
      </c>
      <c r="L277" s="3" t="s">
        <v>448</v>
      </c>
      <c r="M277" s="3" t="s">
        <v>14</v>
      </c>
      <c r="N277">
        <v>-434000</v>
      </c>
      <c r="O277">
        <v>108.911</v>
      </c>
      <c r="Q277">
        <v>0</v>
      </c>
      <c r="R277">
        <v>-13</v>
      </c>
      <c r="S277" s="3" t="s">
        <v>640</v>
      </c>
      <c r="T277">
        <v>0</v>
      </c>
      <c r="U277">
        <v>0</v>
      </c>
      <c r="V277">
        <v>0</v>
      </c>
      <c r="W277">
        <v>0</v>
      </c>
      <c r="X277">
        <v>474590</v>
      </c>
      <c r="Y277" s="3" t="s">
        <v>640</v>
      </c>
      <c r="Z277">
        <v>108.911</v>
      </c>
      <c r="AA277">
        <v>-434000</v>
      </c>
      <c r="AB277" s="3" t="s">
        <v>449</v>
      </c>
      <c r="AC277" s="3" t="s">
        <v>10</v>
      </c>
      <c r="AD277">
        <v>0</v>
      </c>
      <c r="AE277">
        <v>0</v>
      </c>
      <c r="AF277" s="3" t="s">
        <v>640</v>
      </c>
    </row>
    <row r="278" spans="1:32" x14ac:dyDescent="0.35">
      <c r="A278" s="3" t="s">
        <v>608</v>
      </c>
      <c r="B278" s="3" t="s">
        <v>608</v>
      </c>
      <c r="C278" s="3" t="s">
        <v>608</v>
      </c>
      <c r="D278" s="3" t="s">
        <v>608</v>
      </c>
      <c r="E278" s="3" t="s">
        <v>608</v>
      </c>
      <c r="F278" s="3" t="s">
        <v>640</v>
      </c>
      <c r="G278" s="3" t="s">
        <v>519</v>
      </c>
      <c r="H278" s="3" t="s">
        <v>519</v>
      </c>
      <c r="I278" s="3" t="s">
        <v>640</v>
      </c>
      <c r="J278" s="3" t="s">
        <v>4</v>
      </c>
      <c r="K278" s="3" t="s">
        <v>640</v>
      </c>
      <c r="L278" s="3" t="s">
        <v>448</v>
      </c>
      <c r="M278" s="3" t="s">
        <v>14</v>
      </c>
      <c r="N278">
        <v>-1535000</v>
      </c>
      <c r="O278">
        <v>111.629</v>
      </c>
      <c r="Q278">
        <v>0</v>
      </c>
      <c r="R278">
        <v>-45</v>
      </c>
      <c r="S278" s="3" t="s">
        <v>640</v>
      </c>
      <c r="T278">
        <v>0</v>
      </c>
      <c r="U278">
        <v>0</v>
      </c>
      <c r="V278">
        <v>0</v>
      </c>
      <c r="W278">
        <v>0</v>
      </c>
      <c r="X278">
        <v>1713499</v>
      </c>
      <c r="Y278" s="3" t="s">
        <v>640</v>
      </c>
      <c r="Z278">
        <v>111.629</v>
      </c>
      <c r="AA278">
        <v>-1535000</v>
      </c>
      <c r="AB278" s="3" t="s">
        <v>449</v>
      </c>
      <c r="AC278" s="3" t="s">
        <v>10</v>
      </c>
      <c r="AD278">
        <v>0</v>
      </c>
      <c r="AE278">
        <v>0</v>
      </c>
      <c r="AF278" s="3" t="s">
        <v>640</v>
      </c>
    </row>
    <row r="279" spans="1:32" x14ac:dyDescent="0.35">
      <c r="A279" s="3" t="s">
        <v>608</v>
      </c>
      <c r="B279" s="3" t="s">
        <v>608</v>
      </c>
      <c r="C279" s="3" t="s">
        <v>608</v>
      </c>
      <c r="D279" s="3" t="s">
        <v>608</v>
      </c>
      <c r="E279" s="3" t="s">
        <v>608</v>
      </c>
      <c r="F279" s="3" t="s">
        <v>640</v>
      </c>
      <c r="G279" s="3" t="s">
        <v>1248</v>
      </c>
      <c r="H279" s="3" t="s">
        <v>1248</v>
      </c>
      <c r="I279" s="3" t="s">
        <v>640</v>
      </c>
      <c r="J279" s="3" t="s">
        <v>4</v>
      </c>
      <c r="K279" s="3" t="s">
        <v>640</v>
      </c>
      <c r="L279" s="3" t="s">
        <v>448</v>
      </c>
      <c r="M279" s="3" t="s">
        <v>14</v>
      </c>
      <c r="N279">
        <v>-3500000</v>
      </c>
      <c r="O279">
        <v>108.337</v>
      </c>
      <c r="Q279">
        <v>0</v>
      </c>
      <c r="R279">
        <v>0</v>
      </c>
      <c r="S279" s="3" t="s">
        <v>640</v>
      </c>
      <c r="T279">
        <v>0</v>
      </c>
      <c r="U279">
        <v>0</v>
      </c>
      <c r="V279">
        <v>0</v>
      </c>
      <c r="W279">
        <v>0</v>
      </c>
      <c r="X279">
        <v>3791780</v>
      </c>
      <c r="Y279" s="3" t="s">
        <v>640</v>
      </c>
      <c r="Z279">
        <v>106.438</v>
      </c>
      <c r="AA279">
        <v>0</v>
      </c>
      <c r="AB279" s="3" t="s">
        <v>449</v>
      </c>
      <c r="AC279" s="3" t="s">
        <v>10</v>
      </c>
      <c r="AD279">
        <v>0</v>
      </c>
      <c r="AE279">
        <v>0</v>
      </c>
      <c r="AF279" s="3" t="s">
        <v>640</v>
      </c>
    </row>
    <row r="280" spans="1:32" x14ac:dyDescent="0.35">
      <c r="A280" s="3" t="s">
        <v>608</v>
      </c>
      <c r="B280" s="3" t="s">
        <v>608</v>
      </c>
      <c r="C280" s="3" t="s">
        <v>608</v>
      </c>
      <c r="D280" s="3" t="s">
        <v>608</v>
      </c>
      <c r="E280" s="3" t="s">
        <v>608</v>
      </c>
      <c r="F280" s="3" t="s">
        <v>640</v>
      </c>
      <c r="G280" s="3" t="s">
        <v>518</v>
      </c>
      <c r="H280" s="3" t="s">
        <v>518</v>
      </c>
      <c r="I280" s="3" t="s">
        <v>640</v>
      </c>
      <c r="J280" s="3" t="s">
        <v>4</v>
      </c>
      <c r="K280" s="3" t="s">
        <v>640</v>
      </c>
      <c r="L280" s="3" t="s">
        <v>448</v>
      </c>
      <c r="M280" s="3" t="s">
        <v>14</v>
      </c>
      <c r="N280">
        <v>-2300000</v>
      </c>
      <c r="O280">
        <v>113.47499999999999</v>
      </c>
      <c r="Q280">
        <v>0</v>
      </c>
      <c r="R280">
        <v>-69</v>
      </c>
      <c r="S280" s="3" t="s">
        <v>640</v>
      </c>
      <c r="T280">
        <v>0</v>
      </c>
      <c r="U280">
        <v>0</v>
      </c>
      <c r="V280">
        <v>0</v>
      </c>
      <c r="W280">
        <v>0</v>
      </c>
      <c r="X280">
        <v>2609923</v>
      </c>
      <c r="Y280" s="3" t="s">
        <v>640</v>
      </c>
      <c r="Z280">
        <v>113.47499999999999</v>
      </c>
      <c r="AA280">
        <v>-2300000</v>
      </c>
      <c r="AB280" s="3" t="s">
        <v>449</v>
      </c>
      <c r="AC280" s="3" t="s">
        <v>10</v>
      </c>
      <c r="AD280">
        <v>0</v>
      </c>
      <c r="AE280">
        <v>0</v>
      </c>
      <c r="AF280" s="3" t="s">
        <v>640</v>
      </c>
    </row>
    <row r="281" spans="1:32" x14ac:dyDescent="0.35">
      <c r="A281" s="3" t="s">
        <v>608</v>
      </c>
      <c r="B281" s="3" t="s">
        <v>608</v>
      </c>
      <c r="C281" s="3" t="s">
        <v>608</v>
      </c>
      <c r="D281" s="3" t="s">
        <v>608</v>
      </c>
      <c r="E281" s="3" t="s">
        <v>608</v>
      </c>
      <c r="F281" s="3" t="s">
        <v>640</v>
      </c>
      <c r="G281" s="3" t="s">
        <v>451</v>
      </c>
      <c r="H281" s="3" t="s">
        <v>451</v>
      </c>
      <c r="I281" s="3" t="s">
        <v>640</v>
      </c>
      <c r="J281" s="3" t="s">
        <v>4</v>
      </c>
      <c r="K281" s="3" t="s">
        <v>640</v>
      </c>
      <c r="L281" s="3" t="s">
        <v>448</v>
      </c>
      <c r="M281" s="3" t="s">
        <v>14</v>
      </c>
      <c r="N281">
        <v>-5381000</v>
      </c>
      <c r="O281">
        <v>109.971</v>
      </c>
      <c r="Q281">
        <v>0</v>
      </c>
      <c r="R281">
        <v>-158</v>
      </c>
      <c r="S281" s="3" t="s">
        <v>640</v>
      </c>
      <c r="T281">
        <v>0</v>
      </c>
      <c r="U281">
        <v>0</v>
      </c>
      <c r="V281">
        <v>0</v>
      </c>
      <c r="W281">
        <v>0</v>
      </c>
      <c r="X281">
        <v>5977992</v>
      </c>
      <c r="Y281" s="3" t="s">
        <v>640</v>
      </c>
      <c r="Z281">
        <v>109.971</v>
      </c>
      <c r="AA281">
        <v>-5381000</v>
      </c>
      <c r="AB281" s="3" t="s">
        <v>449</v>
      </c>
      <c r="AC281" s="3" t="s">
        <v>10</v>
      </c>
      <c r="AD281">
        <v>0</v>
      </c>
      <c r="AE281">
        <v>0</v>
      </c>
      <c r="AF281" s="3" t="s">
        <v>640</v>
      </c>
    </row>
    <row r="282" spans="1:32" x14ac:dyDescent="0.35">
      <c r="A282" s="3" t="s">
        <v>608</v>
      </c>
      <c r="B282" s="3" t="s">
        <v>608</v>
      </c>
      <c r="C282" s="3" t="s">
        <v>608</v>
      </c>
      <c r="D282" s="3" t="s">
        <v>608</v>
      </c>
      <c r="E282" s="3" t="s">
        <v>608</v>
      </c>
      <c r="F282" s="3" t="s">
        <v>640</v>
      </c>
      <c r="G282" s="3" t="s">
        <v>593</v>
      </c>
      <c r="H282" s="3" t="s">
        <v>593</v>
      </c>
      <c r="I282" s="3" t="s">
        <v>640</v>
      </c>
      <c r="J282" s="3" t="s">
        <v>4</v>
      </c>
      <c r="K282" s="3" t="s">
        <v>640</v>
      </c>
      <c r="L282" s="3" t="s">
        <v>448</v>
      </c>
      <c r="M282" s="3" t="s">
        <v>14</v>
      </c>
      <c r="N282">
        <v>-317000</v>
      </c>
      <c r="O282">
        <v>107.11</v>
      </c>
      <c r="Q282">
        <v>0</v>
      </c>
      <c r="R282">
        <v>-9</v>
      </c>
      <c r="S282" s="3" t="s">
        <v>640</v>
      </c>
      <c r="T282">
        <v>0</v>
      </c>
      <c r="U282">
        <v>0</v>
      </c>
      <c r="V282">
        <v>0</v>
      </c>
      <c r="W282">
        <v>0</v>
      </c>
      <c r="X282">
        <v>342179</v>
      </c>
      <c r="Y282" s="3" t="s">
        <v>640</v>
      </c>
      <c r="Z282">
        <v>107.11</v>
      </c>
      <c r="AA282">
        <v>-317000</v>
      </c>
      <c r="AB282" s="3" t="s">
        <v>449</v>
      </c>
      <c r="AC282" s="3" t="s">
        <v>10</v>
      </c>
      <c r="AD282">
        <v>0</v>
      </c>
      <c r="AE282">
        <v>0</v>
      </c>
      <c r="AF282" s="3" t="s">
        <v>640</v>
      </c>
    </row>
    <row r="283" spans="1:32" x14ac:dyDescent="0.35">
      <c r="A283" s="3" t="s">
        <v>608</v>
      </c>
      <c r="B283" s="3" t="s">
        <v>608</v>
      </c>
      <c r="C283" s="3" t="s">
        <v>608</v>
      </c>
      <c r="D283" s="3" t="s">
        <v>608</v>
      </c>
      <c r="E283" s="3" t="s">
        <v>608</v>
      </c>
      <c r="F283" s="3" t="s">
        <v>640</v>
      </c>
      <c r="G283" s="3" t="s">
        <v>498</v>
      </c>
      <c r="H283" s="3" t="s">
        <v>498</v>
      </c>
      <c r="I283" s="3" t="s">
        <v>640</v>
      </c>
      <c r="J283" s="3" t="s">
        <v>4</v>
      </c>
      <c r="K283" s="3" t="s">
        <v>640</v>
      </c>
      <c r="L283" s="3" t="s">
        <v>448</v>
      </c>
      <c r="M283" s="3" t="s">
        <v>14</v>
      </c>
      <c r="N283">
        <v>-500000</v>
      </c>
      <c r="O283">
        <v>100.142</v>
      </c>
      <c r="Q283">
        <v>0</v>
      </c>
      <c r="R283">
        <v>-13</v>
      </c>
      <c r="S283" s="3" t="s">
        <v>640</v>
      </c>
      <c r="T283">
        <v>0</v>
      </c>
      <c r="U283">
        <v>0</v>
      </c>
      <c r="V283">
        <v>0</v>
      </c>
      <c r="W283">
        <v>0</v>
      </c>
      <c r="X283">
        <v>500708</v>
      </c>
      <c r="Y283" s="3" t="s">
        <v>640</v>
      </c>
      <c r="Z283">
        <v>100.142</v>
      </c>
      <c r="AA283">
        <v>-500000</v>
      </c>
      <c r="AB283" s="3" t="s">
        <v>449</v>
      </c>
      <c r="AC283" s="3" t="s">
        <v>10</v>
      </c>
      <c r="AD283">
        <v>0</v>
      </c>
      <c r="AE283">
        <v>0</v>
      </c>
      <c r="AF283" s="3" t="s">
        <v>640</v>
      </c>
    </row>
    <row r="284" spans="1:32" x14ac:dyDescent="0.35">
      <c r="A284" s="3" t="s">
        <v>608</v>
      </c>
      <c r="B284" s="3" t="s">
        <v>608</v>
      </c>
      <c r="C284" s="3" t="s">
        <v>608</v>
      </c>
      <c r="D284" s="3" t="s">
        <v>608</v>
      </c>
      <c r="E284" s="3" t="s">
        <v>608</v>
      </c>
      <c r="F284" s="3" t="s">
        <v>640</v>
      </c>
      <c r="G284" s="3" t="s">
        <v>499</v>
      </c>
      <c r="H284" s="3" t="s">
        <v>499</v>
      </c>
      <c r="I284" s="3" t="s">
        <v>640</v>
      </c>
      <c r="J284" s="3" t="s">
        <v>4</v>
      </c>
      <c r="K284" s="3" t="s">
        <v>640</v>
      </c>
      <c r="L284" s="3" t="s">
        <v>448</v>
      </c>
      <c r="M284" s="3" t="s">
        <v>14</v>
      </c>
      <c r="N284">
        <v>-900000</v>
      </c>
      <c r="O284">
        <v>117.274</v>
      </c>
      <c r="Q284">
        <v>0</v>
      </c>
      <c r="R284">
        <v>-28</v>
      </c>
      <c r="S284" s="3" t="s">
        <v>640</v>
      </c>
      <c r="T284">
        <v>0</v>
      </c>
      <c r="U284">
        <v>0</v>
      </c>
      <c r="V284">
        <v>0</v>
      </c>
      <c r="W284">
        <v>0</v>
      </c>
      <c r="X284">
        <v>1055468</v>
      </c>
      <c r="Y284" s="3" t="s">
        <v>640</v>
      </c>
      <c r="Z284">
        <v>117.274</v>
      </c>
      <c r="AA284">
        <v>-900000</v>
      </c>
      <c r="AB284" s="3" t="s">
        <v>449</v>
      </c>
      <c r="AC284" s="3" t="s">
        <v>10</v>
      </c>
      <c r="AD284">
        <v>0</v>
      </c>
      <c r="AE284">
        <v>0</v>
      </c>
      <c r="AF284" s="3" t="s">
        <v>640</v>
      </c>
    </row>
    <row r="285" spans="1:32" x14ac:dyDescent="0.35">
      <c r="A285" s="3" t="s">
        <v>608</v>
      </c>
      <c r="B285" s="3" t="s">
        <v>608</v>
      </c>
      <c r="C285" s="3" t="s">
        <v>608</v>
      </c>
      <c r="D285" s="3" t="s">
        <v>608</v>
      </c>
      <c r="E285" s="3" t="s">
        <v>608</v>
      </c>
      <c r="F285" s="3" t="s">
        <v>640</v>
      </c>
      <c r="G285" s="3" t="s">
        <v>1413</v>
      </c>
      <c r="H285" s="3" t="s">
        <v>1413</v>
      </c>
      <c r="I285" s="3" t="s">
        <v>640</v>
      </c>
      <c r="J285" s="3" t="s">
        <v>4</v>
      </c>
      <c r="K285" s="3" t="s">
        <v>640</v>
      </c>
      <c r="L285" s="3" t="s">
        <v>448</v>
      </c>
      <c r="M285" s="3" t="s">
        <v>14</v>
      </c>
      <c r="N285">
        <v>1000000</v>
      </c>
      <c r="O285">
        <v>85.481999999999999</v>
      </c>
      <c r="Q285">
        <v>0</v>
      </c>
      <c r="R285">
        <v>6</v>
      </c>
      <c r="S285" s="3" t="s">
        <v>640</v>
      </c>
      <c r="T285">
        <v>0</v>
      </c>
      <c r="U285">
        <v>0</v>
      </c>
      <c r="V285">
        <v>0</v>
      </c>
      <c r="W285">
        <v>0</v>
      </c>
      <c r="X285">
        <v>-854817</v>
      </c>
      <c r="Y285" s="3" t="s">
        <v>640</v>
      </c>
      <c r="Z285">
        <v>85.481999999999999</v>
      </c>
      <c r="AA285">
        <v>1000000</v>
      </c>
      <c r="AB285" s="3" t="s">
        <v>449</v>
      </c>
      <c r="AC285" s="3" t="s">
        <v>10</v>
      </c>
      <c r="AD285">
        <v>0</v>
      </c>
      <c r="AE285">
        <v>0</v>
      </c>
      <c r="AF285" s="3" t="s">
        <v>640</v>
      </c>
    </row>
    <row r="286" spans="1:32" x14ac:dyDescent="0.35">
      <c r="A286" s="3" t="s">
        <v>608</v>
      </c>
      <c r="B286" s="3" t="s">
        <v>608</v>
      </c>
      <c r="C286" s="3" t="s">
        <v>608</v>
      </c>
      <c r="D286" s="3" t="s">
        <v>608</v>
      </c>
      <c r="E286" s="3" t="s">
        <v>608</v>
      </c>
      <c r="F286" s="3" t="s">
        <v>640</v>
      </c>
      <c r="G286" s="3" t="s">
        <v>500</v>
      </c>
      <c r="H286" s="3" t="s">
        <v>500</v>
      </c>
      <c r="I286" s="3" t="s">
        <v>640</v>
      </c>
      <c r="J286" s="3" t="s">
        <v>4</v>
      </c>
      <c r="K286" s="3" t="s">
        <v>640</v>
      </c>
      <c r="L286" s="3" t="s">
        <v>448</v>
      </c>
      <c r="M286" s="3" t="s">
        <v>14</v>
      </c>
      <c r="N286">
        <v>-2000000</v>
      </c>
      <c r="O286">
        <v>111.211</v>
      </c>
      <c r="Q286">
        <v>0</v>
      </c>
      <c r="R286">
        <v>-59</v>
      </c>
      <c r="S286" s="3" t="s">
        <v>640</v>
      </c>
      <c r="T286">
        <v>0</v>
      </c>
      <c r="U286">
        <v>0</v>
      </c>
      <c r="V286">
        <v>0</v>
      </c>
      <c r="W286">
        <v>0</v>
      </c>
      <c r="X286">
        <v>2224228</v>
      </c>
      <c r="Y286" s="3" t="s">
        <v>640</v>
      </c>
      <c r="Z286">
        <v>111.211</v>
      </c>
      <c r="AA286">
        <v>-2000000</v>
      </c>
      <c r="AB286" s="3" t="s">
        <v>449</v>
      </c>
      <c r="AC286" s="3" t="s">
        <v>10</v>
      </c>
      <c r="AD286">
        <v>0</v>
      </c>
      <c r="AE286">
        <v>0</v>
      </c>
      <c r="AF286" s="3" t="s">
        <v>640</v>
      </c>
    </row>
    <row r="287" spans="1:32" x14ac:dyDescent="0.35">
      <c r="A287" s="3" t="s">
        <v>608</v>
      </c>
      <c r="B287" s="3" t="s">
        <v>608</v>
      </c>
      <c r="C287" s="3" t="s">
        <v>608</v>
      </c>
      <c r="D287" s="3" t="s">
        <v>608</v>
      </c>
      <c r="E287" s="3" t="s">
        <v>608</v>
      </c>
      <c r="F287" s="3" t="s">
        <v>640</v>
      </c>
      <c r="G287" s="3" t="s">
        <v>541</v>
      </c>
      <c r="H287" s="3" t="s">
        <v>541</v>
      </c>
      <c r="I287" s="3" t="s">
        <v>640</v>
      </c>
      <c r="J287" s="3" t="s">
        <v>4</v>
      </c>
      <c r="K287" s="3" t="s">
        <v>640</v>
      </c>
      <c r="L287" s="3" t="s">
        <v>448</v>
      </c>
      <c r="M287" s="3" t="s">
        <v>14</v>
      </c>
      <c r="N287">
        <v>3700000</v>
      </c>
      <c r="O287">
        <v>88.753</v>
      </c>
      <c r="Q287">
        <v>0</v>
      </c>
      <c r="R287">
        <v>23</v>
      </c>
      <c r="S287" s="3" t="s">
        <v>640</v>
      </c>
      <c r="T287">
        <v>0</v>
      </c>
      <c r="U287">
        <v>0</v>
      </c>
      <c r="V287">
        <v>0</v>
      </c>
      <c r="W287">
        <v>0</v>
      </c>
      <c r="X287">
        <v>-3283879</v>
      </c>
      <c r="Y287" s="3" t="s">
        <v>640</v>
      </c>
      <c r="Z287">
        <v>88.753</v>
      </c>
      <c r="AA287">
        <v>3700000</v>
      </c>
      <c r="AB287" s="3" t="s">
        <v>449</v>
      </c>
      <c r="AC287" s="3" t="s">
        <v>10</v>
      </c>
      <c r="AD287">
        <v>0</v>
      </c>
      <c r="AE287">
        <v>0</v>
      </c>
      <c r="AF287" s="3" t="s">
        <v>640</v>
      </c>
    </row>
    <row r="288" spans="1:32" x14ac:dyDescent="0.35">
      <c r="A288" s="3" t="s">
        <v>608</v>
      </c>
      <c r="B288" s="3" t="s">
        <v>608</v>
      </c>
      <c r="C288" s="3" t="s">
        <v>608</v>
      </c>
      <c r="D288" s="3" t="s">
        <v>608</v>
      </c>
      <c r="E288" s="3" t="s">
        <v>608</v>
      </c>
      <c r="F288" s="3" t="s">
        <v>640</v>
      </c>
      <c r="G288" s="3" t="s">
        <v>502</v>
      </c>
      <c r="H288" s="3" t="s">
        <v>502</v>
      </c>
      <c r="I288" s="3" t="s">
        <v>640</v>
      </c>
      <c r="J288" s="3" t="s">
        <v>4</v>
      </c>
      <c r="K288" s="3" t="s">
        <v>640</v>
      </c>
      <c r="L288" s="3" t="s">
        <v>448</v>
      </c>
      <c r="M288" s="3" t="s">
        <v>14</v>
      </c>
      <c r="N288">
        <v>0</v>
      </c>
      <c r="O288">
        <v>87.034999999999997</v>
      </c>
      <c r="Q288">
        <v>0</v>
      </c>
      <c r="R288">
        <v>0</v>
      </c>
      <c r="S288" s="3" t="s">
        <v>640</v>
      </c>
      <c r="T288">
        <v>0</v>
      </c>
      <c r="U288">
        <v>0</v>
      </c>
      <c r="V288">
        <v>0</v>
      </c>
      <c r="W288">
        <v>0</v>
      </c>
      <c r="X288">
        <v>0</v>
      </c>
      <c r="Y288" s="3" t="s">
        <v>640</v>
      </c>
      <c r="Z288">
        <v>87.034999999999997</v>
      </c>
      <c r="AA288">
        <v>0</v>
      </c>
      <c r="AB288" s="3" t="s">
        <v>449</v>
      </c>
      <c r="AC288" s="3" t="s">
        <v>10</v>
      </c>
      <c r="AD288">
        <v>0</v>
      </c>
      <c r="AE288">
        <v>0</v>
      </c>
      <c r="AF288" s="3" t="s">
        <v>640</v>
      </c>
    </row>
    <row r="289" spans="1:32" x14ac:dyDescent="0.35">
      <c r="A289" s="3" t="s">
        <v>608</v>
      </c>
      <c r="B289" s="3" t="s">
        <v>608</v>
      </c>
      <c r="C289" s="3" t="s">
        <v>608</v>
      </c>
      <c r="D289" s="3" t="s">
        <v>608</v>
      </c>
      <c r="E289" s="3" t="s">
        <v>608</v>
      </c>
      <c r="F289" s="3" t="s">
        <v>640</v>
      </c>
      <c r="G289" s="3" t="s">
        <v>524</v>
      </c>
      <c r="H289" s="3" t="s">
        <v>524</v>
      </c>
      <c r="I289" s="3" t="s">
        <v>640</v>
      </c>
      <c r="J289" s="3" t="s">
        <v>4</v>
      </c>
      <c r="K289" s="3" t="s">
        <v>640</v>
      </c>
      <c r="L289" s="3" t="s">
        <v>448</v>
      </c>
      <c r="M289" s="3" t="s">
        <v>14</v>
      </c>
      <c r="N289">
        <v>0</v>
      </c>
      <c r="O289">
        <v>110.819</v>
      </c>
      <c r="Q289">
        <v>0</v>
      </c>
      <c r="R289">
        <v>0</v>
      </c>
      <c r="S289" s="3" t="s">
        <v>640</v>
      </c>
      <c r="T289">
        <v>0</v>
      </c>
      <c r="U289">
        <v>0</v>
      </c>
      <c r="V289">
        <v>0</v>
      </c>
      <c r="W289">
        <v>0</v>
      </c>
      <c r="X289">
        <v>0</v>
      </c>
      <c r="Y289" s="3" t="s">
        <v>640</v>
      </c>
      <c r="Z289">
        <v>110.819</v>
      </c>
      <c r="AA289">
        <v>0</v>
      </c>
      <c r="AB289" s="3" t="s">
        <v>449</v>
      </c>
      <c r="AC289" s="3" t="s">
        <v>10</v>
      </c>
      <c r="AD289">
        <v>0</v>
      </c>
      <c r="AE289">
        <v>0</v>
      </c>
      <c r="AF289" s="3" t="s">
        <v>640</v>
      </c>
    </row>
    <row r="290" spans="1:32" x14ac:dyDescent="0.35">
      <c r="A290" s="3" t="s">
        <v>608</v>
      </c>
      <c r="B290" s="3" t="s">
        <v>608</v>
      </c>
      <c r="C290" s="3" t="s">
        <v>608</v>
      </c>
      <c r="D290" s="3" t="s">
        <v>608</v>
      </c>
      <c r="E290" s="3" t="s">
        <v>608</v>
      </c>
      <c r="F290" s="3" t="s">
        <v>640</v>
      </c>
      <c r="G290" s="3" t="s">
        <v>503</v>
      </c>
      <c r="H290" s="3" t="s">
        <v>503</v>
      </c>
      <c r="I290" s="3" t="s">
        <v>640</v>
      </c>
      <c r="J290" s="3" t="s">
        <v>4</v>
      </c>
      <c r="K290" s="3" t="s">
        <v>640</v>
      </c>
      <c r="L290" s="3" t="s">
        <v>448</v>
      </c>
      <c r="M290" s="3" t="s">
        <v>14</v>
      </c>
      <c r="N290">
        <v>-12600000</v>
      </c>
      <c r="O290">
        <v>103.113</v>
      </c>
      <c r="Q290">
        <v>0</v>
      </c>
      <c r="R290">
        <v>-350</v>
      </c>
      <c r="S290" s="3" t="s">
        <v>640</v>
      </c>
      <c r="T290">
        <v>0</v>
      </c>
      <c r="U290">
        <v>0</v>
      </c>
      <c r="V290">
        <v>0</v>
      </c>
      <c r="W290">
        <v>0</v>
      </c>
      <c r="X290">
        <v>13043444</v>
      </c>
      <c r="Y290" s="3" t="s">
        <v>640</v>
      </c>
      <c r="Z290">
        <v>103.113</v>
      </c>
      <c r="AA290">
        <v>-12600000</v>
      </c>
      <c r="AB290" s="3" t="s">
        <v>449</v>
      </c>
      <c r="AC290" s="3" t="s">
        <v>10</v>
      </c>
      <c r="AD290">
        <v>0</v>
      </c>
      <c r="AE290">
        <v>0</v>
      </c>
      <c r="AF290" s="3" t="s">
        <v>640</v>
      </c>
    </row>
    <row r="291" spans="1:32" x14ac:dyDescent="0.35">
      <c r="A291" s="3" t="s">
        <v>608</v>
      </c>
      <c r="B291" s="3" t="s">
        <v>608</v>
      </c>
      <c r="C291" s="3" t="s">
        <v>608</v>
      </c>
      <c r="D291" s="3" t="s">
        <v>608</v>
      </c>
      <c r="E291" s="3" t="s">
        <v>608</v>
      </c>
      <c r="F291" s="3" t="s">
        <v>640</v>
      </c>
      <c r="G291" s="3" t="s">
        <v>452</v>
      </c>
      <c r="H291" s="3" t="s">
        <v>452</v>
      </c>
      <c r="I291" s="3" t="s">
        <v>640</v>
      </c>
      <c r="J291" s="3" t="s">
        <v>4</v>
      </c>
      <c r="K291" s="3" t="s">
        <v>640</v>
      </c>
      <c r="L291" s="3" t="s">
        <v>448</v>
      </c>
      <c r="M291" s="3" t="s">
        <v>14</v>
      </c>
      <c r="N291">
        <v>-8167000</v>
      </c>
      <c r="O291">
        <v>107.19499999999999</v>
      </c>
      <c r="Q291">
        <v>0</v>
      </c>
      <c r="R291">
        <v>-228</v>
      </c>
      <c r="S291" s="3" t="s">
        <v>640</v>
      </c>
      <c r="T291">
        <v>0</v>
      </c>
      <c r="U291">
        <v>0</v>
      </c>
      <c r="V291">
        <v>0</v>
      </c>
      <c r="W291">
        <v>0</v>
      </c>
      <c r="X291">
        <v>8642045</v>
      </c>
      <c r="Y291" s="3" t="s">
        <v>640</v>
      </c>
      <c r="Z291">
        <v>107.19499999999999</v>
      </c>
      <c r="AA291">
        <v>-8167000</v>
      </c>
      <c r="AB291" s="3" t="s">
        <v>449</v>
      </c>
      <c r="AC291" s="3" t="s">
        <v>10</v>
      </c>
      <c r="AD291">
        <v>0</v>
      </c>
      <c r="AE291">
        <v>0</v>
      </c>
      <c r="AF291" s="3" t="s">
        <v>640</v>
      </c>
    </row>
    <row r="292" spans="1:32" x14ac:dyDescent="0.35">
      <c r="A292" s="3" t="s">
        <v>608</v>
      </c>
      <c r="B292" s="3" t="s">
        <v>608</v>
      </c>
      <c r="C292" s="3" t="s">
        <v>608</v>
      </c>
      <c r="D292" s="3" t="s">
        <v>608</v>
      </c>
      <c r="E292" s="3" t="s">
        <v>608</v>
      </c>
      <c r="F292" s="3" t="s">
        <v>640</v>
      </c>
      <c r="G292" s="3" t="s">
        <v>873</v>
      </c>
      <c r="H292" s="3" t="s">
        <v>873</v>
      </c>
      <c r="I292" s="3" t="s">
        <v>640</v>
      </c>
      <c r="J292" s="3" t="s">
        <v>4</v>
      </c>
      <c r="K292" s="3" t="s">
        <v>640</v>
      </c>
      <c r="L292" s="3" t="s">
        <v>448</v>
      </c>
      <c r="M292" s="3" t="s">
        <v>14</v>
      </c>
      <c r="N292">
        <v>2700000</v>
      </c>
      <c r="O292">
        <v>80.283000000000001</v>
      </c>
      <c r="Q292">
        <v>0</v>
      </c>
      <c r="R292">
        <v>18</v>
      </c>
      <c r="S292" s="3" t="s">
        <v>640</v>
      </c>
      <c r="T292">
        <v>0</v>
      </c>
      <c r="U292">
        <v>0</v>
      </c>
      <c r="V292">
        <v>0</v>
      </c>
      <c r="W292">
        <v>0</v>
      </c>
      <c r="X292">
        <v>-2167631</v>
      </c>
      <c r="Y292" s="3" t="s">
        <v>640</v>
      </c>
      <c r="Z292">
        <v>80.283000000000001</v>
      </c>
      <c r="AA292">
        <v>2700000</v>
      </c>
      <c r="AB292" s="3" t="s">
        <v>449</v>
      </c>
      <c r="AC292" s="3" t="s">
        <v>10</v>
      </c>
      <c r="AD292">
        <v>0</v>
      </c>
      <c r="AE292">
        <v>0</v>
      </c>
      <c r="AF292" s="3" t="s">
        <v>640</v>
      </c>
    </row>
    <row r="293" spans="1:32" x14ac:dyDescent="0.35">
      <c r="A293" s="3" t="s">
        <v>608</v>
      </c>
      <c r="B293" s="3" t="s">
        <v>608</v>
      </c>
      <c r="C293" s="3" t="s">
        <v>608</v>
      </c>
      <c r="D293" s="3" t="s">
        <v>608</v>
      </c>
      <c r="E293" s="3" t="s">
        <v>608</v>
      </c>
      <c r="F293" s="3" t="s">
        <v>640</v>
      </c>
      <c r="G293" s="3" t="s">
        <v>453</v>
      </c>
      <c r="H293" s="3" t="s">
        <v>453</v>
      </c>
      <c r="I293" s="3" t="s">
        <v>640</v>
      </c>
      <c r="J293" s="3" t="s">
        <v>4</v>
      </c>
      <c r="K293" s="3" t="s">
        <v>640</v>
      </c>
      <c r="L293" s="3" t="s">
        <v>448</v>
      </c>
      <c r="M293" s="3" t="s">
        <v>14</v>
      </c>
      <c r="N293">
        <v>9019000</v>
      </c>
      <c r="O293">
        <v>87.768000000000001</v>
      </c>
      <c r="Q293">
        <v>0</v>
      </c>
      <c r="R293">
        <v>56</v>
      </c>
      <c r="S293" s="3" t="s">
        <v>640</v>
      </c>
      <c r="T293">
        <v>0</v>
      </c>
      <c r="U293">
        <v>0</v>
      </c>
      <c r="V293">
        <v>0</v>
      </c>
      <c r="W293">
        <v>0</v>
      </c>
      <c r="X293">
        <v>-8110791</v>
      </c>
      <c r="Y293" s="3" t="s">
        <v>640</v>
      </c>
      <c r="Z293">
        <v>87.768000000000001</v>
      </c>
      <c r="AA293">
        <v>9019000</v>
      </c>
      <c r="AB293" s="3" t="s">
        <v>449</v>
      </c>
      <c r="AC293" s="3" t="s">
        <v>10</v>
      </c>
      <c r="AD293">
        <v>0</v>
      </c>
      <c r="AE293">
        <v>0</v>
      </c>
      <c r="AF293" s="3" t="s">
        <v>640</v>
      </c>
    </row>
    <row r="294" spans="1:32" x14ac:dyDescent="0.35">
      <c r="A294" s="3" t="s">
        <v>608</v>
      </c>
      <c r="B294" s="3" t="s">
        <v>608</v>
      </c>
      <c r="C294" s="3" t="s">
        <v>608</v>
      </c>
      <c r="D294" s="3" t="s">
        <v>608</v>
      </c>
      <c r="E294" s="3" t="s">
        <v>608</v>
      </c>
      <c r="F294" s="3" t="s">
        <v>640</v>
      </c>
      <c r="G294" s="3" t="s">
        <v>550</v>
      </c>
      <c r="H294" s="3" t="s">
        <v>550</v>
      </c>
      <c r="I294" s="3" t="s">
        <v>640</v>
      </c>
      <c r="J294" s="3" t="s">
        <v>4</v>
      </c>
      <c r="K294" s="3" t="s">
        <v>640</v>
      </c>
      <c r="L294" s="3" t="s">
        <v>448</v>
      </c>
      <c r="M294" s="3" t="s">
        <v>14</v>
      </c>
      <c r="N294">
        <v>1500000</v>
      </c>
      <c r="O294">
        <v>105.896</v>
      </c>
      <c r="Q294">
        <v>0</v>
      </c>
      <c r="R294">
        <v>11</v>
      </c>
      <c r="S294" s="3" t="s">
        <v>640</v>
      </c>
      <c r="T294">
        <v>0</v>
      </c>
      <c r="U294">
        <v>0</v>
      </c>
      <c r="V294">
        <v>0</v>
      </c>
      <c r="W294">
        <v>0</v>
      </c>
      <c r="X294">
        <v>-1588437</v>
      </c>
      <c r="Y294" s="3" t="s">
        <v>640</v>
      </c>
      <c r="Z294">
        <v>105.896</v>
      </c>
      <c r="AA294">
        <v>1500000</v>
      </c>
      <c r="AB294" s="3" t="s">
        <v>449</v>
      </c>
      <c r="AC294" s="3" t="s">
        <v>10</v>
      </c>
      <c r="AD294">
        <v>0</v>
      </c>
      <c r="AE294">
        <v>0</v>
      </c>
      <c r="AF294" s="3" t="s">
        <v>640</v>
      </c>
    </row>
    <row r="295" spans="1:32" x14ac:dyDescent="0.35">
      <c r="A295" s="3" t="s">
        <v>608</v>
      </c>
      <c r="B295" s="3" t="s">
        <v>608</v>
      </c>
      <c r="C295" s="3" t="s">
        <v>608</v>
      </c>
      <c r="D295" s="3" t="s">
        <v>608</v>
      </c>
      <c r="E295" s="3" t="s">
        <v>608</v>
      </c>
      <c r="F295" s="3" t="s">
        <v>640</v>
      </c>
      <c r="G295" s="3" t="s">
        <v>1642</v>
      </c>
      <c r="H295" s="3" t="s">
        <v>1642</v>
      </c>
      <c r="I295" s="3" t="s">
        <v>640</v>
      </c>
      <c r="J295" s="3" t="s">
        <v>4</v>
      </c>
      <c r="K295" s="3" t="s">
        <v>640</v>
      </c>
      <c r="L295" s="3" t="s">
        <v>448</v>
      </c>
      <c r="M295" s="3" t="s">
        <v>14</v>
      </c>
      <c r="N295">
        <v>-5000000</v>
      </c>
      <c r="O295">
        <v>104.723</v>
      </c>
      <c r="Q295">
        <v>0</v>
      </c>
      <c r="R295">
        <v>-138</v>
      </c>
      <c r="S295" s="3" t="s">
        <v>640</v>
      </c>
      <c r="T295">
        <v>0</v>
      </c>
      <c r="U295">
        <v>0</v>
      </c>
      <c r="V295">
        <v>0</v>
      </c>
      <c r="W295">
        <v>0</v>
      </c>
      <c r="X295">
        <v>5236170</v>
      </c>
      <c r="Y295" s="3" t="s">
        <v>640</v>
      </c>
      <c r="Z295">
        <v>104.723</v>
      </c>
      <c r="AA295">
        <v>-5000000</v>
      </c>
      <c r="AB295" s="3" t="s">
        <v>449</v>
      </c>
      <c r="AC295" s="3" t="s">
        <v>10</v>
      </c>
      <c r="AD295">
        <v>0</v>
      </c>
      <c r="AE295">
        <v>0</v>
      </c>
      <c r="AF295" s="3" t="s">
        <v>640</v>
      </c>
    </row>
    <row r="296" spans="1:32" x14ac:dyDescent="0.35">
      <c r="A296" s="3" t="s">
        <v>608</v>
      </c>
      <c r="B296" s="3" t="s">
        <v>608</v>
      </c>
      <c r="C296" s="3" t="s">
        <v>608</v>
      </c>
      <c r="D296" s="3" t="s">
        <v>608</v>
      </c>
      <c r="E296" s="3" t="s">
        <v>608</v>
      </c>
      <c r="F296" s="3" t="s">
        <v>640</v>
      </c>
      <c r="G296" s="3" t="s">
        <v>476</v>
      </c>
      <c r="H296" s="3" t="s">
        <v>476</v>
      </c>
      <c r="I296" s="3" t="s">
        <v>640</v>
      </c>
      <c r="J296" s="3" t="s">
        <v>4</v>
      </c>
      <c r="K296" s="3" t="s">
        <v>640</v>
      </c>
      <c r="L296" s="3" t="s">
        <v>448</v>
      </c>
      <c r="M296" s="3" t="s">
        <v>14</v>
      </c>
      <c r="N296">
        <v>-1600000</v>
      </c>
      <c r="O296">
        <v>104.819</v>
      </c>
      <c r="Q296">
        <v>0</v>
      </c>
      <c r="R296">
        <v>-44</v>
      </c>
      <c r="S296" s="3" t="s">
        <v>640</v>
      </c>
      <c r="T296">
        <v>0</v>
      </c>
      <c r="U296">
        <v>0</v>
      </c>
      <c r="V296">
        <v>0</v>
      </c>
      <c r="W296">
        <v>0</v>
      </c>
      <c r="X296">
        <v>1677103</v>
      </c>
      <c r="Y296" s="3" t="s">
        <v>640</v>
      </c>
      <c r="Z296">
        <v>104.819</v>
      </c>
      <c r="AA296">
        <v>-1600000</v>
      </c>
      <c r="AB296" s="3" t="s">
        <v>449</v>
      </c>
      <c r="AC296" s="3" t="s">
        <v>10</v>
      </c>
      <c r="AD296">
        <v>0</v>
      </c>
      <c r="AE296">
        <v>0</v>
      </c>
      <c r="AF296" s="3" t="s">
        <v>640</v>
      </c>
    </row>
    <row r="297" spans="1:32" x14ac:dyDescent="0.35">
      <c r="A297" s="3" t="s">
        <v>608</v>
      </c>
      <c r="B297" s="3" t="s">
        <v>608</v>
      </c>
      <c r="C297" s="3" t="s">
        <v>608</v>
      </c>
      <c r="D297" s="3" t="s">
        <v>608</v>
      </c>
      <c r="E297" s="3" t="s">
        <v>608</v>
      </c>
      <c r="F297" s="3" t="s">
        <v>478</v>
      </c>
      <c r="G297" s="3" t="s">
        <v>479</v>
      </c>
      <c r="H297" s="3" t="s">
        <v>479</v>
      </c>
      <c r="I297" s="3" t="s">
        <v>640</v>
      </c>
      <c r="J297" s="3" t="s">
        <v>283</v>
      </c>
      <c r="K297" s="3" t="s">
        <v>640</v>
      </c>
      <c r="L297" s="3" t="s">
        <v>13</v>
      </c>
      <c r="M297" s="3" t="s">
        <v>14</v>
      </c>
      <c r="N297">
        <v>42</v>
      </c>
      <c r="O297">
        <v>0.89800000000000002</v>
      </c>
      <c r="Q297">
        <v>-1369</v>
      </c>
      <c r="R297">
        <v>0</v>
      </c>
      <c r="S297" s="3" t="s">
        <v>640</v>
      </c>
      <c r="T297">
        <v>0</v>
      </c>
      <c r="U297">
        <v>0</v>
      </c>
      <c r="V297">
        <v>0</v>
      </c>
      <c r="W297">
        <v>0</v>
      </c>
      <c r="X297">
        <v>-83535</v>
      </c>
      <c r="Y297" s="3" t="s">
        <v>15</v>
      </c>
      <c r="Z297">
        <v>0.89800000000000002</v>
      </c>
      <c r="AA297">
        <v>42</v>
      </c>
      <c r="AB297" s="3" t="s">
        <v>449</v>
      </c>
      <c r="AC297" s="3" t="s">
        <v>10</v>
      </c>
      <c r="AD297">
        <v>0</v>
      </c>
      <c r="AE297">
        <v>0</v>
      </c>
      <c r="AF297" s="3" t="s">
        <v>640</v>
      </c>
    </row>
    <row r="298" spans="1:32" x14ac:dyDescent="0.35">
      <c r="A298" s="3" t="s">
        <v>608</v>
      </c>
      <c r="B298" s="3" t="s">
        <v>608</v>
      </c>
      <c r="C298" s="3" t="s">
        <v>608</v>
      </c>
      <c r="D298" s="3" t="s">
        <v>608</v>
      </c>
      <c r="E298" s="3" t="s">
        <v>608</v>
      </c>
      <c r="F298" s="3" t="s">
        <v>551</v>
      </c>
      <c r="G298" s="3" t="s">
        <v>552</v>
      </c>
      <c r="H298" s="3" t="s">
        <v>552</v>
      </c>
      <c r="I298" s="3" t="s">
        <v>640</v>
      </c>
      <c r="J298" s="3" t="s">
        <v>266</v>
      </c>
      <c r="K298" s="3" t="s">
        <v>640</v>
      </c>
      <c r="L298" s="3" t="s">
        <v>13</v>
      </c>
      <c r="M298" s="3" t="s">
        <v>14</v>
      </c>
      <c r="N298">
        <v>76</v>
      </c>
      <c r="O298">
        <v>1.1850000000000001</v>
      </c>
      <c r="Q298">
        <v>7592</v>
      </c>
      <c r="R298">
        <v>0</v>
      </c>
      <c r="S298" s="3" t="s">
        <v>640</v>
      </c>
      <c r="T298">
        <v>0</v>
      </c>
      <c r="U298">
        <v>0</v>
      </c>
      <c r="V298">
        <v>0</v>
      </c>
      <c r="W298">
        <v>0</v>
      </c>
      <c r="X298">
        <v>18263</v>
      </c>
      <c r="Y298" s="3" t="s">
        <v>15</v>
      </c>
      <c r="Z298">
        <v>1.1839999999999999</v>
      </c>
      <c r="AA298">
        <v>76</v>
      </c>
      <c r="AB298" s="3" t="s">
        <v>449</v>
      </c>
      <c r="AC298" s="3" t="s">
        <v>10</v>
      </c>
      <c r="AD298">
        <v>0</v>
      </c>
      <c r="AE298">
        <v>0</v>
      </c>
      <c r="AF298" s="3" t="s">
        <v>640</v>
      </c>
    </row>
    <row r="299" spans="1:32" x14ac:dyDescent="0.35">
      <c r="A299" s="3" t="s">
        <v>608</v>
      </c>
      <c r="B299" s="3" t="s">
        <v>608</v>
      </c>
      <c r="C299" s="3" t="s">
        <v>608</v>
      </c>
      <c r="D299" s="3" t="s">
        <v>608</v>
      </c>
      <c r="E299" s="3" t="s">
        <v>608</v>
      </c>
      <c r="F299" s="3" t="s">
        <v>640</v>
      </c>
      <c r="G299" s="3" t="s">
        <v>1438</v>
      </c>
      <c r="H299" s="3" t="s">
        <v>1438</v>
      </c>
      <c r="I299" s="3" t="s">
        <v>640</v>
      </c>
      <c r="J299" s="3" t="s">
        <v>4</v>
      </c>
      <c r="K299" s="3" t="s">
        <v>640</v>
      </c>
      <c r="L299" s="3" t="s">
        <v>448</v>
      </c>
      <c r="M299" s="3" t="s">
        <v>14</v>
      </c>
      <c r="N299">
        <v>0</v>
      </c>
      <c r="O299">
        <v>75.959999999999994</v>
      </c>
      <c r="Q299">
        <v>0</v>
      </c>
      <c r="R299">
        <v>16</v>
      </c>
      <c r="S299" s="3" t="s">
        <v>640</v>
      </c>
      <c r="T299">
        <v>0</v>
      </c>
      <c r="U299">
        <v>0</v>
      </c>
      <c r="V299">
        <v>0</v>
      </c>
      <c r="W299">
        <v>0</v>
      </c>
      <c r="X299">
        <v>0</v>
      </c>
      <c r="Y299" s="3" t="s">
        <v>640</v>
      </c>
      <c r="Z299">
        <v>75.959999999999994</v>
      </c>
      <c r="AA299">
        <v>3000000</v>
      </c>
      <c r="AB299" s="3" t="s">
        <v>449</v>
      </c>
      <c r="AC299" s="3" t="s">
        <v>10</v>
      </c>
      <c r="AD299">
        <v>0</v>
      </c>
      <c r="AE299">
        <v>0</v>
      </c>
      <c r="AF299" s="3" t="s">
        <v>640</v>
      </c>
    </row>
    <row r="300" spans="1:32" x14ac:dyDescent="0.35">
      <c r="A300" s="3" t="s">
        <v>608</v>
      </c>
      <c r="B300" s="3" t="s">
        <v>608</v>
      </c>
      <c r="C300" s="3" t="s">
        <v>608</v>
      </c>
      <c r="D300" s="3" t="s">
        <v>608</v>
      </c>
      <c r="E300" s="3" t="s">
        <v>608</v>
      </c>
      <c r="F300" s="3" t="s">
        <v>640</v>
      </c>
      <c r="G300" s="3" t="s">
        <v>482</v>
      </c>
      <c r="H300" s="3" t="s">
        <v>482</v>
      </c>
      <c r="I300" s="3" t="s">
        <v>640</v>
      </c>
      <c r="J300" s="3" t="s">
        <v>4</v>
      </c>
      <c r="K300" s="3" t="s">
        <v>640</v>
      </c>
      <c r="L300" s="3" t="s">
        <v>448</v>
      </c>
      <c r="M300" s="3" t="s">
        <v>14</v>
      </c>
      <c r="N300">
        <v>3080000</v>
      </c>
      <c r="O300">
        <v>75.209999999999994</v>
      </c>
      <c r="Q300">
        <v>0</v>
      </c>
      <c r="R300">
        <v>19</v>
      </c>
      <c r="S300" s="3" t="s">
        <v>640</v>
      </c>
      <c r="T300">
        <v>0</v>
      </c>
      <c r="U300">
        <v>0</v>
      </c>
      <c r="V300">
        <v>0</v>
      </c>
      <c r="W300">
        <v>0</v>
      </c>
      <c r="X300">
        <v>-2306476</v>
      </c>
      <c r="Y300" s="3" t="s">
        <v>640</v>
      </c>
      <c r="Z300">
        <v>75.209999999999994</v>
      </c>
      <c r="AA300">
        <v>3080000</v>
      </c>
      <c r="AB300" s="3" t="s">
        <v>449</v>
      </c>
      <c r="AC300" s="3" t="s">
        <v>10</v>
      </c>
      <c r="AD300">
        <v>0</v>
      </c>
      <c r="AE300">
        <v>0</v>
      </c>
      <c r="AF300" s="3" t="s">
        <v>640</v>
      </c>
    </row>
    <row r="301" spans="1:32" x14ac:dyDescent="0.35">
      <c r="A301" s="3" t="s">
        <v>608</v>
      </c>
      <c r="B301" s="3" t="s">
        <v>608</v>
      </c>
      <c r="C301" s="3" t="s">
        <v>608</v>
      </c>
      <c r="D301" s="3" t="s">
        <v>608</v>
      </c>
      <c r="E301" s="3" t="s">
        <v>608</v>
      </c>
      <c r="F301" s="3" t="s">
        <v>640</v>
      </c>
      <c r="G301" s="3" t="s">
        <v>1663</v>
      </c>
      <c r="H301" s="3" t="s">
        <v>1663</v>
      </c>
      <c r="I301" s="3" t="s">
        <v>640</v>
      </c>
      <c r="J301" s="3" t="s">
        <v>283</v>
      </c>
      <c r="K301" s="3" t="s">
        <v>640</v>
      </c>
      <c r="L301" s="3" t="s">
        <v>448</v>
      </c>
      <c r="M301" s="3" t="s">
        <v>14</v>
      </c>
      <c r="N301">
        <v>2300000</v>
      </c>
      <c r="O301">
        <v>80.018000000000001</v>
      </c>
      <c r="Q301">
        <v>0</v>
      </c>
      <c r="R301">
        <v>-14</v>
      </c>
      <c r="S301" s="3" t="s">
        <v>640</v>
      </c>
      <c r="T301">
        <v>0</v>
      </c>
      <c r="U301">
        <v>0</v>
      </c>
      <c r="V301">
        <v>0</v>
      </c>
      <c r="W301">
        <v>0</v>
      </c>
      <c r="X301">
        <v>-2055349</v>
      </c>
      <c r="Y301" s="3" t="s">
        <v>640</v>
      </c>
      <c r="Z301">
        <v>80.018000000000001</v>
      </c>
      <c r="AA301">
        <v>2300000</v>
      </c>
      <c r="AB301" s="3" t="s">
        <v>449</v>
      </c>
      <c r="AC301" s="3" t="s">
        <v>10</v>
      </c>
      <c r="AD301">
        <v>0</v>
      </c>
      <c r="AE301">
        <v>0</v>
      </c>
      <c r="AF301" s="3" t="s">
        <v>640</v>
      </c>
    </row>
    <row r="302" spans="1:32" x14ac:dyDescent="0.35">
      <c r="A302" s="3" t="s">
        <v>608</v>
      </c>
      <c r="B302" s="3" t="s">
        <v>608</v>
      </c>
      <c r="C302" s="3" t="s">
        <v>608</v>
      </c>
      <c r="D302" s="3" t="s">
        <v>608</v>
      </c>
      <c r="E302" s="3" t="s">
        <v>608</v>
      </c>
      <c r="F302" s="3" t="s">
        <v>640</v>
      </c>
      <c r="G302" s="3" t="s">
        <v>874</v>
      </c>
      <c r="H302" s="3" t="s">
        <v>874</v>
      </c>
      <c r="I302" s="3" t="s">
        <v>640</v>
      </c>
      <c r="J302" s="3" t="s">
        <v>4</v>
      </c>
      <c r="K302" s="3" t="s">
        <v>640</v>
      </c>
      <c r="L302" s="3" t="s">
        <v>448</v>
      </c>
      <c r="M302" s="3" t="s">
        <v>14</v>
      </c>
      <c r="N302">
        <v>1859000</v>
      </c>
      <c r="O302">
        <v>88.408000000000001</v>
      </c>
      <c r="Q302">
        <v>0</v>
      </c>
      <c r="R302">
        <v>11</v>
      </c>
      <c r="S302" s="3" t="s">
        <v>640</v>
      </c>
      <c r="T302">
        <v>0</v>
      </c>
      <c r="U302">
        <v>0</v>
      </c>
      <c r="V302">
        <v>0</v>
      </c>
      <c r="W302">
        <v>0</v>
      </c>
      <c r="X302">
        <v>-1643510</v>
      </c>
      <c r="Y302" s="3" t="s">
        <v>640</v>
      </c>
      <c r="Z302">
        <v>88.408000000000001</v>
      </c>
      <c r="AA302">
        <v>1859000</v>
      </c>
      <c r="AB302" s="3" t="s">
        <v>449</v>
      </c>
      <c r="AC302" s="3" t="s">
        <v>10</v>
      </c>
      <c r="AD302">
        <v>0</v>
      </c>
      <c r="AE302">
        <v>0</v>
      </c>
      <c r="AF302" s="3" t="s">
        <v>640</v>
      </c>
    </row>
    <row r="303" spans="1:32" x14ac:dyDescent="0.35">
      <c r="A303" s="3" t="s">
        <v>608</v>
      </c>
      <c r="B303" s="3" t="s">
        <v>608</v>
      </c>
      <c r="C303" s="3" t="s">
        <v>608</v>
      </c>
      <c r="D303" s="3" t="s">
        <v>608</v>
      </c>
      <c r="E303" s="3" t="s">
        <v>608</v>
      </c>
      <c r="F303" s="3" t="s">
        <v>640</v>
      </c>
      <c r="G303" s="3" t="s">
        <v>539</v>
      </c>
      <c r="H303" s="3" t="s">
        <v>539</v>
      </c>
      <c r="I303" s="3" t="s">
        <v>640</v>
      </c>
      <c r="J303" s="3" t="s">
        <v>4</v>
      </c>
      <c r="K303" s="3" t="s">
        <v>640</v>
      </c>
      <c r="L303" s="3" t="s">
        <v>448</v>
      </c>
      <c r="M303" s="3" t="s">
        <v>14</v>
      </c>
      <c r="N303">
        <v>-554000</v>
      </c>
      <c r="O303">
        <v>104.08499999999999</v>
      </c>
      <c r="Q303">
        <v>0</v>
      </c>
      <c r="R303">
        <v>-15</v>
      </c>
      <c r="S303" s="3" t="s">
        <v>640</v>
      </c>
      <c r="T303">
        <v>0</v>
      </c>
      <c r="U303">
        <v>0</v>
      </c>
      <c r="V303">
        <v>0</v>
      </c>
      <c r="W303">
        <v>0</v>
      </c>
      <c r="X303">
        <v>577342</v>
      </c>
      <c r="Y303" s="3" t="s">
        <v>640</v>
      </c>
      <c r="Z303">
        <v>104.08499999999999</v>
      </c>
      <c r="AA303">
        <v>-554000</v>
      </c>
      <c r="AB303" s="3" t="s">
        <v>449</v>
      </c>
      <c r="AC303" s="3" t="s">
        <v>10</v>
      </c>
      <c r="AD303">
        <v>0</v>
      </c>
      <c r="AE303">
        <v>0</v>
      </c>
      <c r="AF303" s="3" t="s">
        <v>640</v>
      </c>
    </row>
    <row r="304" spans="1:32" x14ac:dyDescent="0.35">
      <c r="A304" s="3" t="s">
        <v>608</v>
      </c>
      <c r="B304" s="3" t="s">
        <v>608</v>
      </c>
      <c r="C304" s="3" t="s">
        <v>608</v>
      </c>
      <c r="D304" s="3" t="s">
        <v>608</v>
      </c>
      <c r="E304" s="3" t="s">
        <v>608</v>
      </c>
      <c r="F304" s="3" t="s">
        <v>640</v>
      </c>
      <c r="G304" s="3" t="s">
        <v>504</v>
      </c>
      <c r="H304" s="3" t="s">
        <v>504</v>
      </c>
      <c r="I304" s="3" t="s">
        <v>640</v>
      </c>
      <c r="J304" s="3" t="s">
        <v>4</v>
      </c>
      <c r="K304" s="3" t="s">
        <v>640</v>
      </c>
      <c r="L304" s="3" t="s">
        <v>448</v>
      </c>
      <c r="M304" s="3" t="s">
        <v>14</v>
      </c>
      <c r="N304">
        <v>-3300000</v>
      </c>
      <c r="O304">
        <v>106.14100000000001</v>
      </c>
      <c r="Q304">
        <v>0</v>
      </c>
      <c r="R304">
        <v>-93</v>
      </c>
      <c r="S304" s="3" t="s">
        <v>640</v>
      </c>
      <c r="T304">
        <v>0</v>
      </c>
      <c r="U304">
        <v>0</v>
      </c>
      <c r="V304">
        <v>0</v>
      </c>
      <c r="W304">
        <v>0</v>
      </c>
      <c r="X304">
        <v>3505320</v>
      </c>
      <c r="Y304" s="3" t="s">
        <v>640</v>
      </c>
      <c r="Z304">
        <v>106.14100000000001</v>
      </c>
      <c r="AA304">
        <v>-3300000</v>
      </c>
      <c r="AB304" s="3" t="s">
        <v>449</v>
      </c>
      <c r="AC304" s="3" t="s">
        <v>10</v>
      </c>
      <c r="AD304">
        <v>0</v>
      </c>
      <c r="AE304">
        <v>0</v>
      </c>
      <c r="AF304" s="3" t="s">
        <v>640</v>
      </c>
    </row>
    <row r="305" spans="1:32" x14ac:dyDescent="0.35">
      <c r="A305" s="3" t="s">
        <v>608</v>
      </c>
      <c r="B305" s="3" t="s">
        <v>608</v>
      </c>
      <c r="C305" s="3" t="s">
        <v>608</v>
      </c>
      <c r="D305" s="3" t="s">
        <v>608</v>
      </c>
      <c r="E305" s="3" t="s">
        <v>608</v>
      </c>
      <c r="F305" s="3" t="s">
        <v>640</v>
      </c>
      <c r="G305" s="3" t="s">
        <v>514</v>
      </c>
      <c r="H305" s="3" t="s">
        <v>514</v>
      </c>
      <c r="I305" s="3" t="s">
        <v>640</v>
      </c>
      <c r="J305" s="3" t="s">
        <v>4</v>
      </c>
      <c r="K305" s="3" t="s">
        <v>640</v>
      </c>
      <c r="L305" s="3" t="s">
        <v>448</v>
      </c>
      <c r="M305" s="3" t="s">
        <v>14</v>
      </c>
      <c r="N305">
        <v>-5300000</v>
      </c>
      <c r="O305">
        <v>107.11499999999999</v>
      </c>
      <c r="Q305">
        <v>0</v>
      </c>
      <c r="R305">
        <v>-150</v>
      </c>
      <c r="S305" s="3" t="s">
        <v>640</v>
      </c>
      <c r="T305">
        <v>0</v>
      </c>
      <c r="U305">
        <v>0</v>
      </c>
      <c r="V305">
        <v>0</v>
      </c>
      <c r="W305">
        <v>0</v>
      </c>
      <c r="X305">
        <v>5677079</v>
      </c>
      <c r="Y305" s="3" t="s">
        <v>640</v>
      </c>
      <c r="Z305">
        <v>107.11499999999999</v>
      </c>
      <c r="AA305">
        <v>-5300000</v>
      </c>
      <c r="AB305" s="3" t="s">
        <v>449</v>
      </c>
      <c r="AC305" s="3" t="s">
        <v>10</v>
      </c>
      <c r="AD305">
        <v>0</v>
      </c>
      <c r="AE305">
        <v>0</v>
      </c>
      <c r="AF305" s="3" t="s">
        <v>640</v>
      </c>
    </row>
    <row r="306" spans="1:32" x14ac:dyDescent="0.35">
      <c r="A306" s="3" t="s">
        <v>608</v>
      </c>
      <c r="B306" s="3" t="s">
        <v>608</v>
      </c>
      <c r="C306" s="3" t="s">
        <v>608</v>
      </c>
      <c r="D306" s="3" t="s">
        <v>608</v>
      </c>
      <c r="E306" s="3" t="s">
        <v>608</v>
      </c>
      <c r="F306" s="3" t="s">
        <v>640</v>
      </c>
      <c r="G306" s="3" t="s">
        <v>506</v>
      </c>
      <c r="H306" s="3" t="s">
        <v>506</v>
      </c>
      <c r="I306" s="3" t="s">
        <v>640</v>
      </c>
      <c r="J306" s="3" t="s">
        <v>4</v>
      </c>
      <c r="K306" s="3" t="s">
        <v>640</v>
      </c>
      <c r="L306" s="3" t="s">
        <v>448</v>
      </c>
      <c r="M306" s="3" t="s">
        <v>14</v>
      </c>
      <c r="N306">
        <v>-2600000</v>
      </c>
      <c r="O306">
        <v>107.90600000000001</v>
      </c>
      <c r="Q306">
        <v>0</v>
      </c>
      <c r="R306">
        <v>-74</v>
      </c>
      <c r="S306" s="3" t="s">
        <v>640</v>
      </c>
      <c r="T306">
        <v>0</v>
      </c>
      <c r="U306">
        <v>0</v>
      </c>
      <c r="V306">
        <v>0</v>
      </c>
      <c r="W306">
        <v>0</v>
      </c>
      <c r="X306">
        <v>2807123</v>
      </c>
      <c r="Y306" s="3" t="s">
        <v>640</v>
      </c>
      <c r="Z306">
        <v>107.90600000000001</v>
      </c>
      <c r="AA306">
        <v>-2600000</v>
      </c>
      <c r="AB306" s="3" t="s">
        <v>449</v>
      </c>
      <c r="AC306" s="3" t="s">
        <v>10</v>
      </c>
      <c r="AD306">
        <v>0</v>
      </c>
      <c r="AE306">
        <v>0</v>
      </c>
      <c r="AF306" s="3" t="s">
        <v>640</v>
      </c>
    </row>
    <row r="307" spans="1:32" x14ac:dyDescent="0.35">
      <c r="A307" s="3" t="s">
        <v>608</v>
      </c>
      <c r="B307" s="3" t="s">
        <v>608</v>
      </c>
      <c r="C307" s="3" t="s">
        <v>608</v>
      </c>
      <c r="D307" s="3" t="s">
        <v>608</v>
      </c>
      <c r="E307" s="3" t="s">
        <v>608</v>
      </c>
      <c r="F307" s="3" t="s">
        <v>640</v>
      </c>
      <c r="G307" s="3" t="s">
        <v>520</v>
      </c>
      <c r="H307" s="3" t="s">
        <v>520</v>
      </c>
      <c r="I307" s="3" t="s">
        <v>640</v>
      </c>
      <c r="J307" s="3" t="s">
        <v>4</v>
      </c>
      <c r="K307" s="3" t="s">
        <v>640</v>
      </c>
      <c r="L307" s="3" t="s">
        <v>448</v>
      </c>
      <c r="M307" s="3" t="s">
        <v>14</v>
      </c>
      <c r="N307">
        <v>-1285000</v>
      </c>
      <c r="O307">
        <v>107.17</v>
      </c>
      <c r="Q307">
        <v>0</v>
      </c>
      <c r="R307">
        <v>-37</v>
      </c>
      <c r="S307" s="3" t="s">
        <v>640</v>
      </c>
      <c r="T307">
        <v>0</v>
      </c>
      <c r="U307">
        <v>0</v>
      </c>
      <c r="V307">
        <v>0</v>
      </c>
      <c r="W307">
        <v>0</v>
      </c>
      <c r="X307">
        <v>1384515</v>
      </c>
      <c r="Y307" s="3" t="s">
        <v>640</v>
      </c>
      <c r="Z307">
        <v>107.17</v>
      </c>
      <c r="AA307">
        <v>-1285000</v>
      </c>
      <c r="AB307" s="3" t="s">
        <v>449</v>
      </c>
      <c r="AC307" s="3" t="s">
        <v>10</v>
      </c>
      <c r="AD307">
        <v>0</v>
      </c>
      <c r="AE307">
        <v>0</v>
      </c>
      <c r="AF307" s="3" t="s">
        <v>640</v>
      </c>
    </row>
    <row r="308" spans="1:32" x14ac:dyDescent="0.35">
      <c r="A308" s="3" t="s">
        <v>608</v>
      </c>
      <c r="B308" s="3" t="s">
        <v>608</v>
      </c>
      <c r="C308" s="3" t="s">
        <v>608</v>
      </c>
      <c r="D308" s="3" t="s">
        <v>608</v>
      </c>
      <c r="E308" s="3" t="s">
        <v>608</v>
      </c>
      <c r="F308" s="3" t="s">
        <v>640</v>
      </c>
      <c r="G308" s="3" t="s">
        <v>555</v>
      </c>
      <c r="H308" s="3" t="s">
        <v>555</v>
      </c>
      <c r="I308" s="3" t="s">
        <v>640</v>
      </c>
      <c r="J308" s="3" t="s">
        <v>4</v>
      </c>
      <c r="K308" s="3" t="s">
        <v>640</v>
      </c>
      <c r="L308" s="3" t="s">
        <v>448</v>
      </c>
      <c r="M308" s="3" t="s">
        <v>14</v>
      </c>
      <c r="N308">
        <v>-1345000</v>
      </c>
      <c r="O308">
        <v>111.068</v>
      </c>
      <c r="Q308">
        <v>0</v>
      </c>
      <c r="R308">
        <v>-39</v>
      </c>
      <c r="S308" s="3" t="s">
        <v>640</v>
      </c>
      <c r="T308">
        <v>0</v>
      </c>
      <c r="U308">
        <v>0</v>
      </c>
      <c r="V308">
        <v>0</v>
      </c>
      <c r="W308">
        <v>0</v>
      </c>
      <c r="X308">
        <v>1477265</v>
      </c>
      <c r="Y308" s="3" t="s">
        <v>640</v>
      </c>
      <c r="Z308">
        <v>111.068</v>
      </c>
      <c r="AA308">
        <v>-1345000</v>
      </c>
      <c r="AB308" s="3" t="s">
        <v>449</v>
      </c>
      <c r="AC308" s="3" t="s">
        <v>10</v>
      </c>
      <c r="AD308">
        <v>0</v>
      </c>
      <c r="AE308">
        <v>0</v>
      </c>
      <c r="AF308" s="3" t="s">
        <v>640</v>
      </c>
    </row>
    <row r="309" spans="1:32" x14ac:dyDescent="0.35">
      <c r="A309" s="3" t="s">
        <v>608</v>
      </c>
      <c r="B309" s="3" t="s">
        <v>608</v>
      </c>
      <c r="C309" s="3" t="s">
        <v>608</v>
      </c>
      <c r="D309" s="3" t="s">
        <v>608</v>
      </c>
      <c r="E309" s="3" t="s">
        <v>608</v>
      </c>
      <c r="F309" s="3" t="s">
        <v>640</v>
      </c>
      <c r="G309" s="3" t="s">
        <v>508</v>
      </c>
      <c r="H309" s="3" t="s">
        <v>508</v>
      </c>
      <c r="I309" s="3" t="s">
        <v>640</v>
      </c>
      <c r="J309" s="3" t="s">
        <v>283</v>
      </c>
      <c r="K309" s="3" t="s">
        <v>640</v>
      </c>
      <c r="L309" s="3" t="s">
        <v>448</v>
      </c>
      <c r="M309" s="3" t="s">
        <v>14</v>
      </c>
      <c r="N309">
        <v>1650000</v>
      </c>
      <c r="O309">
        <v>77.162000000000006</v>
      </c>
      <c r="Q309">
        <v>0</v>
      </c>
      <c r="R309">
        <v>-16</v>
      </c>
      <c r="S309" s="3" t="s">
        <v>640</v>
      </c>
      <c r="T309">
        <v>0</v>
      </c>
      <c r="U309">
        <v>0</v>
      </c>
      <c r="V309">
        <v>0</v>
      </c>
      <c r="W309">
        <v>0</v>
      </c>
      <c r="X309">
        <v>-1427653</v>
      </c>
      <c r="Y309" s="3" t="s">
        <v>640</v>
      </c>
      <c r="Z309">
        <v>77.162000000000006</v>
      </c>
      <c r="AA309">
        <v>1650000</v>
      </c>
      <c r="AB309" s="3" t="s">
        <v>449</v>
      </c>
      <c r="AC309" s="3" t="s">
        <v>10</v>
      </c>
      <c r="AD309">
        <v>0</v>
      </c>
      <c r="AE309">
        <v>0</v>
      </c>
      <c r="AF309" s="3" t="s">
        <v>640</v>
      </c>
    </row>
    <row r="310" spans="1:32" x14ac:dyDescent="0.35">
      <c r="A310" s="3" t="s">
        <v>608</v>
      </c>
      <c r="B310" s="3" t="s">
        <v>608</v>
      </c>
      <c r="C310" s="3" t="s">
        <v>608</v>
      </c>
      <c r="D310" s="3" t="s">
        <v>608</v>
      </c>
      <c r="E310" s="3" t="s">
        <v>608</v>
      </c>
      <c r="F310" s="3" t="s">
        <v>640</v>
      </c>
      <c r="G310" s="3" t="s">
        <v>528</v>
      </c>
      <c r="H310" s="3" t="s">
        <v>528</v>
      </c>
      <c r="I310" s="3" t="s">
        <v>640</v>
      </c>
      <c r="J310" s="3" t="s">
        <v>4</v>
      </c>
      <c r="K310" s="3" t="s">
        <v>640</v>
      </c>
      <c r="L310" s="3" t="s">
        <v>448</v>
      </c>
      <c r="M310" s="3" t="s">
        <v>14</v>
      </c>
      <c r="N310">
        <v>3000000</v>
      </c>
      <c r="O310">
        <v>94.385999999999996</v>
      </c>
      <c r="Q310">
        <v>0</v>
      </c>
      <c r="R310">
        <v>20</v>
      </c>
      <c r="S310" s="3" t="s">
        <v>640</v>
      </c>
      <c r="T310">
        <v>0</v>
      </c>
      <c r="U310">
        <v>0</v>
      </c>
      <c r="V310">
        <v>0</v>
      </c>
      <c r="W310">
        <v>0</v>
      </c>
      <c r="X310">
        <v>-2831582</v>
      </c>
      <c r="Y310" s="3" t="s">
        <v>640</v>
      </c>
      <c r="Z310">
        <v>94.385999999999996</v>
      </c>
      <c r="AA310">
        <v>3000000</v>
      </c>
      <c r="AB310" s="3" t="s">
        <v>449</v>
      </c>
      <c r="AC310" s="3" t="s">
        <v>10</v>
      </c>
      <c r="AD310">
        <v>0</v>
      </c>
      <c r="AE310">
        <v>0</v>
      </c>
      <c r="AF310" s="3" t="s">
        <v>640</v>
      </c>
    </row>
    <row r="311" spans="1:32" x14ac:dyDescent="0.35">
      <c r="A311" s="3" t="s">
        <v>608</v>
      </c>
      <c r="B311" s="3" t="s">
        <v>608</v>
      </c>
      <c r="C311" s="3" t="s">
        <v>608</v>
      </c>
      <c r="D311" s="3" t="s">
        <v>608</v>
      </c>
      <c r="E311" s="3" t="s">
        <v>608</v>
      </c>
      <c r="F311" s="3" t="s">
        <v>640</v>
      </c>
      <c r="G311" s="3" t="s">
        <v>512</v>
      </c>
      <c r="H311" s="3" t="s">
        <v>512</v>
      </c>
      <c r="I311" s="3" t="s">
        <v>640</v>
      </c>
      <c r="J311" s="3" t="s">
        <v>4</v>
      </c>
      <c r="K311" s="3" t="s">
        <v>640</v>
      </c>
      <c r="L311" s="3" t="s">
        <v>448</v>
      </c>
      <c r="M311" s="3" t="s">
        <v>14</v>
      </c>
      <c r="N311">
        <v>-1515000</v>
      </c>
      <c r="O311">
        <v>117.57299999999999</v>
      </c>
      <c r="Q311">
        <v>0</v>
      </c>
      <c r="R311">
        <v>-47</v>
      </c>
      <c r="S311" s="3" t="s">
        <v>640</v>
      </c>
      <c r="T311">
        <v>0</v>
      </c>
      <c r="U311">
        <v>0</v>
      </c>
      <c r="V311">
        <v>0</v>
      </c>
      <c r="W311">
        <v>0</v>
      </c>
      <c r="X311">
        <v>1781227</v>
      </c>
      <c r="Y311" s="3" t="s">
        <v>640</v>
      </c>
      <c r="Z311">
        <v>117.57299999999999</v>
      </c>
      <c r="AA311">
        <v>-1515000</v>
      </c>
      <c r="AB311" s="3" t="s">
        <v>449</v>
      </c>
      <c r="AC311" s="3" t="s">
        <v>10</v>
      </c>
      <c r="AD311">
        <v>0</v>
      </c>
      <c r="AE311">
        <v>0</v>
      </c>
      <c r="AF311" s="3" t="s">
        <v>640</v>
      </c>
    </row>
    <row r="312" spans="1:32" x14ac:dyDescent="0.35">
      <c r="A312" s="3" t="s">
        <v>608</v>
      </c>
      <c r="B312" s="3" t="s">
        <v>608</v>
      </c>
      <c r="C312" s="3" t="s">
        <v>608</v>
      </c>
      <c r="D312" s="3" t="s">
        <v>608</v>
      </c>
      <c r="E312" s="3" t="s">
        <v>608</v>
      </c>
      <c r="F312" s="3" t="s">
        <v>640</v>
      </c>
      <c r="G312" s="3" t="s">
        <v>455</v>
      </c>
      <c r="H312" s="3" t="s">
        <v>455</v>
      </c>
      <c r="I312" s="3" t="s">
        <v>640</v>
      </c>
      <c r="J312" s="3" t="s">
        <v>4</v>
      </c>
      <c r="K312" s="3" t="s">
        <v>640</v>
      </c>
      <c r="L312" s="3" t="s">
        <v>448</v>
      </c>
      <c r="M312" s="3" t="s">
        <v>14</v>
      </c>
      <c r="N312">
        <v>-15471000</v>
      </c>
      <c r="O312">
        <v>101.72499999999999</v>
      </c>
      <c r="Q312">
        <v>0</v>
      </c>
      <c r="R312">
        <v>-496</v>
      </c>
      <c r="S312" s="3" t="s">
        <v>640</v>
      </c>
      <c r="T312">
        <v>0</v>
      </c>
      <c r="U312">
        <v>0</v>
      </c>
      <c r="V312">
        <v>0</v>
      </c>
      <c r="W312">
        <v>0</v>
      </c>
      <c r="X312">
        <v>15759940</v>
      </c>
      <c r="Y312" s="3" t="s">
        <v>640</v>
      </c>
      <c r="Z312">
        <v>104.387</v>
      </c>
      <c r="AA312">
        <v>-18471000</v>
      </c>
      <c r="AB312" s="3" t="s">
        <v>449</v>
      </c>
      <c r="AC312" s="3" t="s">
        <v>10</v>
      </c>
      <c r="AD312">
        <v>0</v>
      </c>
      <c r="AE312">
        <v>0</v>
      </c>
      <c r="AF312" s="3" t="s">
        <v>640</v>
      </c>
    </row>
    <row r="313" spans="1:32" x14ac:dyDescent="0.35">
      <c r="A313" s="3" t="s">
        <v>608</v>
      </c>
      <c r="B313" s="3" t="s">
        <v>608</v>
      </c>
      <c r="C313" s="3" t="s">
        <v>608</v>
      </c>
      <c r="D313" s="3" t="s">
        <v>608</v>
      </c>
      <c r="E313" s="3" t="s">
        <v>608</v>
      </c>
      <c r="F313" s="3" t="s">
        <v>640</v>
      </c>
      <c r="G313" s="3" t="s">
        <v>516</v>
      </c>
      <c r="H313" s="3" t="s">
        <v>516</v>
      </c>
      <c r="I313" s="3" t="s">
        <v>640</v>
      </c>
      <c r="J313" s="3" t="s">
        <v>4</v>
      </c>
      <c r="K313" s="3" t="s">
        <v>640</v>
      </c>
      <c r="L313" s="3" t="s">
        <v>448</v>
      </c>
      <c r="M313" s="3" t="s">
        <v>14</v>
      </c>
      <c r="N313">
        <v>0</v>
      </c>
      <c r="O313">
        <v>110.545</v>
      </c>
      <c r="Q313">
        <v>0</v>
      </c>
      <c r="R313">
        <v>0</v>
      </c>
      <c r="S313" s="3" t="s">
        <v>640</v>
      </c>
      <c r="T313">
        <v>0</v>
      </c>
      <c r="U313">
        <v>0</v>
      </c>
      <c r="V313">
        <v>0</v>
      </c>
      <c r="W313">
        <v>0</v>
      </c>
      <c r="X313">
        <v>0</v>
      </c>
      <c r="Y313" s="3" t="s">
        <v>640</v>
      </c>
      <c r="Z313">
        <v>110.545</v>
      </c>
      <c r="AA313">
        <v>0</v>
      </c>
      <c r="AB313" s="3" t="s">
        <v>449</v>
      </c>
      <c r="AC313" s="3" t="s">
        <v>10</v>
      </c>
      <c r="AD313">
        <v>0</v>
      </c>
      <c r="AE313">
        <v>0</v>
      </c>
      <c r="AF313" s="3" t="s">
        <v>640</v>
      </c>
    </row>
    <row r="314" spans="1:32" x14ac:dyDescent="0.35">
      <c r="A314" s="3" t="s">
        <v>608</v>
      </c>
      <c r="B314" s="3" t="s">
        <v>608</v>
      </c>
      <c r="C314" s="3" t="s">
        <v>608</v>
      </c>
      <c r="D314" s="3" t="s">
        <v>608</v>
      </c>
      <c r="E314" s="3" t="s">
        <v>608</v>
      </c>
      <c r="F314" s="3" t="s">
        <v>640</v>
      </c>
      <c r="G314" s="3" t="s">
        <v>486</v>
      </c>
      <c r="H314" s="3" t="s">
        <v>486</v>
      </c>
      <c r="I314" s="3" t="s">
        <v>640</v>
      </c>
      <c r="J314" s="3" t="s">
        <v>4</v>
      </c>
      <c r="K314" s="3" t="s">
        <v>640</v>
      </c>
      <c r="L314" s="3" t="s">
        <v>448</v>
      </c>
      <c r="M314" s="3" t="s">
        <v>14</v>
      </c>
      <c r="N314">
        <v>1000000</v>
      </c>
      <c r="O314">
        <v>90.635999999999996</v>
      </c>
      <c r="Q314">
        <v>0</v>
      </c>
      <c r="R314">
        <v>6</v>
      </c>
      <c r="S314" s="3" t="s">
        <v>640</v>
      </c>
      <c r="T314">
        <v>0</v>
      </c>
      <c r="U314">
        <v>0</v>
      </c>
      <c r="V314">
        <v>0</v>
      </c>
      <c r="W314">
        <v>0</v>
      </c>
      <c r="X314">
        <v>-906364</v>
      </c>
      <c r="Y314" s="3" t="s">
        <v>640</v>
      </c>
      <c r="Z314">
        <v>90.635999999999996</v>
      </c>
      <c r="AA314">
        <v>1000000</v>
      </c>
      <c r="AB314" s="3" t="s">
        <v>449</v>
      </c>
      <c r="AC314" s="3" t="s">
        <v>10</v>
      </c>
      <c r="AD314">
        <v>0</v>
      </c>
      <c r="AE314">
        <v>0</v>
      </c>
      <c r="AF314" s="3" t="s">
        <v>640</v>
      </c>
    </row>
    <row r="315" spans="1:32" x14ac:dyDescent="0.35">
      <c r="A315" s="3" t="s">
        <v>608</v>
      </c>
      <c r="B315" s="3" t="s">
        <v>608</v>
      </c>
      <c r="C315" s="3" t="s">
        <v>608</v>
      </c>
      <c r="D315" s="3" t="s">
        <v>608</v>
      </c>
      <c r="E315" s="3" t="s">
        <v>608</v>
      </c>
      <c r="F315" s="3" t="s">
        <v>640</v>
      </c>
      <c r="G315" s="3" t="s">
        <v>487</v>
      </c>
      <c r="H315" s="3" t="s">
        <v>487</v>
      </c>
      <c r="I315" s="3" t="s">
        <v>640</v>
      </c>
      <c r="J315" s="3" t="s">
        <v>4</v>
      </c>
      <c r="K315" s="3" t="s">
        <v>640</v>
      </c>
      <c r="L315" s="3" t="s">
        <v>448</v>
      </c>
      <c r="M315" s="3" t="s">
        <v>14</v>
      </c>
      <c r="N315">
        <v>3000000</v>
      </c>
      <c r="O315">
        <v>98.866</v>
      </c>
      <c r="Q315">
        <v>0</v>
      </c>
      <c r="R315">
        <v>21</v>
      </c>
      <c r="S315" s="3" t="s">
        <v>640</v>
      </c>
      <c r="T315">
        <v>0</v>
      </c>
      <c r="U315">
        <v>0</v>
      </c>
      <c r="V315">
        <v>0</v>
      </c>
      <c r="W315">
        <v>0</v>
      </c>
      <c r="X315">
        <v>-2965984</v>
      </c>
      <c r="Y315" s="3" t="s">
        <v>640</v>
      </c>
      <c r="Z315">
        <v>98.866</v>
      </c>
      <c r="AA315">
        <v>3000000</v>
      </c>
      <c r="AB315" s="3" t="s">
        <v>449</v>
      </c>
      <c r="AC315" s="3" t="s">
        <v>10</v>
      </c>
      <c r="AD315">
        <v>0</v>
      </c>
      <c r="AE315">
        <v>0</v>
      </c>
      <c r="AF315" s="3" t="s">
        <v>640</v>
      </c>
    </row>
    <row r="316" spans="1:32" x14ac:dyDescent="0.35">
      <c r="A316" s="3" t="s">
        <v>608</v>
      </c>
      <c r="B316" s="3" t="s">
        <v>608</v>
      </c>
      <c r="C316" s="3" t="s">
        <v>608</v>
      </c>
      <c r="D316" s="3" t="s">
        <v>608</v>
      </c>
      <c r="E316" s="3" t="s">
        <v>608</v>
      </c>
      <c r="F316" s="3" t="s">
        <v>640</v>
      </c>
      <c r="G316" s="3" t="s">
        <v>488</v>
      </c>
      <c r="H316" s="3" t="s">
        <v>488</v>
      </c>
      <c r="I316" s="3" t="s">
        <v>640</v>
      </c>
      <c r="J316" s="3" t="s">
        <v>4</v>
      </c>
      <c r="K316" s="3" t="s">
        <v>640</v>
      </c>
      <c r="L316" s="3" t="s">
        <v>448</v>
      </c>
      <c r="M316" s="3" t="s">
        <v>14</v>
      </c>
      <c r="N316">
        <v>2000000</v>
      </c>
      <c r="O316">
        <v>93.37</v>
      </c>
      <c r="Q316">
        <v>0</v>
      </c>
      <c r="R316">
        <v>13</v>
      </c>
      <c r="S316" s="3" t="s">
        <v>640</v>
      </c>
      <c r="T316">
        <v>0</v>
      </c>
      <c r="U316">
        <v>0</v>
      </c>
      <c r="V316">
        <v>0</v>
      </c>
      <c r="W316">
        <v>0</v>
      </c>
      <c r="X316">
        <v>-1867403</v>
      </c>
      <c r="Y316" s="3" t="s">
        <v>640</v>
      </c>
      <c r="Z316">
        <v>93.37</v>
      </c>
      <c r="AA316">
        <v>2000000</v>
      </c>
      <c r="AB316" s="3" t="s">
        <v>449</v>
      </c>
      <c r="AC316" s="3" t="s">
        <v>10</v>
      </c>
      <c r="AD316">
        <v>0</v>
      </c>
      <c r="AE316">
        <v>0</v>
      </c>
      <c r="AF316" s="3" t="s">
        <v>640</v>
      </c>
    </row>
    <row r="317" spans="1:32" x14ac:dyDescent="0.35">
      <c r="A317" s="3" t="s">
        <v>608</v>
      </c>
      <c r="B317" s="3" t="s">
        <v>608</v>
      </c>
      <c r="C317" s="3" t="s">
        <v>608</v>
      </c>
      <c r="D317" s="3" t="s">
        <v>608</v>
      </c>
      <c r="E317" s="3" t="s">
        <v>608</v>
      </c>
      <c r="F317" s="3" t="s">
        <v>640</v>
      </c>
      <c r="G317" s="3" t="s">
        <v>489</v>
      </c>
      <c r="H317" s="3" t="s">
        <v>489</v>
      </c>
      <c r="I317" s="3" t="s">
        <v>640</v>
      </c>
      <c r="J317" s="3" t="s">
        <v>4</v>
      </c>
      <c r="K317" s="3" t="s">
        <v>640</v>
      </c>
      <c r="L317" s="3" t="s">
        <v>448</v>
      </c>
      <c r="M317" s="3" t="s">
        <v>14</v>
      </c>
      <c r="N317">
        <v>0</v>
      </c>
      <c r="O317">
        <v>120.788</v>
      </c>
      <c r="Q317">
        <v>0</v>
      </c>
      <c r="R317">
        <v>0</v>
      </c>
      <c r="S317" s="3" t="s">
        <v>640</v>
      </c>
      <c r="T317">
        <v>0</v>
      </c>
      <c r="U317">
        <v>0</v>
      </c>
      <c r="V317">
        <v>0</v>
      </c>
      <c r="W317">
        <v>0</v>
      </c>
      <c r="X317">
        <v>0</v>
      </c>
      <c r="Y317" s="3" t="s">
        <v>640</v>
      </c>
      <c r="Z317">
        <v>120.788</v>
      </c>
      <c r="AA317">
        <v>0</v>
      </c>
      <c r="AB317" s="3" t="s">
        <v>449</v>
      </c>
      <c r="AC317" s="3" t="s">
        <v>10</v>
      </c>
      <c r="AD317">
        <v>0</v>
      </c>
      <c r="AE317">
        <v>0</v>
      </c>
      <c r="AF317" s="3" t="s">
        <v>640</v>
      </c>
    </row>
    <row r="318" spans="1:32" x14ac:dyDescent="0.35">
      <c r="A318" s="3" t="s">
        <v>608</v>
      </c>
      <c r="B318" s="3" t="s">
        <v>608</v>
      </c>
      <c r="C318" s="3" t="s">
        <v>608</v>
      </c>
      <c r="D318" s="3" t="s">
        <v>608</v>
      </c>
      <c r="E318" s="3" t="s">
        <v>608</v>
      </c>
      <c r="F318" s="3" t="s">
        <v>640</v>
      </c>
      <c r="G318" s="3" t="s">
        <v>522</v>
      </c>
      <c r="H318" s="3" t="s">
        <v>522</v>
      </c>
      <c r="I318" s="3" t="s">
        <v>640</v>
      </c>
      <c r="J318" s="3" t="s">
        <v>4</v>
      </c>
      <c r="K318" s="3" t="s">
        <v>640</v>
      </c>
      <c r="L318" s="3" t="s">
        <v>448</v>
      </c>
      <c r="M318" s="3" t="s">
        <v>14</v>
      </c>
      <c r="N318">
        <v>-3850000</v>
      </c>
      <c r="O318">
        <v>108.73099999999999</v>
      </c>
      <c r="Q318">
        <v>0</v>
      </c>
      <c r="R318">
        <v>-110</v>
      </c>
      <c r="S318" s="3" t="s">
        <v>640</v>
      </c>
      <c r="T318">
        <v>0</v>
      </c>
      <c r="U318">
        <v>0</v>
      </c>
      <c r="V318">
        <v>0</v>
      </c>
      <c r="W318">
        <v>0</v>
      </c>
      <c r="X318">
        <v>4186157</v>
      </c>
      <c r="Y318" s="3" t="s">
        <v>640</v>
      </c>
      <c r="Z318">
        <v>108.73099999999999</v>
      </c>
      <c r="AA318">
        <v>-3850000</v>
      </c>
      <c r="AB318" s="3" t="s">
        <v>449</v>
      </c>
      <c r="AC318" s="3" t="s">
        <v>10</v>
      </c>
      <c r="AD318">
        <v>0</v>
      </c>
      <c r="AE318">
        <v>0</v>
      </c>
      <c r="AF318" s="3" t="s">
        <v>640</v>
      </c>
    </row>
    <row r="319" spans="1:32" x14ac:dyDescent="0.35">
      <c r="A319" s="3" t="s">
        <v>608</v>
      </c>
      <c r="B319" s="3" t="s">
        <v>608</v>
      </c>
      <c r="C319" s="3" t="s">
        <v>608</v>
      </c>
      <c r="D319" s="3" t="s">
        <v>608</v>
      </c>
      <c r="E319" s="3" t="s">
        <v>608</v>
      </c>
      <c r="F319" s="3" t="s">
        <v>640</v>
      </c>
      <c r="G319" s="3" t="s">
        <v>523</v>
      </c>
      <c r="H319" s="3" t="s">
        <v>523</v>
      </c>
      <c r="I319" s="3" t="s">
        <v>640</v>
      </c>
      <c r="J319" s="3" t="s">
        <v>4</v>
      </c>
      <c r="K319" s="3" t="s">
        <v>640</v>
      </c>
      <c r="L319" s="3" t="s">
        <v>448</v>
      </c>
      <c r="M319" s="3" t="s">
        <v>14</v>
      </c>
      <c r="N319">
        <v>-2850000</v>
      </c>
      <c r="O319">
        <v>105.789</v>
      </c>
      <c r="Q319">
        <v>0</v>
      </c>
      <c r="R319">
        <v>-80</v>
      </c>
      <c r="S319" s="3" t="s">
        <v>640</v>
      </c>
      <c r="T319">
        <v>0</v>
      </c>
      <c r="U319">
        <v>0</v>
      </c>
      <c r="V319">
        <v>0</v>
      </c>
      <c r="W319">
        <v>0</v>
      </c>
      <c r="X319">
        <v>3016798</v>
      </c>
      <c r="Y319" s="3" t="s">
        <v>640</v>
      </c>
      <c r="Z319">
        <v>105.789</v>
      </c>
      <c r="AA319">
        <v>-2850000</v>
      </c>
      <c r="AB319" s="3" t="s">
        <v>449</v>
      </c>
      <c r="AC319" s="3" t="s">
        <v>10</v>
      </c>
      <c r="AD319">
        <v>0</v>
      </c>
      <c r="AE319">
        <v>0</v>
      </c>
      <c r="AF319" s="3" t="s">
        <v>640</v>
      </c>
    </row>
    <row r="320" spans="1:32" x14ac:dyDescent="0.35">
      <c r="A320" s="3" t="s">
        <v>608</v>
      </c>
      <c r="B320" s="3" t="s">
        <v>608</v>
      </c>
      <c r="C320" s="3" t="s">
        <v>608</v>
      </c>
      <c r="D320" s="3" t="s">
        <v>608</v>
      </c>
      <c r="E320" s="3" t="s">
        <v>608</v>
      </c>
      <c r="F320" s="3" t="s">
        <v>640</v>
      </c>
      <c r="G320" s="3" t="s">
        <v>536</v>
      </c>
      <c r="H320" s="3" t="s">
        <v>536</v>
      </c>
      <c r="I320" s="3" t="s">
        <v>640</v>
      </c>
      <c r="J320" s="3" t="s">
        <v>4</v>
      </c>
      <c r="K320" s="3" t="s">
        <v>640</v>
      </c>
      <c r="L320" s="3" t="s">
        <v>448</v>
      </c>
      <c r="M320" s="3" t="s">
        <v>14</v>
      </c>
      <c r="N320">
        <v>0</v>
      </c>
      <c r="O320">
        <v>124.02200000000001</v>
      </c>
      <c r="Q320">
        <v>0</v>
      </c>
      <c r="R320">
        <v>-83</v>
      </c>
      <c r="S320" s="3" t="s">
        <v>640</v>
      </c>
      <c r="T320">
        <v>0</v>
      </c>
      <c r="U320">
        <v>0</v>
      </c>
      <c r="V320">
        <v>0</v>
      </c>
      <c r="W320">
        <v>0</v>
      </c>
      <c r="X320">
        <v>0</v>
      </c>
      <c r="Y320" s="3" t="s">
        <v>640</v>
      </c>
      <c r="Z320">
        <v>124.699</v>
      </c>
      <c r="AA320">
        <v>-2547000</v>
      </c>
      <c r="AB320" s="3" t="s">
        <v>449</v>
      </c>
      <c r="AC320" s="3" t="s">
        <v>10</v>
      </c>
      <c r="AD320">
        <v>0</v>
      </c>
      <c r="AE320">
        <v>0</v>
      </c>
      <c r="AF320" s="3" t="s">
        <v>640</v>
      </c>
    </row>
    <row r="321" spans="1:32" x14ac:dyDescent="0.35">
      <c r="A321" s="3" t="s">
        <v>608</v>
      </c>
      <c r="B321" s="3" t="s">
        <v>608</v>
      </c>
      <c r="C321" s="3" t="s">
        <v>608</v>
      </c>
      <c r="D321" s="3" t="s">
        <v>608</v>
      </c>
      <c r="E321" s="3" t="s">
        <v>608</v>
      </c>
      <c r="F321" s="3" t="s">
        <v>640</v>
      </c>
      <c r="G321" s="3" t="s">
        <v>527</v>
      </c>
      <c r="H321" s="3" t="s">
        <v>527</v>
      </c>
      <c r="I321" s="3" t="s">
        <v>640</v>
      </c>
      <c r="J321" s="3" t="s">
        <v>4</v>
      </c>
      <c r="K321" s="3" t="s">
        <v>640</v>
      </c>
      <c r="L321" s="3" t="s">
        <v>448</v>
      </c>
      <c r="M321" s="3" t="s">
        <v>14</v>
      </c>
      <c r="N321">
        <v>3398000</v>
      </c>
      <c r="O321">
        <v>82.2</v>
      </c>
      <c r="Q321">
        <v>0</v>
      </c>
      <c r="R321">
        <v>19</v>
      </c>
      <c r="S321" s="3" t="s">
        <v>640</v>
      </c>
      <c r="T321">
        <v>0</v>
      </c>
      <c r="U321">
        <v>0</v>
      </c>
      <c r="V321">
        <v>0</v>
      </c>
      <c r="W321">
        <v>0</v>
      </c>
      <c r="X321">
        <v>-2793155</v>
      </c>
      <c r="Y321" s="3" t="s">
        <v>640</v>
      </c>
      <c r="Z321">
        <v>82.2</v>
      </c>
      <c r="AA321">
        <v>3398000</v>
      </c>
      <c r="AB321" s="3" t="s">
        <v>449</v>
      </c>
      <c r="AC321" s="3" t="s">
        <v>10</v>
      </c>
      <c r="AD321">
        <v>0</v>
      </c>
      <c r="AE321">
        <v>0</v>
      </c>
      <c r="AF321" s="3" t="s">
        <v>640</v>
      </c>
    </row>
    <row r="322" spans="1:32" x14ac:dyDescent="0.35">
      <c r="A322" s="3" t="s">
        <v>608</v>
      </c>
      <c r="B322" s="3" t="s">
        <v>608</v>
      </c>
      <c r="C322" s="3" t="s">
        <v>608</v>
      </c>
      <c r="D322" s="3" t="s">
        <v>608</v>
      </c>
      <c r="E322" s="3" t="s">
        <v>608</v>
      </c>
      <c r="F322" s="3" t="s">
        <v>640</v>
      </c>
      <c r="G322" s="3" t="s">
        <v>529</v>
      </c>
      <c r="H322" s="3" t="s">
        <v>529</v>
      </c>
      <c r="I322" s="3" t="s">
        <v>640</v>
      </c>
      <c r="J322" s="3" t="s">
        <v>4</v>
      </c>
      <c r="K322" s="3" t="s">
        <v>640</v>
      </c>
      <c r="L322" s="3" t="s">
        <v>448</v>
      </c>
      <c r="M322" s="3" t="s">
        <v>14</v>
      </c>
      <c r="N322">
        <v>7400000</v>
      </c>
      <c r="O322">
        <v>74.677999999999997</v>
      </c>
      <c r="Q322">
        <v>0</v>
      </c>
      <c r="R322">
        <v>38</v>
      </c>
      <c r="S322" s="3" t="s">
        <v>640</v>
      </c>
      <c r="T322">
        <v>0</v>
      </c>
      <c r="U322">
        <v>0</v>
      </c>
      <c r="V322">
        <v>0</v>
      </c>
      <c r="W322">
        <v>0</v>
      </c>
      <c r="X322">
        <v>-5526135</v>
      </c>
      <c r="Y322" s="3" t="s">
        <v>640</v>
      </c>
      <c r="Z322">
        <v>74.677999999999997</v>
      </c>
      <c r="AA322">
        <v>7400000</v>
      </c>
      <c r="AB322" s="3" t="s">
        <v>449</v>
      </c>
      <c r="AC322" s="3" t="s">
        <v>10</v>
      </c>
      <c r="AD322">
        <v>0</v>
      </c>
      <c r="AE322">
        <v>0</v>
      </c>
      <c r="AF322" s="3" t="s">
        <v>640</v>
      </c>
    </row>
    <row r="323" spans="1:32" x14ac:dyDescent="0.35">
      <c r="A323" s="3" t="s">
        <v>608</v>
      </c>
      <c r="B323" s="3" t="s">
        <v>608</v>
      </c>
      <c r="C323" s="3" t="s">
        <v>608</v>
      </c>
      <c r="D323" s="3" t="s">
        <v>608</v>
      </c>
      <c r="E323" s="3" t="s">
        <v>608</v>
      </c>
      <c r="F323" s="3" t="s">
        <v>640</v>
      </c>
      <c r="G323" s="3" t="s">
        <v>530</v>
      </c>
      <c r="H323" s="3" t="s">
        <v>530</v>
      </c>
      <c r="I323" s="3" t="s">
        <v>640</v>
      </c>
      <c r="J323" s="3" t="s">
        <v>4</v>
      </c>
      <c r="K323" s="3" t="s">
        <v>640</v>
      </c>
      <c r="L323" s="3" t="s">
        <v>448</v>
      </c>
      <c r="M323" s="3" t="s">
        <v>14</v>
      </c>
      <c r="N323">
        <v>-200000</v>
      </c>
      <c r="O323">
        <v>115.47</v>
      </c>
      <c r="Q323">
        <v>0</v>
      </c>
      <c r="R323">
        <v>-6</v>
      </c>
      <c r="S323" s="3" t="s">
        <v>640</v>
      </c>
      <c r="T323">
        <v>0</v>
      </c>
      <c r="U323">
        <v>0</v>
      </c>
      <c r="V323">
        <v>0</v>
      </c>
      <c r="W323">
        <v>0</v>
      </c>
      <c r="X323">
        <v>230940</v>
      </c>
      <c r="Y323" s="3" t="s">
        <v>640</v>
      </c>
      <c r="Z323">
        <v>115.47</v>
      </c>
      <c r="AA323">
        <v>-200000</v>
      </c>
      <c r="AB323" s="3" t="s">
        <v>449</v>
      </c>
      <c r="AC323" s="3" t="s">
        <v>10</v>
      </c>
      <c r="AD323">
        <v>0</v>
      </c>
      <c r="AE323">
        <v>0</v>
      </c>
      <c r="AF323" s="3" t="s">
        <v>640</v>
      </c>
    </row>
    <row r="324" spans="1:32" x14ac:dyDescent="0.35">
      <c r="A324" s="3" t="s">
        <v>608</v>
      </c>
      <c r="B324" s="3" t="s">
        <v>608</v>
      </c>
      <c r="C324" s="3" t="s">
        <v>608</v>
      </c>
      <c r="D324" s="3" t="s">
        <v>608</v>
      </c>
      <c r="E324" s="3" t="s">
        <v>608</v>
      </c>
      <c r="F324" s="3" t="s">
        <v>640</v>
      </c>
      <c r="G324" s="3" t="s">
        <v>532</v>
      </c>
      <c r="H324" s="3" t="s">
        <v>532</v>
      </c>
      <c r="I324" s="3" t="s">
        <v>640</v>
      </c>
      <c r="J324" s="3" t="s">
        <v>4</v>
      </c>
      <c r="K324" s="3" t="s">
        <v>640</v>
      </c>
      <c r="L324" s="3" t="s">
        <v>448</v>
      </c>
      <c r="M324" s="3" t="s">
        <v>14</v>
      </c>
      <c r="N324">
        <v>0</v>
      </c>
      <c r="O324">
        <v>90.463999999999999</v>
      </c>
      <c r="Q324">
        <v>0</v>
      </c>
      <c r="R324">
        <v>6</v>
      </c>
      <c r="S324" s="3" t="s">
        <v>640</v>
      </c>
      <c r="T324">
        <v>0</v>
      </c>
      <c r="U324">
        <v>0</v>
      </c>
      <c r="V324">
        <v>0</v>
      </c>
      <c r="W324">
        <v>0</v>
      </c>
      <c r="X324">
        <v>0</v>
      </c>
      <c r="Y324" s="3" t="s">
        <v>640</v>
      </c>
      <c r="Z324">
        <v>90.463999999999999</v>
      </c>
      <c r="AA324">
        <v>1000000</v>
      </c>
      <c r="AB324" s="3" t="s">
        <v>449</v>
      </c>
      <c r="AC324" s="3" t="s">
        <v>10</v>
      </c>
      <c r="AD324">
        <v>0</v>
      </c>
      <c r="AE324">
        <v>0</v>
      </c>
      <c r="AF324" s="3" t="s">
        <v>640</v>
      </c>
    </row>
    <row r="325" spans="1:32" x14ac:dyDescent="0.35">
      <c r="A325" s="3" t="s">
        <v>608</v>
      </c>
      <c r="B325" s="3" t="s">
        <v>608</v>
      </c>
      <c r="C325" s="3" t="s">
        <v>608</v>
      </c>
      <c r="D325" s="3" t="s">
        <v>608</v>
      </c>
      <c r="E325" s="3" t="s">
        <v>608</v>
      </c>
      <c r="F325" s="3" t="s">
        <v>640</v>
      </c>
      <c r="G325" s="3" t="s">
        <v>534</v>
      </c>
      <c r="H325" s="3" t="s">
        <v>534</v>
      </c>
      <c r="I325" s="3" t="s">
        <v>640</v>
      </c>
      <c r="J325" s="3" t="s">
        <v>266</v>
      </c>
      <c r="K325" s="3" t="s">
        <v>640</v>
      </c>
      <c r="L325" s="3" t="s">
        <v>448</v>
      </c>
      <c r="M325" s="3" t="s">
        <v>14</v>
      </c>
      <c r="N325">
        <v>500000</v>
      </c>
      <c r="O325">
        <v>81.741</v>
      </c>
      <c r="Q325">
        <v>0</v>
      </c>
      <c r="R325">
        <v>-3</v>
      </c>
      <c r="S325" s="3" t="s">
        <v>640</v>
      </c>
      <c r="T325">
        <v>0</v>
      </c>
      <c r="U325">
        <v>0</v>
      </c>
      <c r="V325">
        <v>0</v>
      </c>
      <c r="W325">
        <v>0</v>
      </c>
      <c r="X325">
        <v>-344606</v>
      </c>
      <c r="Y325" s="3" t="s">
        <v>640</v>
      </c>
      <c r="Z325">
        <v>81.741</v>
      </c>
      <c r="AA325">
        <v>500000</v>
      </c>
      <c r="AB325" s="3" t="s">
        <v>449</v>
      </c>
      <c r="AC325" s="3" t="s">
        <v>10</v>
      </c>
      <c r="AD325">
        <v>0</v>
      </c>
      <c r="AE325">
        <v>0</v>
      </c>
      <c r="AF325" s="3" t="s">
        <v>640</v>
      </c>
    </row>
    <row r="326" spans="1:32" x14ac:dyDescent="0.35">
      <c r="A326" s="3" t="s">
        <v>608</v>
      </c>
      <c r="B326" s="3" t="s">
        <v>608</v>
      </c>
      <c r="C326" s="3" t="s">
        <v>608</v>
      </c>
      <c r="D326" s="3" t="s">
        <v>608</v>
      </c>
      <c r="E326" s="3" t="s">
        <v>608</v>
      </c>
      <c r="F326" s="3" t="s">
        <v>640</v>
      </c>
      <c r="G326" s="3" t="s">
        <v>542</v>
      </c>
      <c r="H326" s="3" t="s">
        <v>542</v>
      </c>
      <c r="I326" s="3" t="s">
        <v>640</v>
      </c>
      <c r="J326" s="3" t="s">
        <v>4</v>
      </c>
      <c r="K326" s="3" t="s">
        <v>640</v>
      </c>
      <c r="L326" s="3" t="s">
        <v>448</v>
      </c>
      <c r="M326" s="3" t="s">
        <v>14</v>
      </c>
      <c r="N326">
        <v>4000000</v>
      </c>
      <c r="O326">
        <v>78.334999999999994</v>
      </c>
      <c r="Q326">
        <v>0</v>
      </c>
      <c r="R326">
        <v>22</v>
      </c>
      <c r="S326" s="3" t="s">
        <v>640</v>
      </c>
      <c r="T326">
        <v>0</v>
      </c>
      <c r="U326">
        <v>0</v>
      </c>
      <c r="V326">
        <v>0</v>
      </c>
      <c r="W326">
        <v>0</v>
      </c>
      <c r="X326">
        <v>-3133408</v>
      </c>
      <c r="Y326" s="3" t="s">
        <v>640</v>
      </c>
      <c r="Z326">
        <v>78.334999999999994</v>
      </c>
      <c r="AA326">
        <v>4000000</v>
      </c>
      <c r="AB326" s="3" t="s">
        <v>449</v>
      </c>
      <c r="AC326" s="3" t="s">
        <v>10</v>
      </c>
      <c r="AD326">
        <v>0</v>
      </c>
      <c r="AE326">
        <v>0</v>
      </c>
      <c r="AF326" s="3" t="s">
        <v>640</v>
      </c>
    </row>
    <row r="327" spans="1:32" x14ac:dyDescent="0.35">
      <c r="A327" s="3" t="s">
        <v>608</v>
      </c>
      <c r="B327" s="3" t="s">
        <v>608</v>
      </c>
      <c r="C327" s="3" t="s">
        <v>608</v>
      </c>
      <c r="D327" s="3" t="s">
        <v>608</v>
      </c>
      <c r="E327" s="3" t="s">
        <v>608</v>
      </c>
      <c r="F327" s="3" t="s">
        <v>640</v>
      </c>
      <c r="G327" s="3" t="s">
        <v>851</v>
      </c>
      <c r="H327" s="3" t="s">
        <v>851</v>
      </c>
      <c r="I327" s="3" t="s">
        <v>640</v>
      </c>
      <c r="J327" s="3" t="s">
        <v>4</v>
      </c>
      <c r="K327" s="3" t="s">
        <v>640</v>
      </c>
      <c r="L327" s="3" t="s">
        <v>448</v>
      </c>
      <c r="M327" s="3" t="s">
        <v>14</v>
      </c>
      <c r="N327">
        <v>-4000000</v>
      </c>
      <c r="O327">
        <v>114.501</v>
      </c>
      <c r="Q327">
        <v>0</v>
      </c>
      <c r="R327">
        <v>-121</v>
      </c>
      <c r="S327" s="3" t="s">
        <v>640</v>
      </c>
      <c r="T327">
        <v>0</v>
      </c>
      <c r="U327">
        <v>0</v>
      </c>
      <c r="V327">
        <v>0</v>
      </c>
      <c r="W327">
        <v>0</v>
      </c>
      <c r="X327">
        <v>4580033</v>
      </c>
      <c r="Y327" s="3" t="s">
        <v>640</v>
      </c>
      <c r="Z327">
        <v>114.501</v>
      </c>
      <c r="AA327">
        <v>-4000000</v>
      </c>
      <c r="AB327" s="3" t="s">
        <v>449</v>
      </c>
      <c r="AC327" s="3" t="s">
        <v>10</v>
      </c>
      <c r="AD327">
        <v>0</v>
      </c>
      <c r="AE327">
        <v>0</v>
      </c>
      <c r="AF327" s="3" t="s">
        <v>640</v>
      </c>
    </row>
    <row r="328" spans="1:32" x14ac:dyDescent="0.35">
      <c r="A328" s="3" t="s">
        <v>608</v>
      </c>
      <c r="B328" s="3" t="s">
        <v>608</v>
      </c>
      <c r="C328" s="3" t="s">
        <v>608</v>
      </c>
      <c r="D328" s="3" t="s">
        <v>608</v>
      </c>
      <c r="E328" s="3" t="s">
        <v>608</v>
      </c>
      <c r="F328" s="3" t="s">
        <v>640</v>
      </c>
      <c r="G328" s="3" t="s">
        <v>852</v>
      </c>
      <c r="H328" s="3" t="s">
        <v>852</v>
      </c>
      <c r="I328" s="3" t="s">
        <v>640</v>
      </c>
      <c r="J328" s="3" t="s">
        <v>4</v>
      </c>
      <c r="K328" s="3" t="s">
        <v>640</v>
      </c>
      <c r="L328" s="3" t="s">
        <v>448</v>
      </c>
      <c r="M328" s="3" t="s">
        <v>14</v>
      </c>
      <c r="N328">
        <v>-5651000</v>
      </c>
      <c r="O328">
        <v>108.80500000000001</v>
      </c>
      <c r="Q328">
        <v>0</v>
      </c>
      <c r="R328">
        <v>-162</v>
      </c>
      <c r="S328" s="3" t="s">
        <v>640</v>
      </c>
      <c r="T328">
        <v>0</v>
      </c>
      <c r="U328">
        <v>0</v>
      </c>
      <c r="V328">
        <v>0</v>
      </c>
      <c r="W328">
        <v>0</v>
      </c>
      <c r="X328">
        <v>6143022</v>
      </c>
      <c r="Y328" s="3" t="s">
        <v>640</v>
      </c>
      <c r="Z328">
        <v>108.80500000000001</v>
      </c>
      <c r="AA328">
        <v>-5651000</v>
      </c>
      <c r="AB328" s="3" t="s">
        <v>449</v>
      </c>
      <c r="AC328" s="3" t="s">
        <v>10</v>
      </c>
      <c r="AD328">
        <v>0</v>
      </c>
      <c r="AE328">
        <v>0</v>
      </c>
      <c r="AF328" s="3" t="s">
        <v>640</v>
      </c>
    </row>
    <row r="329" spans="1:32" x14ac:dyDescent="0.35">
      <c r="A329" s="3" t="s">
        <v>608</v>
      </c>
      <c r="B329" s="3" t="s">
        <v>608</v>
      </c>
      <c r="C329" s="3" t="s">
        <v>608</v>
      </c>
      <c r="D329" s="3" t="s">
        <v>608</v>
      </c>
      <c r="E329" s="3" t="s">
        <v>608</v>
      </c>
      <c r="F329" s="3" t="s">
        <v>640</v>
      </c>
      <c r="G329" s="3" t="s">
        <v>876</v>
      </c>
      <c r="H329" s="3" t="s">
        <v>876</v>
      </c>
      <c r="I329" s="3" t="s">
        <v>640</v>
      </c>
      <c r="J329" s="3" t="s">
        <v>4</v>
      </c>
      <c r="K329" s="3" t="s">
        <v>640</v>
      </c>
      <c r="L329" s="3" t="s">
        <v>448</v>
      </c>
      <c r="M329" s="3" t="s">
        <v>14</v>
      </c>
      <c r="N329">
        <v>7000000</v>
      </c>
      <c r="O329">
        <v>86.099000000000004</v>
      </c>
      <c r="Q329">
        <v>0</v>
      </c>
      <c r="R329">
        <v>42</v>
      </c>
      <c r="S329" s="3" t="s">
        <v>640</v>
      </c>
      <c r="T329">
        <v>0</v>
      </c>
      <c r="U329">
        <v>0</v>
      </c>
      <c r="V329">
        <v>0</v>
      </c>
      <c r="W329">
        <v>0</v>
      </c>
      <c r="X329">
        <v>-6039191</v>
      </c>
      <c r="Y329" s="3" t="s">
        <v>640</v>
      </c>
      <c r="Z329">
        <v>86.099000000000004</v>
      </c>
      <c r="AA329">
        <v>7000000</v>
      </c>
      <c r="AB329" s="3" t="s">
        <v>449</v>
      </c>
      <c r="AC329" s="3" t="s">
        <v>10</v>
      </c>
      <c r="AD329">
        <v>0</v>
      </c>
      <c r="AE329">
        <v>0</v>
      </c>
      <c r="AF329" s="3" t="s">
        <v>640</v>
      </c>
    </row>
    <row r="330" spans="1:32" x14ac:dyDescent="0.35">
      <c r="A330" s="3" t="s">
        <v>608</v>
      </c>
      <c r="B330" s="3" t="s">
        <v>608</v>
      </c>
      <c r="C330" s="3" t="s">
        <v>608</v>
      </c>
      <c r="D330" s="3" t="s">
        <v>608</v>
      </c>
      <c r="E330" s="3" t="s">
        <v>608</v>
      </c>
      <c r="F330" s="3" t="s">
        <v>640</v>
      </c>
      <c r="G330" s="3" t="s">
        <v>877</v>
      </c>
      <c r="H330" s="3" t="s">
        <v>877</v>
      </c>
      <c r="I330" s="3" t="s">
        <v>640</v>
      </c>
      <c r="J330" s="3" t="s">
        <v>4</v>
      </c>
      <c r="K330" s="3" t="s">
        <v>640</v>
      </c>
      <c r="L330" s="3" t="s">
        <v>448</v>
      </c>
      <c r="M330" s="3" t="s">
        <v>14</v>
      </c>
      <c r="N330">
        <v>5426000</v>
      </c>
      <c r="O330">
        <v>75.3</v>
      </c>
      <c r="Q330">
        <v>0</v>
      </c>
      <c r="R330">
        <v>60</v>
      </c>
      <c r="S330" s="3" t="s">
        <v>640</v>
      </c>
      <c r="T330">
        <v>0</v>
      </c>
      <c r="U330">
        <v>0</v>
      </c>
      <c r="V330">
        <v>0</v>
      </c>
      <c r="W330">
        <v>0</v>
      </c>
      <c r="X330">
        <v>-4099167</v>
      </c>
      <c r="Y330" s="3" t="s">
        <v>640</v>
      </c>
      <c r="Z330">
        <v>76.888999999999996</v>
      </c>
      <c r="AA330">
        <v>11426000</v>
      </c>
      <c r="AB330" s="3" t="s">
        <v>449</v>
      </c>
      <c r="AC330" s="3" t="s">
        <v>10</v>
      </c>
      <c r="AD330">
        <v>0</v>
      </c>
      <c r="AE330">
        <v>0</v>
      </c>
      <c r="AF330" s="3" t="s">
        <v>640</v>
      </c>
    </row>
    <row r="331" spans="1:32" x14ac:dyDescent="0.35">
      <c r="A331" s="3" t="s">
        <v>608</v>
      </c>
      <c r="B331" s="3" t="s">
        <v>608</v>
      </c>
      <c r="C331" s="3" t="s">
        <v>608</v>
      </c>
      <c r="D331" s="3" t="s">
        <v>608</v>
      </c>
      <c r="E331" s="3" t="s">
        <v>608</v>
      </c>
      <c r="F331" s="3" t="s">
        <v>640</v>
      </c>
      <c r="G331" s="3" t="s">
        <v>906</v>
      </c>
      <c r="H331" s="3" t="s">
        <v>906</v>
      </c>
      <c r="I331" s="3" t="s">
        <v>640</v>
      </c>
      <c r="J331" s="3" t="s">
        <v>4</v>
      </c>
      <c r="K331" s="3" t="s">
        <v>640</v>
      </c>
      <c r="L331" s="3" t="s">
        <v>448</v>
      </c>
      <c r="M331" s="3" t="s">
        <v>14</v>
      </c>
      <c r="N331">
        <v>0</v>
      </c>
      <c r="O331">
        <v>103.18899999999999</v>
      </c>
      <c r="Q331">
        <v>0</v>
      </c>
      <c r="R331">
        <v>-69</v>
      </c>
      <c r="S331" s="3" t="s">
        <v>640</v>
      </c>
      <c r="T331">
        <v>0</v>
      </c>
      <c r="U331">
        <v>0</v>
      </c>
      <c r="V331">
        <v>0</v>
      </c>
      <c r="W331">
        <v>0</v>
      </c>
      <c r="X331">
        <v>0</v>
      </c>
      <c r="Y331" s="3" t="s">
        <v>640</v>
      </c>
      <c r="Z331">
        <v>103.416</v>
      </c>
      <c r="AA331">
        <v>-2200000</v>
      </c>
      <c r="AB331" s="3" t="s">
        <v>449</v>
      </c>
      <c r="AC331" s="3" t="s">
        <v>10</v>
      </c>
      <c r="AD331">
        <v>0</v>
      </c>
      <c r="AE331">
        <v>0</v>
      </c>
      <c r="AF331" s="3" t="s">
        <v>640</v>
      </c>
    </row>
    <row r="332" spans="1:32" x14ac:dyDescent="0.35">
      <c r="A332" s="3" t="s">
        <v>608</v>
      </c>
      <c r="B332" s="3" t="s">
        <v>608</v>
      </c>
      <c r="C332" s="3" t="s">
        <v>608</v>
      </c>
      <c r="D332" s="3" t="s">
        <v>608</v>
      </c>
      <c r="E332" s="3" t="s">
        <v>608</v>
      </c>
      <c r="F332" s="3" t="s">
        <v>640</v>
      </c>
      <c r="G332" s="3" t="s">
        <v>922</v>
      </c>
      <c r="H332" s="3" t="s">
        <v>922</v>
      </c>
      <c r="I332" s="3" t="s">
        <v>640</v>
      </c>
      <c r="J332" s="3" t="s">
        <v>4</v>
      </c>
      <c r="K332" s="3" t="s">
        <v>640</v>
      </c>
      <c r="L332" s="3" t="s">
        <v>448</v>
      </c>
      <c r="M332" s="3" t="s">
        <v>14</v>
      </c>
      <c r="N332">
        <v>-200000</v>
      </c>
      <c r="O332">
        <v>101.167</v>
      </c>
      <c r="Q332">
        <v>0</v>
      </c>
      <c r="R332">
        <v>-6</v>
      </c>
      <c r="S332" s="3" t="s">
        <v>640</v>
      </c>
      <c r="T332">
        <v>0</v>
      </c>
      <c r="U332">
        <v>0</v>
      </c>
      <c r="V332">
        <v>0</v>
      </c>
      <c r="W332">
        <v>0</v>
      </c>
      <c r="X332">
        <v>202333</v>
      </c>
      <c r="Y332" s="3" t="s">
        <v>640</v>
      </c>
      <c r="Z332">
        <v>101.167</v>
      </c>
      <c r="AA332">
        <v>-200000</v>
      </c>
      <c r="AB332" s="3" t="s">
        <v>449</v>
      </c>
      <c r="AC332" s="3" t="s">
        <v>10</v>
      </c>
      <c r="AD332">
        <v>0</v>
      </c>
      <c r="AE332">
        <v>0</v>
      </c>
      <c r="AF332" s="3" t="s">
        <v>640</v>
      </c>
    </row>
    <row r="333" spans="1:32" x14ac:dyDescent="0.35">
      <c r="A333" s="3" t="s">
        <v>608</v>
      </c>
      <c r="B333" s="3" t="s">
        <v>608</v>
      </c>
      <c r="C333" s="3" t="s">
        <v>608</v>
      </c>
      <c r="D333" s="3" t="s">
        <v>608</v>
      </c>
      <c r="E333" s="3" t="s">
        <v>608</v>
      </c>
      <c r="F333" s="3" t="s">
        <v>640</v>
      </c>
      <c r="G333" s="3" t="s">
        <v>923</v>
      </c>
      <c r="H333" s="3" t="s">
        <v>923</v>
      </c>
      <c r="I333" s="3" t="s">
        <v>640</v>
      </c>
      <c r="J333" s="3" t="s">
        <v>4</v>
      </c>
      <c r="K333" s="3" t="s">
        <v>640</v>
      </c>
      <c r="L333" s="3" t="s">
        <v>448</v>
      </c>
      <c r="M333" s="3" t="s">
        <v>14</v>
      </c>
      <c r="N333">
        <v>-1000000</v>
      </c>
      <c r="O333">
        <v>108.58499999999999</v>
      </c>
      <c r="Q333">
        <v>0</v>
      </c>
      <c r="R333">
        <v>-29</v>
      </c>
      <c r="S333" s="3" t="s">
        <v>640</v>
      </c>
      <c r="T333">
        <v>0</v>
      </c>
      <c r="U333">
        <v>0</v>
      </c>
      <c r="V333">
        <v>0</v>
      </c>
      <c r="W333">
        <v>0</v>
      </c>
      <c r="X333">
        <v>1085849</v>
      </c>
      <c r="Y333" s="3" t="s">
        <v>640</v>
      </c>
      <c r="Z333">
        <v>108.58499999999999</v>
      </c>
      <c r="AA333">
        <v>-1000000</v>
      </c>
      <c r="AB333" s="3" t="s">
        <v>449</v>
      </c>
      <c r="AC333" s="3" t="s">
        <v>10</v>
      </c>
      <c r="AD333">
        <v>0</v>
      </c>
      <c r="AE333">
        <v>0</v>
      </c>
      <c r="AF333" s="3" t="s">
        <v>640</v>
      </c>
    </row>
    <row r="334" spans="1:32" x14ac:dyDescent="0.35">
      <c r="A334" s="3" t="s">
        <v>608</v>
      </c>
      <c r="B334" s="3" t="s">
        <v>608</v>
      </c>
      <c r="C334" s="3" t="s">
        <v>608</v>
      </c>
      <c r="D334" s="3" t="s">
        <v>608</v>
      </c>
      <c r="E334" s="3" t="s">
        <v>608</v>
      </c>
      <c r="F334" s="3" t="s">
        <v>640</v>
      </c>
      <c r="G334" s="3" t="s">
        <v>953</v>
      </c>
      <c r="H334" s="3" t="s">
        <v>953</v>
      </c>
      <c r="I334" s="3" t="s">
        <v>640</v>
      </c>
      <c r="J334" s="3" t="s">
        <v>4</v>
      </c>
      <c r="K334" s="3" t="s">
        <v>640</v>
      </c>
      <c r="L334" s="3" t="s">
        <v>448</v>
      </c>
      <c r="M334" s="3" t="s">
        <v>14</v>
      </c>
      <c r="N334">
        <v>0</v>
      </c>
      <c r="O334">
        <v>82.867999999999995</v>
      </c>
      <c r="Q334">
        <v>0</v>
      </c>
      <c r="R334">
        <v>0</v>
      </c>
      <c r="S334" s="3" t="s">
        <v>640</v>
      </c>
      <c r="T334">
        <v>0</v>
      </c>
      <c r="U334">
        <v>0</v>
      </c>
      <c r="V334">
        <v>0</v>
      </c>
      <c r="W334">
        <v>0</v>
      </c>
      <c r="X334">
        <v>0</v>
      </c>
      <c r="Y334" s="3" t="s">
        <v>640</v>
      </c>
      <c r="Z334">
        <v>82.867999999999995</v>
      </c>
      <c r="AA334">
        <v>0</v>
      </c>
      <c r="AB334" s="3" t="s">
        <v>449</v>
      </c>
      <c r="AC334" s="3" t="s">
        <v>10</v>
      </c>
      <c r="AD334">
        <v>0</v>
      </c>
      <c r="AE334">
        <v>0</v>
      </c>
      <c r="AF334" s="3" t="s">
        <v>640</v>
      </c>
    </row>
    <row r="335" spans="1:32" x14ac:dyDescent="0.35">
      <c r="A335" s="3" t="s">
        <v>608</v>
      </c>
      <c r="B335" s="3" t="s">
        <v>608</v>
      </c>
      <c r="C335" s="3" t="s">
        <v>608</v>
      </c>
      <c r="D335" s="3" t="s">
        <v>608</v>
      </c>
      <c r="E335" s="3" t="s">
        <v>608</v>
      </c>
      <c r="F335" s="3" t="s">
        <v>640</v>
      </c>
      <c r="G335" s="3" t="s">
        <v>1198</v>
      </c>
      <c r="H335" s="3" t="s">
        <v>1198</v>
      </c>
      <c r="I335" s="3" t="s">
        <v>640</v>
      </c>
      <c r="J335" s="3" t="s">
        <v>4</v>
      </c>
      <c r="K335" s="3" t="s">
        <v>640</v>
      </c>
      <c r="L335" s="3" t="s">
        <v>448</v>
      </c>
      <c r="M335" s="3" t="s">
        <v>14</v>
      </c>
      <c r="N335">
        <v>2194000</v>
      </c>
      <c r="O335">
        <v>75.06</v>
      </c>
      <c r="Q335">
        <v>0</v>
      </c>
      <c r="R335">
        <v>11</v>
      </c>
      <c r="S335" s="3" t="s">
        <v>640</v>
      </c>
      <c r="T335">
        <v>0</v>
      </c>
      <c r="U335">
        <v>0</v>
      </c>
      <c r="V335">
        <v>0</v>
      </c>
      <c r="W335">
        <v>0</v>
      </c>
      <c r="X335">
        <v>-1646816</v>
      </c>
      <c r="Y335" s="3" t="s">
        <v>640</v>
      </c>
      <c r="Z335">
        <v>75.06</v>
      </c>
      <c r="AA335">
        <v>2194000</v>
      </c>
      <c r="AB335" s="3" t="s">
        <v>449</v>
      </c>
      <c r="AC335" s="3" t="s">
        <v>10</v>
      </c>
      <c r="AD335">
        <v>0</v>
      </c>
      <c r="AE335">
        <v>0</v>
      </c>
      <c r="AF335" s="3" t="s">
        <v>640</v>
      </c>
    </row>
    <row r="336" spans="1:32" x14ac:dyDescent="0.35">
      <c r="A336" s="3" t="s">
        <v>608</v>
      </c>
      <c r="B336" s="3" t="s">
        <v>608</v>
      </c>
      <c r="C336" s="3" t="s">
        <v>608</v>
      </c>
      <c r="D336" s="3" t="s">
        <v>608</v>
      </c>
      <c r="E336" s="3" t="s">
        <v>608</v>
      </c>
      <c r="F336" s="3" t="s">
        <v>640</v>
      </c>
      <c r="G336" s="3" t="s">
        <v>1199</v>
      </c>
      <c r="H336" s="3" t="s">
        <v>1199</v>
      </c>
      <c r="I336" s="3" t="s">
        <v>640</v>
      </c>
      <c r="J336" s="3" t="s">
        <v>4</v>
      </c>
      <c r="K336" s="3" t="s">
        <v>640</v>
      </c>
      <c r="L336" s="3" t="s">
        <v>448</v>
      </c>
      <c r="M336" s="3" t="s">
        <v>14</v>
      </c>
      <c r="N336">
        <v>2200000</v>
      </c>
      <c r="O336">
        <v>82.516999999999996</v>
      </c>
      <c r="Q336">
        <v>0</v>
      </c>
      <c r="R336">
        <v>13</v>
      </c>
      <c r="S336" s="3" t="s">
        <v>640</v>
      </c>
      <c r="T336">
        <v>0</v>
      </c>
      <c r="U336">
        <v>0</v>
      </c>
      <c r="V336">
        <v>0</v>
      </c>
      <c r="W336">
        <v>0</v>
      </c>
      <c r="X336">
        <v>-1815385</v>
      </c>
      <c r="Y336" s="3" t="s">
        <v>640</v>
      </c>
      <c r="Z336">
        <v>82.516999999999996</v>
      </c>
      <c r="AA336">
        <v>2200000</v>
      </c>
      <c r="AB336" s="3" t="s">
        <v>449</v>
      </c>
      <c r="AC336" s="3" t="s">
        <v>10</v>
      </c>
      <c r="AD336">
        <v>0</v>
      </c>
      <c r="AE336">
        <v>0</v>
      </c>
      <c r="AF336" s="3" t="s">
        <v>640</v>
      </c>
    </row>
    <row r="337" spans="1:32" x14ac:dyDescent="0.35">
      <c r="A337" s="3" t="s">
        <v>608</v>
      </c>
      <c r="B337" s="3" t="s">
        <v>608</v>
      </c>
      <c r="C337" s="3" t="s">
        <v>608</v>
      </c>
      <c r="D337" s="3" t="s">
        <v>608</v>
      </c>
      <c r="E337" s="3" t="s">
        <v>608</v>
      </c>
      <c r="F337" s="3" t="s">
        <v>640</v>
      </c>
      <c r="G337" s="3" t="s">
        <v>1249</v>
      </c>
      <c r="H337" s="3" t="s">
        <v>1249</v>
      </c>
      <c r="I337" s="3" t="s">
        <v>640</v>
      </c>
      <c r="J337" s="3" t="s">
        <v>4</v>
      </c>
      <c r="K337" s="3" t="s">
        <v>640</v>
      </c>
      <c r="L337" s="3" t="s">
        <v>448</v>
      </c>
      <c r="M337" s="3" t="s">
        <v>14</v>
      </c>
      <c r="N337">
        <v>-300000</v>
      </c>
      <c r="O337">
        <v>130.66300000000001</v>
      </c>
      <c r="Q337">
        <v>0</v>
      </c>
      <c r="R337">
        <v>-12</v>
      </c>
      <c r="S337" s="3" t="s">
        <v>640</v>
      </c>
      <c r="T337">
        <v>0</v>
      </c>
      <c r="U337">
        <v>0</v>
      </c>
      <c r="V337">
        <v>0</v>
      </c>
      <c r="W337">
        <v>0</v>
      </c>
      <c r="X337">
        <v>391988</v>
      </c>
      <c r="Y337" s="3" t="s">
        <v>640</v>
      </c>
      <c r="Z337">
        <v>130.66300000000001</v>
      </c>
      <c r="AA337">
        <v>-300000</v>
      </c>
      <c r="AB337" s="3" t="s">
        <v>449</v>
      </c>
      <c r="AC337" s="3" t="s">
        <v>10</v>
      </c>
      <c r="AD337">
        <v>0</v>
      </c>
      <c r="AE337">
        <v>0</v>
      </c>
      <c r="AF337" s="3" t="s">
        <v>640</v>
      </c>
    </row>
    <row r="338" spans="1:32" x14ac:dyDescent="0.35">
      <c r="A338" s="3" t="s">
        <v>608</v>
      </c>
      <c r="B338" s="3" t="s">
        <v>608</v>
      </c>
      <c r="C338" s="3" t="s">
        <v>608</v>
      </c>
      <c r="D338" s="3" t="s">
        <v>608</v>
      </c>
      <c r="E338" s="3" t="s">
        <v>608</v>
      </c>
      <c r="F338" s="3" t="s">
        <v>640</v>
      </c>
      <c r="G338" s="3" t="s">
        <v>1250</v>
      </c>
      <c r="H338" s="3" t="s">
        <v>1250</v>
      </c>
      <c r="I338" s="3" t="s">
        <v>640</v>
      </c>
      <c r="J338" s="3" t="s">
        <v>4</v>
      </c>
      <c r="K338" s="3" t="s">
        <v>640</v>
      </c>
      <c r="L338" s="3" t="s">
        <v>448</v>
      </c>
      <c r="M338" s="3" t="s">
        <v>14</v>
      </c>
      <c r="N338">
        <v>-4560000</v>
      </c>
      <c r="O338">
        <v>102.42400000000001</v>
      </c>
      <c r="Q338">
        <v>0</v>
      </c>
      <c r="R338">
        <v>-123</v>
      </c>
      <c r="S338" s="3" t="s">
        <v>640</v>
      </c>
      <c r="T338">
        <v>0</v>
      </c>
      <c r="U338">
        <v>0</v>
      </c>
      <c r="V338">
        <v>0</v>
      </c>
      <c r="W338">
        <v>0</v>
      </c>
      <c r="X338">
        <v>4670555</v>
      </c>
      <c r="Y338" s="3" t="s">
        <v>640</v>
      </c>
      <c r="Z338">
        <v>102.42400000000001</v>
      </c>
      <c r="AA338">
        <v>-4560000</v>
      </c>
      <c r="AB338" s="3" t="s">
        <v>449</v>
      </c>
      <c r="AC338" s="3" t="s">
        <v>10</v>
      </c>
      <c r="AD338">
        <v>0</v>
      </c>
      <c r="AE338">
        <v>0</v>
      </c>
      <c r="AF338" s="3" t="s">
        <v>640</v>
      </c>
    </row>
    <row r="339" spans="1:32" x14ac:dyDescent="0.35">
      <c r="A339" s="3" t="s">
        <v>608</v>
      </c>
      <c r="B339" s="3" t="s">
        <v>608</v>
      </c>
      <c r="C339" s="3" t="s">
        <v>608</v>
      </c>
      <c r="D339" s="3" t="s">
        <v>608</v>
      </c>
      <c r="E339" s="3" t="s">
        <v>608</v>
      </c>
      <c r="F339" s="3" t="s">
        <v>640</v>
      </c>
      <c r="G339" s="3" t="s">
        <v>1251</v>
      </c>
      <c r="H339" s="3" t="s">
        <v>1251</v>
      </c>
      <c r="I339" s="3" t="s">
        <v>640</v>
      </c>
      <c r="J339" s="3" t="s">
        <v>4</v>
      </c>
      <c r="K339" s="3" t="s">
        <v>640</v>
      </c>
      <c r="L339" s="3" t="s">
        <v>448</v>
      </c>
      <c r="M339" s="3" t="s">
        <v>14</v>
      </c>
      <c r="N339">
        <v>0</v>
      </c>
      <c r="O339">
        <v>116.47</v>
      </c>
      <c r="Q339">
        <v>0</v>
      </c>
      <c r="R339">
        <v>0</v>
      </c>
      <c r="S339" s="3" t="s">
        <v>640</v>
      </c>
      <c r="T339">
        <v>0</v>
      </c>
      <c r="U339">
        <v>0</v>
      </c>
      <c r="V339">
        <v>0</v>
      </c>
      <c r="W339">
        <v>0</v>
      </c>
      <c r="X339">
        <v>0</v>
      </c>
      <c r="Y339" s="3" t="s">
        <v>640</v>
      </c>
      <c r="Z339">
        <v>116.47</v>
      </c>
      <c r="AA339">
        <v>0</v>
      </c>
      <c r="AB339" s="3" t="s">
        <v>449</v>
      </c>
      <c r="AC339" s="3" t="s">
        <v>10</v>
      </c>
      <c r="AD339">
        <v>0</v>
      </c>
      <c r="AE339">
        <v>0</v>
      </c>
      <c r="AF339" s="3" t="s">
        <v>640</v>
      </c>
    </row>
    <row r="340" spans="1:32" x14ac:dyDescent="0.35">
      <c r="A340" s="3" t="s">
        <v>608</v>
      </c>
      <c r="B340" s="3" t="s">
        <v>608</v>
      </c>
      <c r="C340" s="3" t="s">
        <v>608</v>
      </c>
      <c r="D340" s="3" t="s">
        <v>608</v>
      </c>
      <c r="E340" s="3" t="s">
        <v>608</v>
      </c>
      <c r="F340" s="3" t="s">
        <v>640</v>
      </c>
      <c r="G340" s="3" t="s">
        <v>1252</v>
      </c>
      <c r="H340" s="3" t="s">
        <v>1252</v>
      </c>
      <c r="I340" s="3" t="s">
        <v>640</v>
      </c>
      <c r="J340" s="3" t="s">
        <v>4</v>
      </c>
      <c r="K340" s="3" t="s">
        <v>640</v>
      </c>
      <c r="L340" s="3" t="s">
        <v>448</v>
      </c>
      <c r="M340" s="3" t="s">
        <v>14</v>
      </c>
      <c r="N340">
        <v>-1400000</v>
      </c>
      <c r="O340">
        <v>107.101</v>
      </c>
      <c r="Q340">
        <v>0</v>
      </c>
      <c r="R340">
        <v>-40</v>
      </c>
      <c r="S340" s="3" t="s">
        <v>640</v>
      </c>
      <c r="T340">
        <v>0</v>
      </c>
      <c r="U340">
        <v>0</v>
      </c>
      <c r="V340">
        <v>0</v>
      </c>
      <c r="W340">
        <v>0</v>
      </c>
      <c r="X340">
        <v>1499412</v>
      </c>
      <c r="Y340" s="3" t="s">
        <v>640</v>
      </c>
      <c r="Z340">
        <v>107.101</v>
      </c>
      <c r="AA340">
        <v>-1400000</v>
      </c>
      <c r="AB340" s="3" t="s">
        <v>449</v>
      </c>
      <c r="AC340" s="3" t="s">
        <v>10</v>
      </c>
      <c r="AD340">
        <v>0</v>
      </c>
      <c r="AE340">
        <v>0</v>
      </c>
      <c r="AF340" s="3" t="s">
        <v>640</v>
      </c>
    </row>
    <row r="341" spans="1:32" x14ac:dyDescent="0.35">
      <c r="A341" s="3" t="s">
        <v>608</v>
      </c>
      <c r="B341" s="3" t="s">
        <v>608</v>
      </c>
      <c r="C341" s="3" t="s">
        <v>608</v>
      </c>
      <c r="D341" s="3" t="s">
        <v>608</v>
      </c>
      <c r="E341" s="3" t="s">
        <v>608</v>
      </c>
      <c r="F341" s="3" t="s">
        <v>640</v>
      </c>
      <c r="G341" s="3" t="s">
        <v>1253</v>
      </c>
      <c r="H341" s="3" t="s">
        <v>1253</v>
      </c>
      <c r="I341" s="3" t="s">
        <v>640</v>
      </c>
      <c r="J341" s="3" t="s">
        <v>4</v>
      </c>
      <c r="K341" s="3" t="s">
        <v>640</v>
      </c>
      <c r="L341" s="3" t="s">
        <v>448</v>
      </c>
      <c r="M341" s="3" t="s">
        <v>14</v>
      </c>
      <c r="N341">
        <v>-1000000</v>
      </c>
      <c r="O341">
        <v>107.414</v>
      </c>
      <c r="Q341">
        <v>0</v>
      </c>
      <c r="R341">
        <v>-28</v>
      </c>
      <c r="S341" s="3" t="s">
        <v>640</v>
      </c>
      <c r="T341">
        <v>0</v>
      </c>
      <c r="U341">
        <v>0</v>
      </c>
      <c r="V341">
        <v>0</v>
      </c>
      <c r="W341">
        <v>0</v>
      </c>
      <c r="X341">
        <v>1074144</v>
      </c>
      <c r="Y341" s="3" t="s">
        <v>640</v>
      </c>
      <c r="Z341">
        <v>107.414</v>
      </c>
      <c r="AA341">
        <v>-1000000</v>
      </c>
      <c r="AB341" s="3" t="s">
        <v>449</v>
      </c>
      <c r="AC341" s="3" t="s">
        <v>10</v>
      </c>
      <c r="AD341">
        <v>0</v>
      </c>
      <c r="AE341">
        <v>0</v>
      </c>
      <c r="AF341" s="3" t="s">
        <v>640</v>
      </c>
    </row>
    <row r="342" spans="1:32" x14ac:dyDescent="0.35">
      <c r="A342" s="3" t="s">
        <v>608</v>
      </c>
      <c r="B342" s="3" t="s">
        <v>608</v>
      </c>
      <c r="C342" s="3" t="s">
        <v>608</v>
      </c>
      <c r="D342" s="3" t="s">
        <v>608</v>
      </c>
      <c r="E342" s="3" t="s">
        <v>608</v>
      </c>
      <c r="F342" s="3" t="s">
        <v>640</v>
      </c>
      <c r="G342" s="3" t="s">
        <v>1337</v>
      </c>
      <c r="H342" s="3" t="s">
        <v>1337</v>
      </c>
      <c r="I342" s="3" t="s">
        <v>640</v>
      </c>
      <c r="J342" s="3" t="s">
        <v>4</v>
      </c>
      <c r="K342" s="3" t="s">
        <v>640</v>
      </c>
      <c r="L342" s="3" t="s">
        <v>448</v>
      </c>
      <c r="M342" s="3" t="s">
        <v>14</v>
      </c>
      <c r="N342">
        <v>5300000</v>
      </c>
      <c r="O342">
        <v>91.409000000000006</v>
      </c>
      <c r="Q342">
        <v>0</v>
      </c>
      <c r="R342">
        <v>34</v>
      </c>
      <c r="S342" s="3" t="s">
        <v>640</v>
      </c>
      <c r="T342">
        <v>0</v>
      </c>
      <c r="U342">
        <v>0</v>
      </c>
      <c r="V342">
        <v>0</v>
      </c>
      <c r="W342">
        <v>0</v>
      </c>
      <c r="X342">
        <v>-4845139</v>
      </c>
      <c r="Y342" s="3" t="s">
        <v>640</v>
      </c>
      <c r="Z342">
        <v>91.409000000000006</v>
      </c>
      <c r="AA342">
        <v>5300000</v>
      </c>
      <c r="AB342" s="3" t="s">
        <v>449</v>
      </c>
      <c r="AC342" s="3" t="s">
        <v>10</v>
      </c>
      <c r="AD342">
        <v>0</v>
      </c>
      <c r="AE342">
        <v>0</v>
      </c>
      <c r="AF342" s="3" t="s">
        <v>640</v>
      </c>
    </row>
    <row r="343" spans="1:32" x14ac:dyDescent="0.35">
      <c r="A343" s="3" t="s">
        <v>608</v>
      </c>
      <c r="B343" s="3" t="s">
        <v>608</v>
      </c>
      <c r="C343" s="3" t="s">
        <v>608</v>
      </c>
      <c r="D343" s="3" t="s">
        <v>608</v>
      </c>
      <c r="E343" s="3" t="s">
        <v>608</v>
      </c>
      <c r="F343" s="3" t="s">
        <v>640</v>
      </c>
      <c r="G343" s="3" t="s">
        <v>1393</v>
      </c>
      <c r="H343" s="3" t="s">
        <v>1393</v>
      </c>
      <c r="I343" s="3" t="s">
        <v>640</v>
      </c>
      <c r="J343" s="3" t="s">
        <v>4</v>
      </c>
      <c r="K343" s="3" t="s">
        <v>640</v>
      </c>
      <c r="L343" s="3" t="s">
        <v>448</v>
      </c>
      <c r="M343" s="3" t="s">
        <v>14</v>
      </c>
      <c r="N343">
        <v>-700000</v>
      </c>
      <c r="O343">
        <v>115.047</v>
      </c>
      <c r="Q343">
        <v>0</v>
      </c>
      <c r="R343">
        <v>-21</v>
      </c>
      <c r="S343" s="3" t="s">
        <v>640</v>
      </c>
      <c r="T343">
        <v>0</v>
      </c>
      <c r="U343">
        <v>0</v>
      </c>
      <c r="V343">
        <v>0</v>
      </c>
      <c r="W343">
        <v>0</v>
      </c>
      <c r="X343">
        <v>808748</v>
      </c>
      <c r="Y343" s="3" t="s">
        <v>640</v>
      </c>
      <c r="Z343">
        <v>115.047</v>
      </c>
      <c r="AA343">
        <v>-700000</v>
      </c>
      <c r="AB343" s="3" t="s">
        <v>449</v>
      </c>
      <c r="AC343" s="3" t="s">
        <v>10</v>
      </c>
      <c r="AD343">
        <v>0</v>
      </c>
      <c r="AE343">
        <v>0</v>
      </c>
      <c r="AF343" s="3" t="s">
        <v>640</v>
      </c>
    </row>
    <row r="344" spans="1:32" x14ac:dyDescent="0.35">
      <c r="A344" s="3" t="s">
        <v>608</v>
      </c>
      <c r="B344" s="3" t="s">
        <v>608</v>
      </c>
      <c r="C344" s="3" t="s">
        <v>608</v>
      </c>
      <c r="D344" s="3" t="s">
        <v>608</v>
      </c>
      <c r="E344" s="3" t="s">
        <v>608</v>
      </c>
      <c r="F344" s="3" t="s">
        <v>640</v>
      </c>
      <c r="G344" s="3" t="s">
        <v>1414</v>
      </c>
      <c r="H344" s="3" t="s">
        <v>1414</v>
      </c>
      <c r="I344" s="3" t="s">
        <v>640</v>
      </c>
      <c r="J344" s="3" t="s">
        <v>4</v>
      </c>
      <c r="K344" s="3" t="s">
        <v>640</v>
      </c>
      <c r="L344" s="3" t="s">
        <v>448</v>
      </c>
      <c r="M344" s="3" t="s">
        <v>14</v>
      </c>
      <c r="N344">
        <v>0</v>
      </c>
      <c r="O344">
        <v>84.766000000000005</v>
      </c>
      <c r="Q344">
        <v>0</v>
      </c>
      <c r="R344">
        <v>0</v>
      </c>
      <c r="S344" s="3" t="s">
        <v>640</v>
      </c>
      <c r="T344">
        <v>0</v>
      </c>
      <c r="U344">
        <v>0</v>
      </c>
      <c r="V344">
        <v>0</v>
      </c>
      <c r="W344">
        <v>0</v>
      </c>
      <c r="X344">
        <v>0</v>
      </c>
      <c r="Y344" s="3" t="s">
        <v>640</v>
      </c>
      <c r="Z344">
        <v>84.766000000000005</v>
      </c>
      <c r="AA344">
        <v>0</v>
      </c>
      <c r="AB344" s="3" t="s">
        <v>449</v>
      </c>
      <c r="AC344" s="3" t="s">
        <v>10</v>
      </c>
      <c r="AD344">
        <v>0</v>
      </c>
      <c r="AE344">
        <v>0</v>
      </c>
      <c r="AF344" s="3" t="s">
        <v>640</v>
      </c>
    </row>
    <row r="345" spans="1:32" x14ac:dyDescent="0.35">
      <c r="A345" s="3" t="s">
        <v>608</v>
      </c>
      <c r="B345" s="3" t="s">
        <v>608</v>
      </c>
      <c r="C345" s="3" t="s">
        <v>608</v>
      </c>
      <c r="D345" s="3" t="s">
        <v>608</v>
      </c>
      <c r="E345" s="3" t="s">
        <v>608</v>
      </c>
      <c r="F345" s="3" t="s">
        <v>640</v>
      </c>
      <c r="G345" s="3" t="s">
        <v>1425</v>
      </c>
      <c r="H345" s="3" t="s">
        <v>1425</v>
      </c>
      <c r="I345" s="3" t="s">
        <v>640</v>
      </c>
      <c r="J345" s="3" t="s">
        <v>4</v>
      </c>
      <c r="K345" s="3" t="s">
        <v>640</v>
      </c>
      <c r="L345" s="3" t="s">
        <v>448</v>
      </c>
      <c r="M345" s="3" t="s">
        <v>14</v>
      </c>
      <c r="N345">
        <v>1000000</v>
      </c>
      <c r="O345">
        <v>99.956000000000003</v>
      </c>
      <c r="Q345">
        <v>0</v>
      </c>
      <c r="R345">
        <v>8</v>
      </c>
      <c r="S345" s="3" t="s">
        <v>640</v>
      </c>
      <c r="T345">
        <v>0</v>
      </c>
      <c r="U345">
        <v>0</v>
      </c>
      <c r="V345">
        <v>0</v>
      </c>
      <c r="W345">
        <v>0</v>
      </c>
      <c r="X345">
        <v>-999557</v>
      </c>
      <c r="Y345" s="3" t="s">
        <v>640</v>
      </c>
      <c r="Z345">
        <v>99.956000000000003</v>
      </c>
      <c r="AA345">
        <v>1000000</v>
      </c>
      <c r="AB345" s="3" t="s">
        <v>449</v>
      </c>
      <c r="AC345" s="3" t="s">
        <v>10</v>
      </c>
      <c r="AD345">
        <v>0</v>
      </c>
      <c r="AE345">
        <v>0</v>
      </c>
      <c r="AF345" s="3" t="s">
        <v>640</v>
      </c>
    </row>
    <row r="346" spans="1:32" x14ac:dyDescent="0.35">
      <c r="A346" s="3" t="s">
        <v>608</v>
      </c>
      <c r="B346" s="3" t="s">
        <v>608</v>
      </c>
      <c r="C346" s="3" t="s">
        <v>608</v>
      </c>
      <c r="D346" s="3" t="s">
        <v>608</v>
      </c>
      <c r="E346" s="3" t="s">
        <v>608</v>
      </c>
      <c r="F346" s="3" t="s">
        <v>640</v>
      </c>
      <c r="G346" s="3" t="s">
        <v>1399</v>
      </c>
      <c r="H346" s="3" t="s">
        <v>1399</v>
      </c>
      <c r="I346" s="3" t="s">
        <v>640</v>
      </c>
      <c r="J346" s="3" t="s">
        <v>4</v>
      </c>
      <c r="K346" s="3" t="s">
        <v>640</v>
      </c>
      <c r="L346" s="3" t="s">
        <v>448</v>
      </c>
      <c r="M346" s="3" t="s">
        <v>14</v>
      </c>
      <c r="N346">
        <v>3000000</v>
      </c>
      <c r="O346">
        <v>87.861999999999995</v>
      </c>
      <c r="Q346">
        <v>0</v>
      </c>
      <c r="R346">
        <v>18</v>
      </c>
      <c r="S346" s="3" t="s">
        <v>640</v>
      </c>
      <c r="T346">
        <v>0</v>
      </c>
      <c r="U346">
        <v>0</v>
      </c>
      <c r="V346">
        <v>0</v>
      </c>
      <c r="W346">
        <v>0</v>
      </c>
      <c r="X346">
        <v>-2635851</v>
      </c>
      <c r="Y346" s="3" t="s">
        <v>640</v>
      </c>
      <c r="Z346">
        <v>87.861999999999995</v>
      </c>
      <c r="AA346">
        <v>3000000</v>
      </c>
      <c r="AB346" s="3" t="s">
        <v>449</v>
      </c>
      <c r="AC346" s="3" t="s">
        <v>10</v>
      </c>
      <c r="AD346">
        <v>0</v>
      </c>
      <c r="AE346">
        <v>0</v>
      </c>
      <c r="AF346" s="3" t="s">
        <v>640</v>
      </c>
    </row>
    <row r="347" spans="1:32" x14ac:dyDescent="0.35">
      <c r="A347" s="3" t="s">
        <v>608</v>
      </c>
      <c r="B347" s="3" t="s">
        <v>608</v>
      </c>
      <c r="C347" s="3" t="s">
        <v>608</v>
      </c>
      <c r="D347" s="3" t="s">
        <v>608</v>
      </c>
      <c r="E347" s="3" t="s">
        <v>608</v>
      </c>
      <c r="F347" s="3" t="s">
        <v>640</v>
      </c>
      <c r="G347" s="3" t="s">
        <v>1424</v>
      </c>
      <c r="H347" s="3" t="s">
        <v>1424</v>
      </c>
      <c r="I347" s="3" t="s">
        <v>640</v>
      </c>
      <c r="J347" s="3" t="s">
        <v>4</v>
      </c>
      <c r="K347" s="3" t="s">
        <v>640</v>
      </c>
      <c r="L347" s="3" t="s">
        <v>448</v>
      </c>
      <c r="M347" s="3" t="s">
        <v>14</v>
      </c>
      <c r="N347">
        <v>0</v>
      </c>
      <c r="O347">
        <v>91.897999999999996</v>
      </c>
      <c r="Q347">
        <v>0</v>
      </c>
      <c r="R347">
        <v>13</v>
      </c>
      <c r="S347" s="3" t="s">
        <v>640</v>
      </c>
      <c r="T347">
        <v>0</v>
      </c>
      <c r="U347">
        <v>0</v>
      </c>
      <c r="V347">
        <v>0</v>
      </c>
      <c r="W347">
        <v>0</v>
      </c>
      <c r="X347">
        <v>0</v>
      </c>
      <c r="Y347" s="3" t="s">
        <v>640</v>
      </c>
      <c r="Z347">
        <v>91.897999999999996</v>
      </c>
      <c r="AA347">
        <v>2000000</v>
      </c>
      <c r="AB347" s="3" t="s">
        <v>449</v>
      </c>
      <c r="AC347" s="3" t="s">
        <v>10</v>
      </c>
      <c r="AD347">
        <v>0</v>
      </c>
      <c r="AE347">
        <v>0</v>
      </c>
      <c r="AF347" s="3" t="s">
        <v>640</v>
      </c>
    </row>
    <row r="348" spans="1:32" x14ac:dyDescent="0.35">
      <c r="A348" s="3" t="s">
        <v>608</v>
      </c>
      <c r="B348" s="3" t="s">
        <v>608</v>
      </c>
      <c r="C348" s="3" t="s">
        <v>608</v>
      </c>
      <c r="D348" s="3" t="s">
        <v>608</v>
      </c>
      <c r="E348" s="3" t="s">
        <v>608</v>
      </c>
      <c r="F348" s="3" t="s">
        <v>640</v>
      </c>
      <c r="G348" s="3" t="s">
        <v>1461</v>
      </c>
      <c r="H348" s="3" t="s">
        <v>1461</v>
      </c>
      <c r="I348" s="3" t="s">
        <v>640</v>
      </c>
      <c r="J348" s="3" t="s">
        <v>4</v>
      </c>
      <c r="K348" s="3" t="s">
        <v>640</v>
      </c>
      <c r="L348" s="3" t="s">
        <v>448</v>
      </c>
      <c r="M348" s="3" t="s">
        <v>14</v>
      </c>
      <c r="N348">
        <v>0</v>
      </c>
      <c r="O348">
        <v>93.305999999999997</v>
      </c>
      <c r="Q348">
        <v>0</v>
      </c>
      <c r="R348">
        <v>13</v>
      </c>
      <c r="S348" s="3" t="s">
        <v>640</v>
      </c>
      <c r="T348">
        <v>0</v>
      </c>
      <c r="U348">
        <v>0</v>
      </c>
      <c r="V348">
        <v>0</v>
      </c>
      <c r="W348">
        <v>0</v>
      </c>
      <c r="X348">
        <v>0</v>
      </c>
      <c r="Y348" s="3" t="s">
        <v>640</v>
      </c>
      <c r="Z348">
        <v>93.305999999999997</v>
      </c>
      <c r="AA348">
        <v>2000000</v>
      </c>
      <c r="AB348" s="3" t="s">
        <v>449</v>
      </c>
      <c r="AC348" s="3" t="s">
        <v>10</v>
      </c>
      <c r="AD348">
        <v>0</v>
      </c>
      <c r="AE348">
        <v>0</v>
      </c>
      <c r="AF348" s="3" t="s">
        <v>640</v>
      </c>
    </row>
    <row r="349" spans="1:32" x14ac:dyDescent="0.35">
      <c r="A349" s="3" t="s">
        <v>608</v>
      </c>
      <c r="B349" s="3" t="s">
        <v>608</v>
      </c>
      <c r="C349" s="3" t="s">
        <v>608</v>
      </c>
      <c r="D349" s="3" t="s">
        <v>608</v>
      </c>
      <c r="E349" s="3" t="s">
        <v>608</v>
      </c>
      <c r="F349" s="3" t="s">
        <v>640</v>
      </c>
      <c r="G349" s="3" t="s">
        <v>1443</v>
      </c>
      <c r="H349" s="3" t="s">
        <v>1443</v>
      </c>
      <c r="I349" s="3" t="s">
        <v>640</v>
      </c>
      <c r="J349" s="3" t="s">
        <v>4</v>
      </c>
      <c r="K349" s="3" t="s">
        <v>640</v>
      </c>
      <c r="L349" s="3" t="s">
        <v>448</v>
      </c>
      <c r="M349" s="3" t="s">
        <v>14</v>
      </c>
      <c r="N349">
        <v>-1400000</v>
      </c>
      <c r="O349">
        <v>108.142</v>
      </c>
      <c r="Q349">
        <v>0</v>
      </c>
      <c r="R349">
        <v>-40</v>
      </c>
      <c r="S349" s="3" t="s">
        <v>640</v>
      </c>
      <c r="T349">
        <v>0</v>
      </c>
      <c r="U349">
        <v>0</v>
      </c>
      <c r="V349">
        <v>0</v>
      </c>
      <c r="W349">
        <v>0</v>
      </c>
      <c r="X349">
        <v>1513983</v>
      </c>
      <c r="Y349" s="3" t="s">
        <v>640</v>
      </c>
      <c r="Z349">
        <v>108.142</v>
      </c>
      <c r="AA349">
        <v>-1400000</v>
      </c>
      <c r="AB349" s="3" t="s">
        <v>449</v>
      </c>
      <c r="AC349" s="3" t="s">
        <v>10</v>
      </c>
      <c r="AD349">
        <v>0</v>
      </c>
      <c r="AE349">
        <v>0</v>
      </c>
      <c r="AF349" s="3" t="s">
        <v>640</v>
      </c>
    </row>
    <row r="350" spans="1:32" x14ac:dyDescent="0.35">
      <c r="A350" s="3" t="s">
        <v>608</v>
      </c>
      <c r="B350" s="3" t="s">
        <v>608</v>
      </c>
      <c r="C350" s="3" t="s">
        <v>608</v>
      </c>
      <c r="D350" s="3" t="s">
        <v>608</v>
      </c>
      <c r="E350" s="3" t="s">
        <v>608</v>
      </c>
      <c r="F350" s="3" t="s">
        <v>640</v>
      </c>
      <c r="G350" s="3" t="s">
        <v>1448</v>
      </c>
      <c r="H350" s="3" t="s">
        <v>1448</v>
      </c>
      <c r="I350" s="3" t="s">
        <v>640</v>
      </c>
      <c r="J350" s="3" t="s">
        <v>4</v>
      </c>
      <c r="K350" s="3" t="s">
        <v>640</v>
      </c>
      <c r="L350" s="3" t="s">
        <v>448</v>
      </c>
      <c r="M350" s="3" t="s">
        <v>14</v>
      </c>
      <c r="N350">
        <v>3000000</v>
      </c>
      <c r="O350">
        <v>79.471999999999994</v>
      </c>
      <c r="Q350">
        <v>0</v>
      </c>
      <c r="R350">
        <v>17</v>
      </c>
      <c r="S350" s="3" t="s">
        <v>640</v>
      </c>
      <c r="T350">
        <v>0</v>
      </c>
      <c r="U350">
        <v>0</v>
      </c>
      <c r="V350">
        <v>0</v>
      </c>
      <c r="W350">
        <v>0</v>
      </c>
      <c r="X350">
        <v>-2384174</v>
      </c>
      <c r="Y350" s="3" t="s">
        <v>640</v>
      </c>
      <c r="Z350">
        <v>79.471999999999994</v>
      </c>
      <c r="AA350">
        <v>3000000</v>
      </c>
      <c r="AB350" s="3" t="s">
        <v>449</v>
      </c>
      <c r="AC350" s="3" t="s">
        <v>10</v>
      </c>
      <c r="AD350">
        <v>0</v>
      </c>
      <c r="AE350">
        <v>0</v>
      </c>
      <c r="AF350" s="3" t="s">
        <v>640</v>
      </c>
    </row>
    <row r="351" spans="1:32" x14ac:dyDescent="0.35">
      <c r="A351" s="3" t="s">
        <v>608</v>
      </c>
      <c r="B351" s="3" t="s">
        <v>608</v>
      </c>
      <c r="C351" s="3" t="s">
        <v>608</v>
      </c>
      <c r="D351" s="3" t="s">
        <v>608</v>
      </c>
      <c r="E351" s="3" t="s">
        <v>608</v>
      </c>
      <c r="F351" s="3" t="s">
        <v>640</v>
      </c>
      <c r="G351" s="3" t="s">
        <v>1643</v>
      </c>
      <c r="H351" s="3" t="s">
        <v>1643</v>
      </c>
      <c r="I351" s="3" t="s">
        <v>640</v>
      </c>
      <c r="J351" s="3" t="s">
        <v>4</v>
      </c>
      <c r="K351" s="3" t="s">
        <v>640</v>
      </c>
      <c r="L351" s="3" t="s">
        <v>448</v>
      </c>
      <c r="M351" s="3" t="s">
        <v>14</v>
      </c>
      <c r="N351">
        <v>-2700000</v>
      </c>
      <c r="O351">
        <v>111.496</v>
      </c>
      <c r="Q351">
        <v>0</v>
      </c>
      <c r="R351">
        <v>-79</v>
      </c>
      <c r="S351" s="3" t="s">
        <v>640</v>
      </c>
      <c r="T351">
        <v>0</v>
      </c>
      <c r="U351">
        <v>0</v>
      </c>
      <c r="V351">
        <v>0</v>
      </c>
      <c r="W351">
        <v>0</v>
      </c>
      <c r="X351">
        <v>3010397</v>
      </c>
      <c r="Y351" s="3" t="s">
        <v>640</v>
      </c>
      <c r="Z351">
        <v>111.496</v>
      </c>
      <c r="AA351">
        <v>-2700000</v>
      </c>
      <c r="AB351" s="3" t="s">
        <v>449</v>
      </c>
      <c r="AC351" s="3" t="s">
        <v>10</v>
      </c>
      <c r="AD351">
        <v>0</v>
      </c>
      <c r="AE351">
        <v>0</v>
      </c>
      <c r="AF351" s="3" t="s">
        <v>640</v>
      </c>
    </row>
    <row r="352" spans="1:32" x14ac:dyDescent="0.35">
      <c r="A352" s="3" t="s">
        <v>608</v>
      </c>
      <c r="B352" s="3" t="s">
        <v>608</v>
      </c>
      <c r="C352" s="3" t="s">
        <v>608</v>
      </c>
      <c r="D352" s="3" t="s">
        <v>608</v>
      </c>
      <c r="E352" s="3" t="s">
        <v>608</v>
      </c>
      <c r="F352" s="3" t="s">
        <v>640</v>
      </c>
      <c r="G352" s="3" t="s">
        <v>1659</v>
      </c>
      <c r="H352" s="3" t="s">
        <v>1659</v>
      </c>
      <c r="I352" s="3" t="s">
        <v>640</v>
      </c>
      <c r="J352" s="3" t="s">
        <v>4</v>
      </c>
      <c r="K352" s="3" t="s">
        <v>640</v>
      </c>
      <c r="L352" s="3" t="s">
        <v>448</v>
      </c>
      <c r="M352" s="3" t="s">
        <v>14</v>
      </c>
      <c r="N352">
        <v>5000000</v>
      </c>
      <c r="O352">
        <v>87.771000000000001</v>
      </c>
      <c r="Q352">
        <v>0</v>
      </c>
      <c r="R352">
        <v>30</v>
      </c>
      <c r="S352" s="3" t="s">
        <v>640</v>
      </c>
      <c r="T352">
        <v>0</v>
      </c>
      <c r="U352">
        <v>0</v>
      </c>
      <c r="V352">
        <v>0</v>
      </c>
      <c r="W352">
        <v>0</v>
      </c>
      <c r="X352">
        <v>-4388550</v>
      </c>
      <c r="Y352" s="3" t="s">
        <v>640</v>
      </c>
      <c r="Z352">
        <v>87.771000000000001</v>
      </c>
      <c r="AA352">
        <v>5000000</v>
      </c>
      <c r="AB352" s="3" t="s">
        <v>449</v>
      </c>
      <c r="AC352" s="3" t="s">
        <v>10</v>
      </c>
      <c r="AD352">
        <v>0</v>
      </c>
      <c r="AE352">
        <v>0</v>
      </c>
      <c r="AF352" s="3" t="s">
        <v>640</v>
      </c>
    </row>
    <row r="353" spans="1:32" x14ac:dyDescent="0.35">
      <c r="A353" s="3" t="s">
        <v>608</v>
      </c>
      <c r="B353" s="3" t="s">
        <v>608</v>
      </c>
      <c r="C353" s="3" t="s">
        <v>608</v>
      </c>
      <c r="D353" s="3" t="s">
        <v>608</v>
      </c>
      <c r="E353" s="3" t="s">
        <v>608</v>
      </c>
      <c r="F353" s="3" t="s">
        <v>640</v>
      </c>
      <c r="G353" s="3" t="s">
        <v>1661</v>
      </c>
      <c r="H353" s="3" t="s">
        <v>1661</v>
      </c>
      <c r="I353" s="3" t="s">
        <v>640</v>
      </c>
      <c r="J353" s="3" t="s">
        <v>4</v>
      </c>
      <c r="K353" s="3" t="s">
        <v>640</v>
      </c>
      <c r="L353" s="3" t="s">
        <v>448</v>
      </c>
      <c r="M353" s="3" t="s">
        <v>14</v>
      </c>
      <c r="N353">
        <v>6000000</v>
      </c>
      <c r="O353">
        <v>87.915999999999997</v>
      </c>
      <c r="Q353">
        <v>0</v>
      </c>
      <c r="R353">
        <v>37</v>
      </c>
      <c r="S353" s="3" t="s">
        <v>640</v>
      </c>
      <c r="T353">
        <v>0</v>
      </c>
      <c r="U353">
        <v>0</v>
      </c>
      <c r="V353">
        <v>0</v>
      </c>
      <c r="W353">
        <v>0</v>
      </c>
      <c r="X353">
        <v>-5274930</v>
      </c>
      <c r="Y353" s="3" t="s">
        <v>640</v>
      </c>
      <c r="Z353">
        <v>87.915999999999997</v>
      </c>
      <c r="AA353">
        <v>6000000</v>
      </c>
      <c r="AB353" s="3" t="s">
        <v>449</v>
      </c>
      <c r="AC353" s="3" t="s">
        <v>10</v>
      </c>
      <c r="AD353">
        <v>0</v>
      </c>
      <c r="AE353">
        <v>0</v>
      </c>
      <c r="AF353" s="3" t="s">
        <v>640</v>
      </c>
    </row>
    <row r="354" spans="1:32" x14ac:dyDescent="0.35">
      <c r="A354" s="3" t="s">
        <v>608</v>
      </c>
      <c r="B354" s="3" t="s">
        <v>608</v>
      </c>
      <c r="C354" s="3" t="s">
        <v>608</v>
      </c>
      <c r="D354" s="3" t="s">
        <v>608</v>
      </c>
      <c r="E354" s="3" t="s">
        <v>608</v>
      </c>
      <c r="F354" s="3" t="s">
        <v>640</v>
      </c>
      <c r="G354" s="3" t="s">
        <v>1660</v>
      </c>
      <c r="H354" s="3" t="s">
        <v>1660</v>
      </c>
      <c r="I354" s="3" t="s">
        <v>640</v>
      </c>
      <c r="J354" s="3" t="s">
        <v>4</v>
      </c>
      <c r="K354" s="3" t="s">
        <v>640</v>
      </c>
      <c r="L354" s="3" t="s">
        <v>448</v>
      </c>
      <c r="M354" s="3" t="s">
        <v>14</v>
      </c>
      <c r="N354">
        <v>1500000</v>
      </c>
      <c r="O354">
        <v>88.655000000000001</v>
      </c>
      <c r="Q354">
        <v>0</v>
      </c>
      <c r="R354">
        <v>9</v>
      </c>
      <c r="S354" s="3" t="s">
        <v>640</v>
      </c>
      <c r="T354">
        <v>0</v>
      </c>
      <c r="U354">
        <v>0</v>
      </c>
      <c r="V354">
        <v>0</v>
      </c>
      <c r="W354">
        <v>0</v>
      </c>
      <c r="X354">
        <v>-1329825</v>
      </c>
      <c r="Y354" s="3" t="s">
        <v>640</v>
      </c>
      <c r="Z354">
        <v>88.655000000000001</v>
      </c>
      <c r="AA354">
        <v>1500000</v>
      </c>
      <c r="AB354" s="3" t="s">
        <v>449</v>
      </c>
      <c r="AC354" s="3" t="s">
        <v>10</v>
      </c>
      <c r="AD354">
        <v>0</v>
      </c>
      <c r="AE354">
        <v>0</v>
      </c>
      <c r="AF354" s="3" t="s">
        <v>640</v>
      </c>
    </row>
    <row r="355" spans="1:32" x14ac:dyDescent="0.35">
      <c r="A355" s="3" t="s">
        <v>608</v>
      </c>
      <c r="B355" s="3" t="s">
        <v>608</v>
      </c>
      <c r="C355" s="3" t="s">
        <v>608</v>
      </c>
      <c r="D355" s="3" t="s">
        <v>608</v>
      </c>
      <c r="E355" s="3" t="s">
        <v>608</v>
      </c>
      <c r="F355" s="3" t="s">
        <v>640</v>
      </c>
      <c r="G355" s="3" t="s">
        <v>1664</v>
      </c>
      <c r="H355" s="3" t="s">
        <v>1664</v>
      </c>
      <c r="I355" s="3" t="s">
        <v>640</v>
      </c>
      <c r="J355" s="3" t="s">
        <v>4</v>
      </c>
      <c r="K355" s="3" t="s">
        <v>640</v>
      </c>
      <c r="L355" s="3" t="s">
        <v>448</v>
      </c>
      <c r="M355" s="3" t="s">
        <v>14</v>
      </c>
      <c r="N355">
        <v>6200000</v>
      </c>
      <c r="O355">
        <v>95.37</v>
      </c>
      <c r="Q355">
        <v>0</v>
      </c>
      <c r="R355">
        <v>41</v>
      </c>
      <c r="S355" s="3" t="s">
        <v>640</v>
      </c>
      <c r="T355">
        <v>0</v>
      </c>
      <c r="U355">
        <v>0</v>
      </c>
      <c r="V355">
        <v>0</v>
      </c>
      <c r="W355">
        <v>0</v>
      </c>
      <c r="X355">
        <v>-5912940</v>
      </c>
      <c r="Y355" s="3" t="s">
        <v>640</v>
      </c>
      <c r="Z355">
        <v>95.37</v>
      </c>
      <c r="AA355">
        <v>6200000</v>
      </c>
      <c r="AB355" s="3" t="s">
        <v>449</v>
      </c>
      <c r="AC355" s="3" t="s">
        <v>10</v>
      </c>
      <c r="AD355">
        <v>0</v>
      </c>
      <c r="AE355">
        <v>0</v>
      </c>
      <c r="AF355" s="3" t="s">
        <v>640</v>
      </c>
    </row>
    <row r="356" spans="1:32" x14ac:dyDescent="0.35">
      <c r="A356" s="3" t="s">
        <v>608</v>
      </c>
      <c r="B356" s="3" t="s">
        <v>608</v>
      </c>
      <c r="C356" s="3" t="s">
        <v>608</v>
      </c>
      <c r="D356" s="3" t="s">
        <v>608</v>
      </c>
      <c r="E356" s="3" t="s">
        <v>608</v>
      </c>
      <c r="F356" s="3" t="s">
        <v>640</v>
      </c>
      <c r="G356" s="3" t="s">
        <v>1658</v>
      </c>
      <c r="H356" s="3" t="s">
        <v>1658</v>
      </c>
      <c r="I356" s="3" t="s">
        <v>640</v>
      </c>
      <c r="J356" s="3" t="s">
        <v>4</v>
      </c>
      <c r="K356" s="3" t="s">
        <v>640</v>
      </c>
      <c r="L356" s="3" t="s">
        <v>448</v>
      </c>
      <c r="M356" s="3" t="s">
        <v>14</v>
      </c>
      <c r="N356">
        <v>1110000</v>
      </c>
      <c r="O356">
        <v>89.224999999999994</v>
      </c>
      <c r="Q356">
        <v>0</v>
      </c>
      <c r="R356">
        <v>10</v>
      </c>
      <c r="S356" s="3" t="s">
        <v>640</v>
      </c>
      <c r="T356">
        <v>0</v>
      </c>
      <c r="U356">
        <v>0</v>
      </c>
      <c r="V356">
        <v>0</v>
      </c>
      <c r="W356">
        <v>0</v>
      </c>
      <c r="X356">
        <v>-990392</v>
      </c>
      <c r="Y356" s="3" t="s">
        <v>640</v>
      </c>
      <c r="Z356">
        <v>89.224999999999994</v>
      </c>
      <c r="AA356">
        <v>1110000</v>
      </c>
      <c r="AB356" s="3" t="s">
        <v>449</v>
      </c>
      <c r="AC356" s="3" t="s">
        <v>10</v>
      </c>
      <c r="AD356">
        <v>0</v>
      </c>
      <c r="AE356">
        <v>0</v>
      </c>
      <c r="AF356" s="3" t="s">
        <v>640</v>
      </c>
    </row>
    <row r="357" spans="1:32" x14ac:dyDescent="0.35">
      <c r="A357" s="3" t="s">
        <v>608</v>
      </c>
      <c r="B357" s="3" t="s">
        <v>608</v>
      </c>
      <c r="C357" s="3" t="s">
        <v>608</v>
      </c>
      <c r="D357" s="3" t="s">
        <v>608</v>
      </c>
      <c r="E357" s="3" t="s">
        <v>608</v>
      </c>
      <c r="F357" s="3" t="s">
        <v>560</v>
      </c>
      <c r="G357" s="3" t="s">
        <v>560</v>
      </c>
      <c r="H357" s="3" t="s">
        <v>561</v>
      </c>
      <c r="I357" s="3" t="s">
        <v>562</v>
      </c>
      <c r="J357" s="3" t="s">
        <v>4</v>
      </c>
      <c r="K357" s="3" t="s">
        <v>823</v>
      </c>
      <c r="L357" s="3" t="s">
        <v>30</v>
      </c>
      <c r="M357" s="3" t="s">
        <v>14</v>
      </c>
      <c r="N357">
        <v>-500000</v>
      </c>
      <c r="O357">
        <v>104.506</v>
      </c>
      <c r="P357">
        <v>438</v>
      </c>
      <c r="Q357">
        <v>-475</v>
      </c>
      <c r="R357">
        <v>-66</v>
      </c>
      <c r="S357" s="3" t="s">
        <v>263</v>
      </c>
      <c r="T357">
        <v>-305</v>
      </c>
      <c r="U357">
        <v>-308</v>
      </c>
      <c r="V357">
        <v>-1349</v>
      </c>
      <c r="W357">
        <v>-4.3499999999999996</v>
      </c>
      <c r="X357">
        <v>-522530</v>
      </c>
      <c r="Y357" s="3" t="s">
        <v>31</v>
      </c>
      <c r="Z357">
        <v>104.411</v>
      </c>
      <c r="AA357">
        <v>-500000</v>
      </c>
      <c r="AB357" s="3" t="s">
        <v>563</v>
      </c>
      <c r="AC357" s="3" t="s">
        <v>10</v>
      </c>
      <c r="AD357">
        <v>-526270</v>
      </c>
      <c r="AE357">
        <v>526270</v>
      </c>
      <c r="AF357" s="3" t="s">
        <v>640</v>
      </c>
    </row>
    <row r="358" spans="1:32" x14ac:dyDescent="0.35">
      <c r="A358" s="3" t="s">
        <v>608</v>
      </c>
      <c r="B358" s="3" t="s">
        <v>608</v>
      </c>
      <c r="C358" s="3" t="s">
        <v>608</v>
      </c>
      <c r="D358" s="3" t="s">
        <v>608</v>
      </c>
      <c r="E358" s="3" t="s">
        <v>608</v>
      </c>
      <c r="F358" s="3" t="s">
        <v>567</v>
      </c>
      <c r="G358" s="3" t="s">
        <v>567</v>
      </c>
      <c r="H358" s="3" t="s">
        <v>568</v>
      </c>
      <c r="I358" s="3" t="s">
        <v>569</v>
      </c>
      <c r="J358" s="3" t="s">
        <v>283</v>
      </c>
      <c r="K358" s="3" t="s">
        <v>825</v>
      </c>
      <c r="L358" s="3" t="s">
        <v>30</v>
      </c>
      <c r="M358" s="3" t="s">
        <v>14</v>
      </c>
      <c r="N358">
        <v>-200000</v>
      </c>
      <c r="O358">
        <v>101.244</v>
      </c>
      <c r="P358">
        <v>532</v>
      </c>
      <c r="Q358">
        <v>-416</v>
      </c>
      <c r="R358">
        <v>-36</v>
      </c>
      <c r="S358" s="3" t="s">
        <v>263</v>
      </c>
      <c r="T358">
        <v>-77</v>
      </c>
      <c r="U358">
        <v>-78</v>
      </c>
      <c r="V358">
        <v>-416</v>
      </c>
      <c r="W358">
        <v>-1.34</v>
      </c>
      <c r="X358">
        <v>-226135</v>
      </c>
      <c r="Y358" s="3" t="s">
        <v>31</v>
      </c>
      <c r="Z358">
        <v>101.086</v>
      </c>
      <c r="AA358">
        <v>-200000</v>
      </c>
      <c r="AB358" s="3" t="s">
        <v>563</v>
      </c>
      <c r="AC358" s="3" t="s">
        <v>10</v>
      </c>
      <c r="AD358">
        <v>-228201</v>
      </c>
      <c r="AE358">
        <v>228201</v>
      </c>
      <c r="AF358" s="3" t="s">
        <v>640</v>
      </c>
    </row>
    <row r="359" spans="1:32" x14ac:dyDescent="0.35">
      <c r="A359" s="3" t="s">
        <v>608</v>
      </c>
      <c r="B359" s="3" t="s">
        <v>608</v>
      </c>
      <c r="C359" s="3" t="s">
        <v>608</v>
      </c>
      <c r="D359" s="3" t="s">
        <v>608</v>
      </c>
      <c r="E359" s="3" t="s">
        <v>608</v>
      </c>
      <c r="F359" s="3" t="s">
        <v>570</v>
      </c>
      <c r="G359" s="3" t="s">
        <v>570</v>
      </c>
      <c r="H359" s="3" t="s">
        <v>571</v>
      </c>
      <c r="I359" s="3" t="s">
        <v>569</v>
      </c>
      <c r="J359" s="3" t="s">
        <v>283</v>
      </c>
      <c r="K359" s="3" t="s">
        <v>826</v>
      </c>
      <c r="L359" s="3" t="s">
        <v>30</v>
      </c>
      <c r="M359" s="3" t="s">
        <v>14</v>
      </c>
      <c r="N359">
        <v>200000</v>
      </c>
      <c r="O359">
        <v>106.67700000000001</v>
      </c>
      <c r="P359">
        <v>411</v>
      </c>
      <c r="Q359">
        <v>138</v>
      </c>
      <c r="R359">
        <v>44</v>
      </c>
      <c r="S359" s="3" t="s">
        <v>263</v>
      </c>
      <c r="T359">
        <v>51</v>
      </c>
      <c r="U359">
        <v>52</v>
      </c>
      <c r="V359">
        <v>213</v>
      </c>
      <c r="W359">
        <v>0.69</v>
      </c>
      <c r="X359">
        <v>238270</v>
      </c>
      <c r="Y359" s="3" t="s">
        <v>31</v>
      </c>
      <c r="Z359">
        <v>106.63200000000001</v>
      </c>
      <c r="AA359">
        <v>200000</v>
      </c>
      <c r="AB359" s="3" t="s">
        <v>563</v>
      </c>
      <c r="AC359" s="3" t="s">
        <v>10</v>
      </c>
      <c r="AD359">
        <v>240819</v>
      </c>
      <c r="AE359">
        <v>240819</v>
      </c>
      <c r="AF359" s="3" t="s">
        <v>640</v>
      </c>
    </row>
    <row r="360" spans="1:32" x14ac:dyDescent="0.35">
      <c r="A360" s="3" t="s">
        <v>608</v>
      </c>
      <c r="B360" s="3" t="s">
        <v>608</v>
      </c>
      <c r="C360" s="3" t="s">
        <v>608</v>
      </c>
      <c r="D360" s="3" t="s">
        <v>608</v>
      </c>
      <c r="E360" s="3" t="s">
        <v>608</v>
      </c>
      <c r="F360" s="3" t="s">
        <v>572</v>
      </c>
      <c r="G360" s="3" t="s">
        <v>572</v>
      </c>
      <c r="H360" s="3" t="s">
        <v>573</v>
      </c>
      <c r="I360" s="3" t="s">
        <v>574</v>
      </c>
      <c r="J360" s="3" t="s">
        <v>266</v>
      </c>
      <c r="K360" s="3" t="s">
        <v>827</v>
      </c>
      <c r="L360" s="3" t="s">
        <v>30</v>
      </c>
      <c r="M360" s="3" t="s">
        <v>14</v>
      </c>
      <c r="N360">
        <v>250000</v>
      </c>
      <c r="O360">
        <v>108.83</v>
      </c>
      <c r="P360">
        <v>347</v>
      </c>
      <c r="Q360">
        <v>-154</v>
      </c>
      <c r="R360">
        <v>39</v>
      </c>
      <c r="S360" s="3" t="s">
        <v>263</v>
      </c>
      <c r="T360">
        <v>69</v>
      </c>
      <c r="U360">
        <v>70</v>
      </c>
      <c r="V360">
        <v>244</v>
      </c>
      <c r="W360">
        <v>0.79</v>
      </c>
      <c r="X360">
        <v>229406</v>
      </c>
      <c r="Y360" s="3" t="s">
        <v>31</v>
      </c>
      <c r="Z360">
        <v>108.898</v>
      </c>
      <c r="AA360">
        <v>250000</v>
      </c>
      <c r="AB360" s="3" t="s">
        <v>563</v>
      </c>
      <c r="AC360" s="3" t="s">
        <v>10</v>
      </c>
      <c r="AD360">
        <v>231844</v>
      </c>
      <c r="AE360">
        <v>231844</v>
      </c>
      <c r="AF360" s="3" t="s">
        <v>640</v>
      </c>
    </row>
    <row r="361" spans="1:32" x14ac:dyDescent="0.35">
      <c r="A361" s="3" t="s">
        <v>608</v>
      </c>
      <c r="B361" s="3" t="s">
        <v>608</v>
      </c>
      <c r="C361" s="3" t="s">
        <v>608</v>
      </c>
      <c r="D361" s="3" t="s">
        <v>608</v>
      </c>
      <c r="E361" s="3" t="s">
        <v>608</v>
      </c>
      <c r="F361" s="3" t="s">
        <v>1356</v>
      </c>
      <c r="G361" s="3" t="s">
        <v>1356</v>
      </c>
      <c r="H361" s="3" t="s">
        <v>1357</v>
      </c>
      <c r="I361" s="3" t="s">
        <v>1358</v>
      </c>
      <c r="J361" s="3" t="s">
        <v>266</v>
      </c>
      <c r="K361" s="3" t="s">
        <v>1359</v>
      </c>
      <c r="L361" s="3" t="s">
        <v>30</v>
      </c>
      <c r="M361" s="3" t="s">
        <v>14</v>
      </c>
      <c r="N361">
        <v>250000</v>
      </c>
      <c r="O361">
        <v>110.648</v>
      </c>
      <c r="P361">
        <v>374</v>
      </c>
      <c r="Q361">
        <v>68</v>
      </c>
      <c r="R361">
        <v>37</v>
      </c>
      <c r="S361" s="3" t="s">
        <v>263</v>
      </c>
      <c r="T361">
        <v>113</v>
      </c>
      <c r="U361">
        <v>115</v>
      </c>
      <c r="V361">
        <v>430</v>
      </c>
      <c r="W361">
        <v>1.39</v>
      </c>
      <c r="X361">
        <v>233238</v>
      </c>
      <c r="Y361" s="3" t="s">
        <v>31</v>
      </c>
      <c r="Z361">
        <v>110.61499999999999</v>
      </c>
      <c r="AA361">
        <v>250000</v>
      </c>
      <c r="AB361" s="3" t="s">
        <v>563</v>
      </c>
      <c r="AC361" s="3" t="s">
        <v>10</v>
      </c>
      <c r="AD361">
        <v>237089</v>
      </c>
      <c r="AE361">
        <v>237089</v>
      </c>
      <c r="AF361" s="3" t="s">
        <v>640</v>
      </c>
    </row>
    <row r="362" spans="1:32" x14ac:dyDescent="0.35">
      <c r="A362" s="3" t="s">
        <v>608</v>
      </c>
      <c r="B362" s="3" t="s">
        <v>608</v>
      </c>
      <c r="C362" s="3" t="s">
        <v>608</v>
      </c>
      <c r="D362" s="3" t="s">
        <v>608</v>
      </c>
      <c r="E362" s="3" t="s">
        <v>608</v>
      </c>
      <c r="F362" s="3" t="s">
        <v>578</v>
      </c>
      <c r="G362" s="3" t="s">
        <v>578</v>
      </c>
      <c r="H362" s="3" t="s">
        <v>579</v>
      </c>
      <c r="I362" s="3" t="s">
        <v>580</v>
      </c>
      <c r="J362" s="3" t="s">
        <v>266</v>
      </c>
      <c r="K362" s="3" t="s">
        <v>829</v>
      </c>
      <c r="L362" s="3" t="s">
        <v>30</v>
      </c>
      <c r="M362" s="3" t="s">
        <v>14</v>
      </c>
      <c r="N362">
        <v>50000</v>
      </c>
      <c r="O362">
        <v>107.58</v>
      </c>
      <c r="P362">
        <v>374</v>
      </c>
      <c r="Q362">
        <v>12</v>
      </c>
      <c r="R362">
        <v>7</v>
      </c>
      <c r="S362" s="3" t="s">
        <v>263</v>
      </c>
      <c r="T362">
        <v>23</v>
      </c>
      <c r="U362">
        <v>23</v>
      </c>
      <c r="V362">
        <v>88</v>
      </c>
      <c r="W362">
        <v>0.28000000000000003</v>
      </c>
      <c r="X362">
        <v>45354</v>
      </c>
      <c r="Y362" s="3" t="s">
        <v>31</v>
      </c>
      <c r="Z362">
        <v>107.54</v>
      </c>
      <c r="AA362">
        <v>50000</v>
      </c>
      <c r="AB362" s="3" t="s">
        <v>563</v>
      </c>
      <c r="AC362" s="3" t="s">
        <v>10</v>
      </c>
      <c r="AD362">
        <v>45370</v>
      </c>
      <c r="AE362">
        <v>45370</v>
      </c>
      <c r="AF362" s="3" t="s">
        <v>640</v>
      </c>
    </row>
    <row r="363" spans="1:32" x14ac:dyDescent="0.35">
      <c r="A363" s="3" t="s">
        <v>608</v>
      </c>
      <c r="B363" s="3" t="s">
        <v>608</v>
      </c>
      <c r="C363" s="3" t="s">
        <v>608</v>
      </c>
      <c r="D363" s="3" t="s">
        <v>608</v>
      </c>
      <c r="E363" s="3" t="s">
        <v>608</v>
      </c>
      <c r="F363" s="3" t="s">
        <v>581</v>
      </c>
      <c r="G363" s="3" t="s">
        <v>581</v>
      </c>
      <c r="H363" s="3" t="s">
        <v>582</v>
      </c>
      <c r="I363" s="3" t="s">
        <v>580</v>
      </c>
      <c r="J363" s="3" t="s">
        <v>266</v>
      </c>
      <c r="K363" s="3" t="s">
        <v>830</v>
      </c>
      <c r="L363" s="3" t="s">
        <v>30</v>
      </c>
      <c r="M363" s="3" t="s">
        <v>14</v>
      </c>
      <c r="N363">
        <v>500000</v>
      </c>
      <c r="O363">
        <v>108.56100000000001</v>
      </c>
      <c r="P363">
        <v>371</v>
      </c>
      <c r="Q363">
        <v>-82</v>
      </c>
      <c r="R363">
        <v>79</v>
      </c>
      <c r="S363" s="3" t="s">
        <v>263</v>
      </c>
      <c r="T363">
        <v>140</v>
      </c>
      <c r="U363">
        <v>142</v>
      </c>
      <c r="V363">
        <v>527</v>
      </c>
      <c r="W363">
        <v>1.7</v>
      </c>
      <c r="X363">
        <v>457677</v>
      </c>
      <c r="Y363" s="3" t="s">
        <v>31</v>
      </c>
      <c r="Z363">
        <v>108.568</v>
      </c>
      <c r="AA363">
        <v>500000</v>
      </c>
      <c r="AB363" s="3" t="s">
        <v>563</v>
      </c>
      <c r="AC363" s="3" t="s">
        <v>10</v>
      </c>
      <c r="AD363">
        <v>460677</v>
      </c>
      <c r="AE363">
        <v>460677</v>
      </c>
      <c r="AF363" s="3" t="s">
        <v>640</v>
      </c>
    </row>
    <row r="364" spans="1:32" x14ac:dyDescent="0.35">
      <c r="A364" s="3" t="s">
        <v>608</v>
      </c>
      <c r="B364" s="3" t="s">
        <v>608</v>
      </c>
      <c r="C364" s="3" t="s">
        <v>608</v>
      </c>
      <c r="D364" s="3" t="s">
        <v>608</v>
      </c>
      <c r="E364" s="3" t="s">
        <v>608</v>
      </c>
      <c r="F364" s="3" t="s">
        <v>882</v>
      </c>
      <c r="G364" s="3" t="s">
        <v>882</v>
      </c>
      <c r="H364" s="3" t="s">
        <v>883</v>
      </c>
      <c r="I364" s="3" t="s">
        <v>884</v>
      </c>
      <c r="J364" s="3" t="s">
        <v>4</v>
      </c>
      <c r="K364" s="3" t="s">
        <v>913</v>
      </c>
      <c r="L364" s="3" t="s">
        <v>30</v>
      </c>
      <c r="M364" s="3" t="s">
        <v>14</v>
      </c>
      <c r="N364">
        <v>200000</v>
      </c>
      <c r="O364">
        <v>117.277</v>
      </c>
      <c r="P364">
        <v>492</v>
      </c>
      <c r="Q364">
        <v>-610</v>
      </c>
      <c r="R364">
        <v>42</v>
      </c>
      <c r="S364" s="3" t="s">
        <v>263</v>
      </c>
      <c r="T364">
        <v>117</v>
      </c>
      <c r="U364">
        <v>119</v>
      </c>
      <c r="V364">
        <v>583</v>
      </c>
      <c r="W364">
        <v>1.88</v>
      </c>
      <c r="X364">
        <v>234554</v>
      </c>
      <c r="Y364" s="3" t="s">
        <v>31</v>
      </c>
      <c r="Z364">
        <v>117.58199999999999</v>
      </c>
      <c r="AA364">
        <v>200000</v>
      </c>
      <c r="AB364" s="3" t="s">
        <v>563</v>
      </c>
      <c r="AC364" s="3" t="s">
        <v>10</v>
      </c>
      <c r="AD364">
        <v>240030</v>
      </c>
      <c r="AE364">
        <v>240030</v>
      </c>
      <c r="AF364" s="3" t="s">
        <v>640</v>
      </c>
    </row>
    <row r="365" spans="1:32" x14ac:dyDescent="0.35">
      <c r="A365" s="3" t="s">
        <v>608</v>
      </c>
      <c r="B365" s="3" t="s">
        <v>608</v>
      </c>
      <c r="C365" s="3" t="s">
        <v>608</v>
      </c>
      <c r="D365" s="3" t="s">
        <v>608</v>
      </c>
      <c r="E365" s="3" t="s">
        <v>608</v>
      </c>
      <c r="F365" s="3" t="s">
        <v>1441</v>
      </c>
      <c r="G365" s="3" t="s">
        <v>1441</v>
      </c>
      <c r="H365" s="3" t="s">
        <v>1442</v>
      </c>
      <c r="I365" s="3" t="s">
        <v>1491</v>
      </c>
      <c r="J365" s="3" t="s">
        <v>266</v>
      </c>
      <c r="K365" s="3" t="s">
        <v>640</v>
      </c>
      <c r="L365" s="3" t="s">
        <v>30</v>
      </c>
      <c r="M365" s="3" t="s">
        <v>14</v>
      </c>
      <c r="N365">
        <v>0</v>
      </c>
      <c r="O365">
        <v>101.77</v>
      </c>
      <c r="P365">
        <v>432</v>
      </c>
      <c r="Q365">
        <v>0</v>
      </c>
      <c r="R365">
        <v>0</v>
      </c>
      <c r="S365" s="3" t="s">
        <v>263</v>
      </c>
      <c r="T365">
        <v>0</v>
      </c>
      <c r="U365">
        <v>0</v>
      </c>
      <c r="V365">
        <v>0</v>
      </c>
      <c r="W365">
        <v>0</v>
      </c>
      <c r="X365">
        <v>0</v>
      </c>
      <c r="Y365" s="3" t="s">
        <v>640</v>
      </c>
      <c r="Z365">
        <v>101.77</v>
      </c>
      <c r="AA365">
        <v>0</v>
      </c>
      <c r="AB365" s="3" t="s">
        <v>563</v>
      </c>
      <c r="AC365" s="3" t="s">
        <v>10</v>
      </c>
      <c r="AD365">
        <v>0</v>
      </c>
      <c r="AE365">
        <v>0</v>
      </c>
      <c r="AF365" s="3" t="s">
        <v>640</v>
      </c>
    </row>
    <row r="366" spans="1:32" x14ac:dyDescent="0.35">
      <c r="A366" s="3" t="s">
        <v>608</v>
      </c>
      <c r="B366" s="3" t="s">
        <v>608</v>
      </c>
      <c r="C366" s="3" t="s">
        <v>608</v>
      </c>
      <c r="D366" s="3" t="s">
        <v>608</v>
      </c>
      <c r="E366" s="3" t="s">
        <v>608</v>
      </c>
      <c r="F366" s="3" t="s">
        <v>885</v>
      </c>
      <c r="G366" s="3" t="s">
        <v>885</v>
      </c>
      <c r="H366" s="3" t="s">
        <v>886</v>
      </c>
      <c r="I366" s="3" t="s">
        <v>887</v>
      </c>
      <c r="J366" s="3" t="s">
        <v>4</v>
      </c>
      <c r="K366" s="3" t="s">
        <v>914</v>
      </c>
      <c r="L366" s="3" t="s">
        <v>30</v>
      </c>
      <c r="M366" s="3" t="s">
        <v>14</v>
      </c>
      <c r="N366">
        <v>-200000</v>
      </c>
      <c r="O366">
        <v>103.205</v>
      </c>
      <c r="P366">
        <v>549</v>
      </c>
      <c r="Q366">
        <v>-274</v>
      </c>
      <c r="R366">
        <v>-32</v>
      </c>
      <c r="S366" s="3" t="s">
        <v>263</v>
      </c>
      <c r="T366">
        <v>-76</v>
      </c>
      <c r="U366">
        <v>-77</v>
      </c>
      <c r="V366">
        <v>-422</v>
      </c>
      <c r="W366">
        <v>-1.36</v>
      </c>
      <c r="X366">
        <v>-206410</v>
      </c>
      <c r="Y366" s="3" t="s">
        <v>31</v>
      </c>
      <c r="Z366">
        <v>103.068</v>
      </c>
      <c r="AA366">
        <v>-200000</v>
      </c>
      <c r="AB366" s="3" t="s">
        <v>563</v>
      </c>
      <c r="AC366" s="3" t="s">
        <v>10</v>
      </c>
      <c r="AD366">
        <v>-211258</v>
      </c>
      <c r="AE366">
        <v>211258</v>
      </c>
      <c r="AF366" s="3" t="s">
        <v>640</v>
      </c>
    </row>
    <row r="367" spans="1:32" x14ac:dyDescent="0.35">
      <c r="A367" s="3" t="s">
        <v>608</v>
      </c>
      <c r="B367" s="3" t="s">
        <v>608</v>
      </c>
      <c r="C367" s="3" t="s">
        <v>608</v>
      </c>
      <c r="D367" s="3" t="s">
        <v>608</v>
      </c>
      <c r="E367" s="3" t="s">
        <v>608</v>
      </c>
      <c r="F367" s="3" t="s">
        <v>831</v>
      </c>
      <c r="G367" s="3" t="s">
        <v>831</v>
      </c>
      <c r="H367" s="3" t="s">
        <v>640</v>
      </c>
      <c r="I367" s="3" t="s">
        <v>640</v>
      </c>
      <c r="J367" s="3" t="s">
        <v>4</v>
      </c>
      <c r="K367" s="3" t="s">
        <v>640</v>
      </c>
      <c r="L367" s="3" t="s">
        <v>832</v>
      </c>
      <c r="M367" s="3" t="s">
        <v>14</v>
      </c>
      <c r="N367">
        <v>2348</v>
      </c>
      <c r="O367">
        <v>106.49</v>
      </c>
      <c r="Q367">
        <v>0</v>
      </c>
      <c r="R367">
        <v>0</v>
      </c>
      <c r="S367" s="3" t="s">
        <v>640</v>
      </c>
      <c r="T367">
        <v>0</v>
      </c>
      <c r="U367">
        <v>0</v>
      </c>
      <c r="V367">
        <v>0</v>
      </c>
      <c r="W367">
        <v>0</v>
      </c>
      <c r="X367">
        <v>250000</v>
      </c>
      <c r="Y367" s="3" t="s">
        <v>640</v>
      </c>
      <c r="Z367">
        <v>106.49</v>
      </c>
      <c r="AA367">
        <v>2348</v>
      </c>
      <c r="AB367" s="3" t="s">
        <v>449</v>
      </c>
      <c r="AC367" s="3" t="s">
        <v>833</v>
      </c>
      <c r="AD367">
        <v>0</v>
      </c>
      <c r="AE367">
        <v>0</v>
      </c>
      <c r="AF367" s="3" t="s">
        <v>640</v>
      </c>
    </row>
    <row r="368" spans="1:32" x14ac:dyDescent="0.35">
      <c r="A368" s="3" t="s">
        <v>608</v>
      </c>
      <c r="B368" s="3" t="s">
        <v>608</v>
      </c>
      <c r="C368" s="3" t="s">
        <v>608</v>
      </c>
      <c r="D368" s="3" t="s">
        <v>608</v>
      </c>
      <c r="E368" s="3" t="s">
        <v>608</v>
      </c>
      <c r="F368" s="3" t="s">
        <v>834</v>
      </c>
      <c r="G368" s="3" t="s">
        <v>835</v>
      </c>
      <c r="H368" s="3" t="s">
        <v>640</v>
      </c>
      <c r="I368" s="3" t="s">
        <v>640</v>
      </c>
      <c r="J368" s="3" t="s">
        <v>4</v>
      </c>
      <c r="K368" s="3" t="s">
        <v>640</v>
      </c>
      <c r="L368" s="3" t="s">
        <v>832</v>
      </c>
      <c r="M368" s="3" t="s">
        <v>14</v>
      </c>
      <c r="N368">
        <v>21028</v>
      </c>
      <c r="O368">
        <v>119.408</v>
      </c>
      <c r="Q368">
        <v>0</v>
      </c>
      <c r="R368">
        <v>0</v>
      </c>
      <c r="S368" s="3" t="s">
        <v>640</v>
      </c>
      <c r="T368">
        <v>0</v>
      </c>
      <c r="U368">
        <v>0</v>
      </c>
      <c r="V368">
        <v>0</v>
      </c>
      <c r="W368">
        <v>0</v>
      </c>
      <c r="X368">
        <v>2510873</v>
      </c>
      <c r="Y368" s="3" t="s">
        <v>836</v>
      </c>
      <c r="Z368">
        <v>119.408</v>
      </c>
      <c r="AA368">
        <v>21028</v>
      </c>
      <c r="AB368" s="3" t="s">
        <v>449</v>
      </c>
      <c r="AC368" s="3" t="s">
        <v>833</v>
      </c>
      <c r="AD368">
        <v>0</v>
      </c>
      <c r="AE368">
        <v>0</v>
      </c>
      <c r="AF368" s="3" t="s">
        <v>640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FFEA1-7985-43EB-B6E7-E1F686EF6F15}">
  <sheetPr codeName="Sheet2">
    <tabColor theme="9" tint="-0.249977111117893"/>
  </sheetPr>
  <dimension ref="A1:AF405"/>
  <sheetViews>
    <sheetView workbookViewId="0">
      <selection activeCell="A2" sqref="A2:AF405"/>
    </sheetView>
  </sheetViews>
  <sheetFormatPr defaultRowHeight="14.5" x14ac:dyDescent="0.35"/>
  <cols>
    <col min="1" max="1" width="22.54296875" bestFit="1" customWidth="1"/>
    <col min="2" max="2" width="21.26953125" bestFit="1" customWidth="1"/>
    <col min="3" max="3" width="16.453125" bestFit="1" customWidth="1"/>
    <col min="4" max="4" width="21.26953125" bestFit="1" customWidth="1"/>
    <col min="5" max="5" width="20.54296875" bestFit="1" customWidth="1"/>
    <col min="6" max="6" width="21.1796875" bestFit="1" customWidth="1"/>
    <col min="7" max="7" width="25.81640625" bestFit="1" customWidth="1"/>
    <col min="8" max="8" width="21.81640625" bestFit="1" customWidth="1"/>
    <col min="9" max="9" width="21.26953125" bestFit="1" customWidth="1"/>
    <col min="10" max="10" width="6.36328125" bestFit="1" customWidth="1"/>
    <col min="11" max="11" width="22.90625" bestFit="1" customWidth="1"/>
    <col min="12" max="12" width="20.1796875" bestFit="1" customWidth="1"/>
    <col min="13" max="13" width="23.90625" bestFit="1" customWidth="1"/>
    <col min="14" max="14" width="10.36328125" bestFit="1" customWidth="1"/>
    <col min="15" max="15" width="14.26953125" bestFit="1" customWidth="1"/>
    <col min="16" max="16" width="30.54296875" bestFit="1" customWidth="1"/>
    <col min="17" max="17" width="18.26953125" bestFit="1" customWidth="1"/>
    <col min="18" max="18" width="20.08984375" bestFit="1" customWidth="1"/>
    <col min="19" max="19" width="17.81640625" bestFit="1" customWidth="1"/>
    <col min="20" max="20" width="14.90625" bestFit="1" customWidth="1"/>
    <col min="21" max="21" width="14.54296875" bestFit="1" customWidth="1"/>
    <col min="22" max="22" width="9.6328125" bestFit="1" customWidth="1"/>
    <col min="23" max="23" width="13.90625" bestFit="1" customWidth="1"/>
    <col min="24" max="24" width="15" bestFit="1" customWidth="1"/>
    <col min="25" max="25" width="25.54296875" bestFit="1" customWidth="1"/>
    <col min="26" max="26" width="16.7265625" bestFit="1" customWidth="1"/>
    <col min="27" max="27" width="19.54296875" bestFit="1" customWidth="1"/>
    <col min="28" max="28" width="20.36328125" bestFit="1" customWidth="1"/>
    <col min="29" max="29" width="31.36328125" bestFit="1" customWidth="1"/>
    <col min="30" max="30" width="26" bestFit="1" customWidth="1"/>
    <col min="31" max="31" width="19.54296875" bestFit="1" customWidth="1"/>
    <col min="32" max="32" width="18.90625" bestFit="1" customWidth="1"/>
  </cols>
  <sheetData>
    <row r="1" spans="1:32" x14ac:dyDescent="0.35">
      <c r="A1" t="s">
        <v>608</v>
      </c>
      <c r="B1" t="s">
        <v>609</v>
      </c>
      <c r="C1" t="s">
        <v>610</v>
      </c>
      <c r="D1" t="s">
        <v>611</v>
      </c>
      <c r="E1" t="s">
        <v>612</v>
      </c>
      <c r="F1" t="s">
        <v>613</v>
      </c>
      <c r="G1" t="s">
        <v>614</v>
      </c>
      <c r="H1" t="s">
        <v>615</v>
      </c>
      <c r="I1" t="s">
        <v>616</v>
      </c>
      <c r="J1" t="s">
        <v>617</v>
      </c>
      <c r="K1" t="s">
        <v>618</v>
      </c>
      <c r="L1" t="s">
        <v>619</v>
      </c>
      <c r="M1" t="s">
        <v>620</v>
      </c>
      <c r="N1" t="s">
        <v>621</v>
      </c>
      <c r="O1" t="s">
        <v>622</v>
      </c>
      <c r="P1" t="s">
        <v>623</v>
      </c>
      <c r="Q1" t="s">
        <v>624</v>
      </c>
      <c r="R1" t="s">
        <v>625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632</v>
      </c>
      <c r="Z1" t="s">
        <v>633</v>
      </c>
      <c r="AA1" t="s">
        <v>634</v>
      </c>
      <c r="AB1" t="s">
        <v>635</v>
      </c>
      <c r="AC1" t="s">
        <v>636</v>
      </c>
      <c r="AD1" t="s">
        <v>637</v>
      </c>
      <c r="AE1" t="s">
        <v>638</v>
      </c>
      <c r="AF1" t="s">
        <v>639</v>
      </c>
    </row>
    <row r="2" spans="1:32" x14ac:dyDescent="0.35">
      <c r="A2" s="3" t="s">
        <v>640</v>
      </c>
      <c r="B2" s="3" t="s">
        <v>641</v>
      </c>
      <c r="C2" s="3" t="s">
        <v>642</v>
      </c>
      <c r="D2" s="3" t="s">
        <v>643</v>
      </c>
      <c r="E2" s="3" t="s">
        <v>644</v>
      </c>
      <c r="F2" s="3" t="s">
        <v>640</v>
      </c>
      <c r="G2" s="3" t="s">
        <v>640</v>
      </c>
      <c r="H2" s="3" t="s">
        <v>640</v>
      </c>
      <c r="I2" s="3" t="s">
        <v>640</v>
      </c>
      <c r="J2" s="3" t="s">
        <v>640</v>
      </c>
      <c r="K2" s="3" t="s">
        <v>640</v>
      </c>
      <c r="L2" s="3" t="s">
        <v>640</v>
      </c>
      <c r="M2" s="3" t="s">
        <v>640</v>
      </c>
      <c r="S2" s="3" t="s">
        <v>640</v>
      </c>
      <c r="Y2" s="3" t="s">
        <v>640</v>
      </c>
      <c r="AB2" s="3" t="s">
        <v>640</v>
      </c>
      <c r="AC2" s="3" t="s">
        <v>640</v>
      </c>
      <c r="AF2" s="3" t="s">
        <v>640</v>
      </c>
    </row>
    <row r="3" spans="1:32" x14ac:dyDescent="0.35">
      <c r="A3" s="3" t="s">
        <v>645</v>
      </c>
      <c r="B3" s="3" t="s">
        <v>1201</v>
      </c>
      <c r="C3" s="3" t="s">
        <v>1192</v>
      </c>
      <c r="D3" s="3" t="s">
        <v>1202</v>
      </c>
      <c r="E3" s="3" t="s">
        <v>1203</v>
      </c>
      <c r="F3" s="3" t="s">
        <v>640</v>
      </c>
      <c r="G3" s="3" t="s">
        <v>640</v>
      </c>
      <c r="H3" s="3" t="s">
        <v>640</v>
      </c>
      <c r="I3" s="3" t="s">
        <v>640</v>
      </c>
      <c r="J3" s="3" t="s">
        <v>640</v>
      </c>
      <c r="K3" s="3" t="s">
        <v>640</v>
      </c>
      <c r="L3" s="3" t="s">
        <v>640</v>
      </c>
      <c r="M3" s="3" t="s">
        <v>640</v>
      </c>
      <c r="S3" s="3" t="s">
        <v>640</v>
      </c>
      <c r="Y3" s="3" t="s">
        <v>640</v>
      </c>
      <c r="AB3" s="3" t="s">
        <v>640</v>
      </c>
      <c r="AC3" s="3" t="s">
        <v>640</v>
      </c>
      <c r="AF3" s="3" t="s">
        <v>640</v>
      </c>
    </row>
    <row r="4" spans="1:32" x14ac:dyDescent="0.35">
      <c r="A4" s="3" t="s">
        <v>646</v>
      </c>
      <c r="B4" s="3" t="s">
        <v>1204</v>
      </c>
      <c r="C4" s="3" t="s">
        <v>1193</v>
      </c>
      <c r="D4" s="3" t="s">
        <v>1205</v>
      </c>
      <c r="E4" s="3" t="s">
        <v>1206</v>
      </c>
      <c r="F4" s="3" t="s">
        <v>640</v>
      </c>
      <c r="G4" s="3" t="s">
        <v>640</v>
      </c>
      <c r="H4" s="3" t="s">
        <v>640</v>
      </c>
      <c r="I4" s="3" t="s">
        <v>640</v>
      </c>
      <c r="J4" s="3" t="s">
        <v>640</v>
      </c>
      <c r="K4" s="3" t="s">
        <v>640</v>
      </c>
      <c r="L4" s="3" t="s">
        <v>640</v>
      </c>
      <c r="M4" s="3" t="s">
        <v>640</v>
      </c>
      <c r="S4" s="3" t="s">
        <v>640</v>
      </c>
      <c r="Y4" s="3" t="s">
        <v>640</v>
      </c>
      <c r="AB4" s="3" t="s">
        <v>640</v>
      </c>
      <c r="AC4" s="3" t="s">
        <v>640</v>
      </c>
      <c r="AF4" s="3" t="s">
        <v>640</v>
      </c>
    </row>
    <row r="5" spans="1:32" x14ac:dyDescent="0.35">
      <c r="A5" s="3" t="s">
        <v>1</v>
      </c>
      <c r="B5" s="3" t="s">
        <v>1207</v>
      </c>
      <c r="C5" s="3" t="s">
        <v>1208</v>
      </c>
      <c r="D5" s="3" t="s">
        <v>1209</v>
      </c>
      <c r="E5" s="3" t="s">
        <v>1210</v>
      </c>
      <c r="F5" s="3" t="s">
        <v>640</v>
      </c>
      <c r="G5" s="3" t="s">
        <v>640</v>
      </c>
      <c r="H5" s="3" t="s">
        <v>640</v>
      </c>
      <c r="I5" s="3" t="s">
        <v>640</v>
      </c>
      <c r="J5" s="3" t="s">
        <v>640</v>
      </c>
      <c r="K5" s="3" t="s">
        <v>640</v>
      </c>
      <c r="L5" s="3" t="s">
        <v>640</v>
      </c>
      <c r="M5" s="3" t="s">
        <v>640</v>
      </c>
      <c r="S5" s="3" t="s">
        <v>640</v>
      </c>
      <c r="Y5" s="3" t="s">
        <v>640</v>
      </c>
      <c r="AB5" s="3" t="s">
        <v>640</v>
      </c>
      <c r="AC5" s="3" t="s">
        <v>640</v>
      </c>
      <c r="AF5" s="3" t="s">
        <v>640</v>
      </c>
    </row>
    <row r="6" spans="1:32" x14ac:dyDescent="0.35">
      <c r="A6" s="3" t="s">
        <v>647</v>
      </c>
      <c r="B6" s="3" t="s">
        <v>1211</v>
      </c>
      <c r="C6" s="3" t="s">
        <v>1212</v>
      </c>
      <c r="D6" s="3" t="s">
        <v>1213</v>
      </c>
      <c r="E6" s="3" t="s">
        <v>1214</v>
      </c>
      <c r="F6" s="3" t="s">
        <v>640</v>
      </c>
      <c r="G6" s="3" t="s">
        <v>640</v>
      </c>
      <c r="H6" s="3" t="s">
        <v>640</v>
      </c>
      <c r="I6" s="3" t="s">
        <v>640</v>
      </c>
      <c r="J6" s="3" t="s">
        <v>640</v>
      </c>
      <c r="K6" s="3" t="s">
        <v>640</v>
      </c>
      <c r="L6" s="3" t="s">
        <v>640</v>
      </c>
      <c r="M6" s="3" t="s">
        <v>640</v>
      </c>
      <c r="S6" s="3" t="s">
        <v>640</v>
      </c>
      <c r="Y6" s="3" t="s">
        <v>640</v>
      </c>
      <c r="AB6" s="3" t="s">
        <v>640</v>
      </c>
      <c r="AC6" s="3" t="s">
        <v>640</v>
      </c>
      <c r="AF6" s="3" t="s">
        <v>640</v>
      </c>
    </row>
    <row r="7" spans="1:32" x14ac:dyDescent="0.35">
      <c r="A7" s="3" t="s">
        <v>648</v>
      </c>
      <c r="B7" s="3" t="s">
        <v>1215</v>
      </c>
      <c r="C7" s="3" t="s">
        <v>640</v>
      </c>
      <c r="D7" s="3" t="s">
        <v>1194</v>
      </c>
      <c r="E7" s="3" t="s">
        <v>1216</v>
      </c>
      <c r="F7" s="3" t="s">
        <v>640</v>
      </c>
      <c r="G7" s="3" t="s">
        <v>640</v>
      </c>
      <c r="H7" s="3" t="s">
        <v>640</v>
      </c>
      <c r="I7" s="3" t="s">
        <v>640</v>
      </c>
      <c r="J7" s="3" t="s">
        <v>640</v>
      </c>
      <c r="K7" s="3" t="s">
        <v>640</v>
      </c>
      <c r="L7" s="3" t="s">
        <v>640</v>
      </c>
      <c r="M7" s="3" t="s">
        <v>640</v>
      </c>
      <c r="S7" s="3" t="s">
        <v>640</v>
      </c>
      <c r="Y7" s="3" t="s">
        <v>640</v>
      </c>
      <c r="AB7" s="3" t="s">
        <v>640</v>
      </c>
      <c r="AC7" s="3" t="s">
        <v>640</v>
      </c>
      <c r="AF7" s="3" t="s">
        <v>640</v>
      </c>
    </row>
    <row r="8" spans="1:32" x14ac:dyDescent="0.35">
      <c r="A8" s="3" t="s">
        <v>649</v>
      </c>
      <c r="B8" s="3" t="s">
        <v>1217</v>
      </c>
      <c r="C8" s="3" t="s">
        <v>640</v>
      </c>
      <c r="D8" s="3" t="s">
        <v>1218</v>
      </c>
      <c r="E8" s="3" t="s">
        <v>1219</v>
      </c>
      <c r="F8" s="3" t="s">
        <v>640</v>
      </c>
      <c r="G8" s="3" t="s">
        <v>640</v>
      </c>
      <c r="H8" s="3" t="s">
        <v>640</v>
      </c>
      <c r="I8" s="3" t="s">
        <v>640</v>
      </c>
      <c r="J8" s="3" t="s">
        <v>640</v>
      </c>
      <c r="K8" s="3" t="s">
        <v>640</v>
      </c>
      <c r="L8" s="3" t="s">
        <v>640</v>
      </c>
      <c r="M8" s="3" t="s">
        <v>640</v>
      </c>
      <c r="S8" s="3" t="s">
        <v>640</v>
      </c>
      <c r="Y8" s="3" t="s">
        <v>640</v>
      </c>
      <c r="AB8" s="3" t="s">
        <v>640</v>
      </c>
      <c r="AC8" s="3" t="s">
        <v>640</v>
      </c>
      <c r="AF8" s="3" t="s">
        <v>640</v>
      </c>
    </row>
    <row r="9" spans="1:32" x14ac:dyDescent="0.35">
      <c r="A9" s="3" t="s">
        <v>650</v>
      </c>
      <c r="B9" s="3" t="s">
        <v>1220</v>
      </c>
      <c r="C9" s="3" t="s">
        <v>640</v>
      </c>
      <c r="D9" s="3" t="s">
        <v>640</v>
      </c>
      <c r="E9" s="3" t="s">
        <v>640</v>
      </c>
      <c r="F9" s="3" t="s">
        <v>640</v>
      </c>
      <c r="G9" s="3" t="s">
        <v>640</v>
      </c>
      <c r="H9" s="3" t="s">
        <v>640</v>
      </c>
      <c r="I9" s="3" t="s">
        <v>640</v>
      </c>
      <c r="J9" s="3" t="s">
        <v>640</v>
      </c>
      <c r="K9" s="3" t="s">
        <v>640</v>
      </c>
      <c r="L9" s="3" t="s">
        <v>640</v>
      </c>
      <c r="M9" s="3" t="s">
        <v>640</v>
      </c>
      <c r="S9" s="3" t="s">
        <v>640</v>
      </c>
      <c r="Y9" s="3" t="s">
        <v>640</v>
      </c>
      <c r="AB9" s="3" t="s">
        <v>640</v>
      </c>
      <c r="AC9" s="3" t="s">
        <v>640</v>
      </c>
      <c r="AF9" s="3" t="s">
        <v>640</v>
      </c>
    </row>
    <row r="10" spans="1:32" x14ac:dyDescent="0.35">
      <c r="A10" s="3" t="s">
        <v>608</v>
      </c>
      <c r="B10" s="3" t="s">
        <v>608</v>
      </c>
      <c r="C10" s="3" t="s">
        <v>608</v>
      </c>
      <c r="D10" s="3" t="s">
        <v>608</v>
      </c>
      <c r="E10" s="3" t="s">
        <v>608</v>
      </c>
      <c r="F10" s="3" t="s">
        <v>2</v>
      </c>
      <c r="G10" s="3" t="s">
        <v>3</v>
      </c>
      <c r="H10" s="3" t="s">
        <v>3</v>
      </c>
      <c r="I10" s="3" t="s">
        <v>640</v>
      </c>
      <c r="J10" s="3" t="s">
        <v>4</v>
      </c>
      <c r="K10" s="3" t="s">
        <v>652</v>
      </c>
      <c r="L10" s="3" t="s">
        <v>5</v>
      </c>
      <c r="M10" s="3" t="s">
        <v>6</v>
      </c>
      <c r="N10">
        <v>5000000</v>
      </c>
      <c r="O10">
        <v>-2.0049999999999999</v>
      </c>
      <c r="P10">
        <v>61</v>
      </c>
      <c r="Q10">
        <v>-3823</v>
      </c>
      <c r="R10">
        <v>-139</v>
      </c>
      <c r="S10" s="3" t="s">
        <v>7</v>
      </c>
      <c r="T10">
        <v>27</v>
      </c>
      <c r="U10">
        <v>-2611</v>
      </c>
      <c r="V10">
        <v>-1592</v>
      </c>
      <c r="W10">
        <v>-5.14</v>
      </c>
      <c r="X10">
        <v>-100227</v>
      </c>
      <c r="Y10" s="3" t="s">
        <v>640</v>
      </c>
      <c r="Z10">
        <v>-1.9279999999999999</v>
      </c>
      <c r="AA10">
        <v>5000000</v>
      </c>
      <c r="AB10" s="3" t="s">
        <v>9</v>
      </c>
      <c r="AC10" s="3" t="s">
        <v>10</v>
      </c>
      <c r="AD10">
        <v>-5000000</v>
      </c>
      <c r="AE10">
        <v>5000000</v>
      </c>
      <c r="AF10" s="3" t="s">
        <v>640</v>
      </c>
    </row>
    <row r="11" spans="1:32" x14ac:dyDescent="0.35">
      <c r="A11" s="3" t="s">
        <v>608</v>
      </c>
      <c r="B11" s="3" t="s">
        <v>608</v>
      </c>
      <c r="C11" s="3" t="s">
        <v>608</v>
      </c>
      <c r="D11" s="3" t="s">
        <v>608</v>
      </c>
      <c r="E11" s="3" t="s">
        <v>608</v>
      </c>
      <c r="F11" s="3" t="s">
        <v>1084</v>
      </c>
      <c r="G11" s="3" t="s">
        <v>255</v>
      </c>
      <c r="H11" s="3" t="s">
        <v>255</v>
      </c>
      <c r="I11" s="3" t="s">
        <v>640</v>
      </c>
      <c r="J11" s="3" t="s">
        <v>4</v>
      </c>
      <c r="K11" s="3" t="s">
        <v>652</v>
      </c>
      <c r="L11" s="3" t="s">
        <v>5</v>
      </c>
      <c r="M11" s="3" t="s">
        <v>14</v>
      </c>
      <c r="N11">
        <v>-3000000</v>
      </c>
      <c r="O11">
        <v>-6.87</v>
      </c>
      <c r="P11">
        <v>349</v>
      </c>
      <c r="Q11">
        <v>27</v>
      </c>
      <c r="R11">
        <v>0</v>
      </c>
      <c r="S11" s="3" t="s">
        <v>7</v>
      </c>
      <c r="T11">
        <v>-53</v>
      </c>
      <c r="U11">
        <v>1449</v>
      </c>
      <c r="V11">
        <v>5058</v>
      </c>
      <c r="W11">
        <v>16.32</v>
      </c>
      <c r="X11">
        <v>206108</v>
      </c>
      <c r="Y11" s="3" t="s">
        <v>640</v>
      </c>
      <c r="Z11">
        <v>-6.585</v>
      </c>
      <c r="AA11">
        <v>0</v>
      </c>
      <c r="AB11" s="3" t="s">
        <v>9</v>
      </c>
      <c r="AC11" s="3" t="s">
        <v>10</v>
      </c>
      <c r="AD11">
        <v>3000000</v>
      </c>
      <c r="AE11">
        <v>3000000</v>
      </c>
      <c r="AF11" s="3" t="s">
        <v>640</v>
      </c>
    </row>
    <row r="12" spans="1:32" x14ac:dyDescent="0.35">
      <c r="A12" s="3" t="s">
        <v>608</v>
      </c>
      <c r="B12" s="3" t="s">
        <v>608</v>
      </c>
      <c r="C12" s="3" t="s">
        <v>608</v>
      </c>
      <c r="D12" s="3" t="s">
        <v>608</v>
      </c>
      <c r="E12" s="3" t="s">
        <v>608</v>
      </c>
      <c r="F12" s="3" t="s">
        <v>21</v>
      </c>
      <c r="G12" s="3" t="s">
        <v>22</v>
      </c>
      <c r="H12" s="3" t="s">
        <v>22</v>
      </c>
      <c r="I12" s="3" t="s">
        <v>640</v>
      </c>
      <c r="J12" s="3" t="s">
        <v>4</v>
      </c>
      <c r="K12" s="3" t="s">
        <v>640</v>
      </c>
      <c r="L12" s="3" t="s">
        <v>20</v>
      </c>
      <c r="M12" s="3" t="s">
        <v>14</v>
      </c>
      <c r="N12">
        <v>50500</v>
      </c>
      <c r="O12">
        <v>101.58</v>
      </c>
      <c r="Q12">
        <v>4040</v>
      </c>
      <c r="R12">
        <v>0</v>
      </c>
      <c r="S12" s="3" t="s">
        <v>7</v>
      </c>
      <c r="T12">
        <v>2455</v>
      </c>
      <c r="U12">
        <v>2455</v>
      </c>
      <c r="V12">
        <v>1251</v>
      </c>
      <c r="W12">
        <v>4.04</v>
      </c>
      <c r="X12">
        <v>5129790</v>
      </c>
      <c r="Y12" s="3" t="s">
        <v>653</v>
      </c>
      <c r="Z12">
        <v>101.5</v>
      </c>
      <c r="AA12">
        <v>50500</v>
      </c>
      <c r="AB12" s="3" t="s">
        <v>9</v>
      </c>
      <c r="AC12" s="3" t="s">
        <v>10</v>
      </c>
      <c r="AD12">
        <v>5129790</v>
      </c>
      <c r="AE12">
        <v>5129790</v>
      </c>
      <c r="AF12" s="3" t="s">
        <v>640</v>
      </c>
    </row>
    <row r="13" spans="1:32" x14ac:dyDescent="0.35">
      <c r="A13" s="3" t="s">
        <v>608</v>
      </c>
      <c r="B13" s="3" t="s">
        <v>608</v>
      </c>
      <c r="C13" s="3" t="s">
        <v>608</v>
      </c>
      <c r="D13" s="3" t="s">
        <v>608</v>
      </c>
      <c r="E13" s="3" t="s">
        <v>608</v>
      </c>
      <c r="F13" s="3" t="s">
        <v>18</v>
      </c>
      <c r="G13" s="3" t="s">
        <v>19</v>
      </c>
      <c r="H13" s="3" t="s">
        <v>19</v>
      </c>
      <c r="I13" s="3" t="s">
        <v>640</v>
      </c>
      <c r="J13" s="3" t="s">
        <v>4</v>
      </c>
      <c r="K13" s="3" t="s">
        <v>640</v>
      </c>
      <c r="L13" s="3" t="s">
        <v>20</v>
      </c>
      <c r="M13" s="3" t="s">
        <v>14</v>
      </c>
      <c r="N13">
        <v>-38050</v>
      </c>
      <c r="O13">
        <v>134.80000000000001</v>
      </c>
      <c r="Q13">
        <v>2283</v>
      </c>
      <c r="R13">
        <v>0</v>
      </c>
      <c r="S13" s="3" t="s">
        <v>7</v>
      </c>
      <c r="T13">
        <v>-2753</v>
      </c>
      <c r="U13">
        <v>-2753</v>
      </c>
      <c r="V13">
        <v>-2769</v>
      </c>
      <c r="W13">
        <v>-8.93</v>
      </c>
      <c r="X13">
        <v>-5129140</v>
      </c>
      <c r="Y13" s="3" t="s">
        <v>653</v>
      </c>
      <c r="Z13">
        <v>134.86000000000001</v>
      </c>
      <c r="AA13">
        <v>-38050</v>
      </c>
      <c r="AB13" s="3" t="s">
        <v>9</v>
      </c>
      <c r="AC13" s="3" t="s">
        <v>10</v>
      </c>
      <c r="AD13">
        <v>-5129140</v>
      </c>
      <c r="AE13">
        <v>5129140</v>
      </c>
      <c r="AF13" s="3" t="s">
        <v>640</v>
      </c>
    </row>
    <row r="14" spans="1:32" x14ac:dyDescent="0.35">
      <c r="A14" s="3" t="s">
        <v>608</v>
      </c>
      <c r="B14" s="3" t="s">
        <v>608</v>
      </c>
      <c r="C14" s="3" t="s">
        <v>608</v>
      </c>
      <c r="D14" s="3" t="s">
        <v>608</v>
      </c>
      <c r="E14" s="3" t="s">
        <v>608</v>
      </c>
      <c r="F14" s="3" t="s">
        <v>11</v>
      </c>
      <c r="G14" s="3" t="s">
        <v>12</v>
      </c>
      <c r="H14" s="3" t="s">
        <v>12</v>
      </c>
      <c r="I14" s="3" t="s">
        <v>640</v>
      </c>
      <c r="J14" s="3" t="s">
        <v>4</v>
      </c>
      <c r="K14" s="3" t="s">
        <v>640</v>
      </c>
      <c r="L14" s="3" t="s">
        <v>13</v>
      </c>
      <c r="M14" s="3" t="s">
        <v>14</v>
      </c>
      <c r="N14">
        <v>8</v>
      </c>
      <c r="O14">
        <v>176.02</v>
      </c>
      <c r="P14">
        <v>-85</v>
      </c>
      <c r="Q14">
        <v>-3960</v>
      </c>
      <c r="R14">
        <v>0</v>
      </c>
      <c r="S14" s="3" t="s">
        <v>640</v>
      </c>
      <c r="T14">
        <v>1195</v>
      </c>
      <c r="U14">
        <v>0</v>
      </c>
      <c r="V14">
        <v>0</v>
      </c>
      <c r="W14">
        <v>0</v>
      </c>
      <c r="X14">
        <v>-2060</v>
      </c>
      <c r="Y14" s="3" t="s">
        <v>15</v>
      </c>
      <c r="Z14">
        <v>176.32</v>
      </c>
      <c r="AA14">
        <v>11</v>
      </c>
      <c r="AB14" s="3" t="s">
        <v>9</v>
      </c>
      <c r="AC14" s="3" t="s">
        <v>10</v>
      </c>
      <c r="AD14">
        <v>0</v>
      </c>
      <c r="AE14">
        <v>0</v>
      </c>
      <c r="AF14" s="3" t="s">
        <v>640</v>
      </c>
    </row>
    <row r="15" spans="1:32" x14ac:dyDescent="0.35">
      <c r="A15" s="3" t="s">
        <v>608</v>
      </c>
      <c r="B15" s="3" t="s">
        <v>608</v>
      </c>
      <c r="C15" s="3" t="s">
        <v>608</v>
      </c>
      <c r="D15" s="3" t="s">
        <v>608</v>
      </c>
      <c r="E15" s="3" t="s">
        <v>608</v>
      </c>
      <c r="F15" s="3" t="s">
        <v>16</v>
      </c>
      <c r="G15" s="3" t="s">
        <v>17</v>
      </c>
      <c r="H15" s="3" t="s">
        <v>17</v>
      </c>
      <c r="I15" s="3" t="s">
        <v>640</v>
      </c>
      <c r="J15" s="3" t="s">
        <v>4</v>
      </c>
      <c r="K15" s="3" t="s">
        <v>640</v>
      </c>
      <c r="L15" s="3" t="s">
        <v>13</v>
      </c>
      <c r="M15" s="3" t="s">
        <v>14</v>
      </c>
      <c r="N15">
        <v>-21</v>
      </c>
      <c r="O15">
        <v>135.80000000000001</v>
      </c>
      <c r="P15">
        <v>-49</v>
      </c>
      <c r="Q15">
        <v>1940</v>
      </c>
      <c r="R15">
        <v>0</v>
      </c>
      <c r="S15" s="3" t="s">
        <v>640</v>
      </c>
      <c r="T15">
        <v>-1306</v>
      </c>
      <c r="U15">
        <v>0</v>
      </c>
      <c r="V15">
        <v>0</v>
      </c>
      <c r="W15">
        <v>0</v>
      </c>
      <c r="X15">
        <v>320</v>
      </c>
      <c r="Y15" s="3" t="s">
        <v>15</v>
      </c>
      <c r="Z15">
        <v>135.91999999999999</v>
      </c>
      <c r="AA15">
        <v>-17</v>
      </c>
      <c r="AB15" s="3" t="s">
        <v>9</v>
      </c>
      <c r="AC15" s="3" t="s">
        <v>10</v>
      </c>
      <c r="AD15">
        <v>0</v>
      </c>
      <c r="AE15">
        <v>0</v>
      </c>
      <c r="AF15" s="3" t="s">
        <v>640</v>
      </c>
    </row>
    <row r="16" spans="1:32" x14ac:dyDescent="0.35">
      <c r="A16" s="3" t="s">
        <v>608</v>
      </c>
      <c r="B16" s="3" t="s">
        <v>608</v>
      </c>
      <c r="C16" s="3" t="s">
        <v>608</v>
      </c>
      <c r="D16" s="3" t="s">
        <v>608</v>
      </c>
      <c r="E16" s="3" t="s">
        <v>608</v>
      </c>
      <c r="F16" s="3" t="s">
        <v>25</v>
      </c>
      <c r="G16" s="3" t="s">
        <v>26</v>
      </c>
      <c r="H16" s="3" t="s">
        <v>26</v>
      </c>
      <c r="I16" s="3" t="s">
        <v>640</v>
      </c>
      <c r="J16" s="3" t="s">
        <v>4</v>
      </c>
      <c r="K16" s="3" t="s">
        <v>640</v>
      </c>
      <c r="L16" s="3" t="s">
        <v>13</v>
      </c>
      <c r="M16" s="3" t="s">
        <v>14</v>
      </c>
      <c r="N16">
        <v>-31</v>
      </c>
      <c r="O16">
        <v>228.44</v>
      </c>
      <c r="P16">
        <v>-11</v>
      </c>
      <c r="Q16">
        <v>22940</v>
      </c>
      <c r="R16">
        <v>0</v>
      </c>
      <c r="S16" s="3" t="s">
        <v>640</v>
      </c>
      <c r="T16">
        <v>-15775</v>
      </c>
      <c r="U16">
        <v>0</v>
      </c>
      <c r="V16">
        <v>0</v>
      </c>
      <c r="W16">
        <v>0</v>
      </c>
      <c r="X16">
        <v>-55460</v>
      </c>
      <c r="Y16" s="3" t="s">
        <v>15</v>
      </c>
      <c r="Z16">
        <v>229.18</v>
      </c>
      <c r="AA16">
        <v>-31</v>
      </c>
      <c r="AB16" s="3" t="s">
        <v>9</v>
      </c>
      <c r="AC16" s="3" t="s">
        <v>10</v>
      </c>
      <c r="AD16">
        <v>0</v>
      </c>
      <c r="AE16">
        <v>0</v>
      </c>
      <c r="AF16" s="3" t="s">
        <v>640</v>
      </c>
    </row>
    <row r="17" spans="1:32" x14ac:dyDescent="0.35">
      <c r="A17" s="3" t="s">
        <v>608</v>
      </c>
      <c r="B17" s="3" t="s">
        <v>608</v>
      </c>
      <c r="C17" s="3" t="s">
        <v>608</v>
      </c>
      <c r="D17" s="3" t="s">
        <v>608</v>
      </c>
      <c r="E17" s="3" t="s">
        <v>608</v>
      </c>
      <c r="F17" s="3" t="s">
        <v>23</v>
      </c>
      <c r="G17" s="3" t="s">
        <v>24</v>
      </c>
      <c r="H17" s="3" t="s">
        <v>24</v>
      </c>
      <c r="I17" s="3" t="s">
        <v>640</v>
      </c>
      <c r="J17" s="3" t="s">
        <v>4</v>
      </c>
      <c r="K17" s="3" t="s">
        <v>640</v>
      </c>
      <c r="L17" s="3" t="s">
        <v>13</v>
      </c>
      <c r="M17" s="3" t="s">
        <v>14</v>
      </c>
      <c r="N17">
        <v>-50</v>
      </c>
      <c r="O17">
        <v>112.455</v>
      </c>
      <c r="P17">
        <v>28</v>
      </c>
      <c r="Q17">
        <v>-125</v>
      </c>
      <c r="R17">
        <v>0</v>
      </c>
      <c r="S17" s="3" t="s">
        <v>640</v>
      </c>
      <c r="T17">
        <v>-1088</v>
      </c>
      <c r="U17">
        <v>0</v>
      </c>
      <c r="V17">
        <v>0</v>
      </c>
      <c r="W17">
        <v>0</v>
      </c>
      <c r="X17">
        <v>-750</v>
      </c>
      <c r="Y17" s="3" t="s">
        <v>15</v>
      </c>
      <c r="Z17">
        <v>112.47499999999999</v>
      </c>
      <c r="AA17">
        <v>-25</v>
      </c>
      <c r="AB17" s="3" t="s">
        <v>9</v>
      </c>
      <c r="AC17" s="3" t="s">
        <v>10</v>
      </c>
      <c r="AD17">
        <v>0</v>
      </c>
      <c r="AE17">
        <v>0</v>
      </c>
      <c r="AF17" s="3" t="s">
        <v>640</v>
      </c>
    </row>
    <row r="18" spans="1:32" x14ac:dyDescent="0.35">
      <c r="A18" s="3" t="s">
        <v>608</v>
      </c>
      <c r="B18" s="3" t="s">
        <v>608</v>
      </c>
      <c r="C18" s="3" t="s">
        <v>608</v>
      </c>
      <c r="D18" s="3" t="s">
        <v>608</v>
      </c>
      <c r="E18" s="3" t="s">
        <v>608</v>
      </c>
      <c r="F18" s="3" t="s">
        <v>27</v>
      </c>
      <c r="G18" s="3" t="s">
        <v>27</v>
      </c>
      <c r="H18" s="3" t="s">
        <v>28</v>
      </c>
      <c r="I18" s="3" t="s">
        <v>29</v>
      </c>
      <c r="J18" s="3" t="s">
        <v>4</v>
      </c>
      <c r="K18" s="3" t="s">
        <v>654</v>
      </c>
      <c r="L18" s="3" t="s">
        <v>30</v>
      </c>
      <c r="M18" s="3" t="s">
        <v>14</v>
      </c>
      <c r="N18">
        <v>1000000</v>
      </c>
      <c r="O18">
        <v>133.947</v>
      </c>
      <c r="P18">
        <v>171</v>
      </c>
      <c r="Q18">
        <v>-100</v>
      </c>
      <c r="R18">
        <v>101</v>
      </c>
      <c r="S18" s="3" t="s">
        <v>7</v>
      </c>
      <c r="T18">
        <v>1974</v>
      </c>
      <c r="U18">
        <v>1995</v>
      </c>
      <c r="V18">
        <v>3412</v>
      </c>
      <c r="W18">
        <v>11.01</v>
      </c>
      <c r="X18">
        <v>1339470</v>
      </c>
      <c r="Y18" s="3" t="s">
        <v>31</v>
      </c>
      <c r="Z18">
        <v>133.95699999999999</v>
      </c>
      <c r="AA18">
        <v>1000000</v>
      </c>
      <c r="AB18" s="3" t="s">
        <v>9</v>
      </c>
      <c r="AC18" s="3" t="s">
        <v>10</v>
      </c>
      <c r="AD18">
        <v>1361366</v>
      </c>
      <c r="AE18">
        <v>1361366</v>
      </c>
      <c r="AF18" s="3" t="s">
        <v>640</v>
      </c>
    </row>
    <row r="19" spans="1:32" x14ac:dyDescent="0.35">
      <c r="A19" s="3" t="s">
        <v>608</v>
      </c>
      <c r="B19" s="3" t="s">
        <v>608</v>
      </c>
      <c r="C19" s="3" t="s">
        <v>608</v>
      </c>
      <c r="D19" s="3" t="s">
        <v>608</v>
      </c>
      <c r="E19" s="3" t="s">
        <v>608</v>
      </c>
      <c r="F19" s="3" t="s">
        <v>32</v>
      </c>
      <c r="G19" s="3" t="s">
        <v>32</v>
      </c>
      <c r="H19" s="3" t="s">
        <v>33</v>
      </c>
      <c r="I19" s="3" t="s">
        <v>29</v>
      </c>
      <c r="J19" s="3" t="s">
        <v>4</v>
      </c>
      <c r="K19" s="3" t="s">
        <v>655</v>
      </c>
      <c r="L19" s="3" t="s">
        <v>30</v>
      </c>
      <c r="M19" s="3" t="s">
        <v>14</v>
      </c>
      <c r="N19">
        <v>-1500000</v>
      </c>
      <c r="O19">
        <v>122.875</v>
      </c>
      <c r="P19">
        <v>100</v>
      </c>
      <c r="Q19">
        <v>2235</v>
      </c>
      <c r="R19">
        <v>-118</v>
      </c>
      <c r="S19" s="3" t="s">
        <v>7</v>
      </c>
      <c r="T19">
        <v>-1841</v>
      </c>
      <c r="U19">
        <v>-1862</v>
      </c>
      <c r="V19">
        <v>-1870</v>
      </c>
      <c r="W19">
        <v>-6.03</v>
      </c>
      <c r="X19">
        <v>-1843125</v>
      </c>
      <c r="Y19" s="3" t="s">
        <v>31</v>
      </c>
      <c r="Z19">
        <v>123.024</v>
      </c>
      <c r="AA19">
        <v>-1500000</v>
      </c>
      <c r="AB19" s="3" t="s">
        <v>9</v>
      </c>
      <c r="AC19" s="3" t="s">
        <v>10</v>
      </c>
      <c r="AD19">
        <v>-1868646</v>
      </c>
      <c r="AE19">
        <v>1868646</v>
      </c>
      <c r="AF19" s="3" t="s">
        <v>640</v>
      </c>
    </row>
    <row r="20" spans="1:32" x14ac:dyDescent="0.35">
      <c r="A20" s="3" t="s">
        <v>608</v>
      </c>
      <c r="B20" s="3" t="s">
        <v>608</v>
      </c>
      <c r="C20" s="3" t="s">
        <v>608</v>
      </c>
      <c r="D20" s="3" t="s">
        <v>608</v>
      </c>
      <c r="E20" s="3" t="s">
        <v>608</v>
      </c>
      <c r="F20" s="3" t="s">
        <v>35</v>
      </c>
      <c r="G20" s="3" t="s">
        <v>35</v>
      </c>
      <c r="H20" s="3" t="s">
        <v>36</v>
      </c>
      <c r="I20" s="3" t="s">
        <v>34</v>
      </c>
      <c r="J20" s="3" t="s">
        <v>4</v>
      </c>
      <c r="K20" s="3" t="s">
        <v>656</v>
      </c>
      <c r="L20" s="3" t="s">
        <v>30</v>
      </c>
      <c r="M20" s="3" t="s">
        <v>14</v>
      </c>
      <c r="N20">
        <v>12000</v>
      </c>
      <c r="O20">
        <v>107.358</v>
      </c>
      <c r="P20">
        <v>80</v>
      </c>
      <c r="Q20">
        <v>848</v>
      </c>
      <c r="R20">
        <v>43</v>
      </c>
      <c r="S20" s="3" t="s">
        <v>7</v>
      </c>
      <c r="T20">
        <v>8</v>
      </c>
      <c r="U20">
        <v>8</v>
      </c>
      <c r="V20">
        <v>7</v>
      </c>
      <c r="W20">
        <v>0.02</v>
      </c>
      <c r="X20">
        <v>12883</v>
      </c>
      <c r="Y20" s="3" t="s">
        <v>31</v>
      </c>
      <c r="Z20">
        <v>107.459</v>
      </c>
      <c r="AA20">
        <v>1012000</v>
      </c>
      <c r="AB20" s="3" t="s">
        <v>9</v>
      </c>
      <c r="AC20" s="3" t="s">
        <v>10</v>
      </c>
      <c r="AD20">
        <v>12915</v>
      </c>
      <c r="AE20">
        <v>12915</v>
      </c>
      <c r="AF20" s="3" t="s">
        <v>640</v>
      </c>
    </row>
    <row r="21" spans="1:32" x14ac:dyDescent="0.35">
      <c r="A21" s="3" t="s">
        <v>608</v>
      </c>
      <c r="B21" s="3" t="s">
        <v>608</v>
      </c>
      <c r="C21" s="3" t="s">
        <v>608</v>
      </c>
      <c r="D21" s="3" t="s">
        <v>608</v>
      </c>
      <c r="E21" s="3" t="s">
        <v>608</v>
      </c>
      <c r="F21" s="3" t="s">
        <v>37</v>
      </c>
      <c r="G21" s="3" t="s">
        <v>37</v>
      </c>
      <c r="H21" s="3" t="s">
        <v>38</v>
      </c>
      <c r="I21" s="3" t="s">
        <v>39</v>
      </c>
      <c r="J21" s="3" t="s">
        <v>4</v>
      </c>
      <c r="K21" s="3" t="s">
        <v>657</v>
      </c>
      <c r="L21" s="3" t="s">
        <v>30</v>
      </c>
      <c r="M21" s="3" t="s">
        <v>14</v>
      </c>
      <c r="N21">
        <v>4000000</v>
      </c>
      <c r="O21">
        <v>100.748</v>
      </c>
      <c r="P21">
        <v>75</v>
      </c>
      <c r="Q21">
        <v>8480</v>
      </c>
      <c r="R21">
        <v>68</v>
      </c>
      <c r="S21" s="3" t="s">
        <v>7</v>
      </c>
      <c r="T21">
        <v>4641</v>
      </c>
      <c r="U21">
        <v>4700</v>
      </c>
      <c r="V21">
        <v>3544</v>
      </c>
      <c r="W21">
        <v>11.43</v>
      </c>
      <c r="X21">
        <v>4029920</v>
      </c>
      <c r="Y21" s="3" t="s">
        <v>31</v>
      </c>
      <c r="Z21">
        <v>100.536</v>
      </c>
      <c r="AA21">
        <v>4000000</v>
      </c>
      <c r="AB21" s="3" t="s">
        <v>9</v>
      </c>
      <c r="AC21" s="3" t="s">
        <v>10</v>
      </c>
      <c r="AD21">
        <v>4030399</v>
      </c>
      <c r="AE21">
        <v>4030399</v>
      </c>
      <c r="AF21" s="3" t="s">
        <v>640</v>
      </c>
    </row>
    <row r="22" spans="1:32" x14ac:dyDescent="0.35">
      <c r="A22" s="3" t="s">
        <v>608</v>
      </c>
      <c r="B22" s="3" t="s">
        <v>608</v>
      </c>
      <c r="C22" s="3" t="s">
        <v>608</v>
      </c>
      <c r="D22" s="3" t="s">
        <v>608</v>
      </c>
      <c r="E22" s="3" t="s">
        <v>608</v>
      </c>
      <c r="F22" s="3" t="s">
        <v>972</v>
      </c>
      <c r="G22" s="3" t="s">
        <v>972</v>
      </c>
      <c r="H22" s="3" t="s">
        <v>973</v>
      </c>
      <c r="I22" s="3" t="s">
        <v>974</v>
      </c>
      <c r="J22" s="3" t="s">
        <v>4</v>
      </c>
      <c r="K22" s="3" t="s">
        <v>640</v>
      </c>
      <c r="L22" s="3" t="s">
        <v>30</v>
      </c>
      <c r="M22" s="3" t="s">
        <v>14</v>
      </c>
      <c r="N22">
        <v>0</v>
      </c>
      <c r="O22">
        <v>100.78</v>
      </c>
      <c r="P22">
        <v>34</v>
      </c>
      <c r="Q22">
        <v>1674</v>
      </c>
      <c r="R22">
        <v>0</v>
      </c>
      <c r="S22" s="3" t="s">
        <v>7</v>
      </c>
      <c r="T22">
        <v>0</v>
      </c>
      <c r="U22">
        <v>0</v>
      </c>
      <c r="V22">
        <v>0</v>
      </c>
      <c r="W22">
        <v>0</v>
      </c>
      <c r="X22">
        <v>0</v>
      </c>
      <c r="Y22" s="3" t="s">
        <v>640</v>
      </c>
      <c r="Z22">
        <v>0</v>
      </c>
      <c r="AA22">
        <v>0</v>
      </c>
      <c r="AB22" s="3" t="s">
        <v>9</v>
      </c>
      <c r="AC22" s="3" t="s">
        <v>10</v>
      </c>
      <c r="AD22">
        <v>0</v>
      </c>
      <c r="AE22">
        <v>0</v>
      </c>
      <c r="AF22" s="3" t="s">
        <v>640</v>
      </c>
    </row>
    <row r="23" spans="1:32" x14ac:dyDescent="0.35">
      <c r="A23" s="3" t="s">
        <v>608</v>
      </c>
      <c r="B23" s="3" t="s">
        <v>608</v>
      </c>
      <c r="C23" s="3" t="s">
        <v>608</v>
      </c>
      <c r="D23" s="3" t="s">
        <v>608</v>
      </c>
      <c r="E23" s="3" t="s">
        <v>608</v>
      </c>
      <c r="F23" s="3" t="s">
        <v>975</v>
      </c>
      <c r="G23" s="3" t="s">
        <v>975</v>
      </c>
      <c r="H23" s="3" t="s">
        <v>976</v>
      </c>
      <c r="I23" s="3" t="s">
        <v>977</v>
      </c>
      <c r="J23" s="3" t="s">
        <v>4</v>
      </c>
      <c r="K23" s="3" t="s">
        <v>1182</v>
      </c>
      <c r="L23" s="3" t="s">
        <v>30</v>
      </c>
      <c r="M23" s="3" t="s">
        <v>14</v>
      </c>
      <c r="N23">
        <v>-600000</v>
      </c>
      <c r="O23">
        <v>112.854</v>
      </c>
      <c r="P23">
        <v>41</v>
      </c>
      <c r="Q23">
        <v>2676</v>
      </c>
      <c r="R23">
        <v>0</v>
      </c>
      <c r="S23" s="3" t="s">
        <v>7</v>
      </c>
      <c r="T23">
        <v>-590</v>
      </c>
      <c r="U23">
        <v>-597</v>
      </c>
      <c r="V23">
        <v>-247</v>
      </c>
      <c r="W23">
        <v>-0.8</v>
      </c>
      <c r="X23">
        <v>-677124</v>
      </c>
      <c r="Y23" s="3" t="s">
        <v>31</v>
      </c>
      <c r="Z23">
        <v>0</v>
      </c>
      <c r="AA23">
        <v>0</v>
      </c>
      <c r="AB23" s="3" t="s">
        <v>9</v>
      </c>
      <c r="AC23" s="3" t="s">
        <v>10</v>
      </c>
      <c r="AD23">
        <v>-684132</v>
      </c>
      <c r="AE23">
        <v>684132</v>
      </c>
      <c r="AF23" s="3" t="s">
        <v>640</v>
      </c>
    </row>
    <row r="24" spans="1:32" x14ac:dyDescent="0.35">
      <c r="A24" s="3" t="s">
        <v>608</v>
      </c>
      <c r="B24" s="3" t="s">
        <v>608</v>
      </c>
      <c r="C24" s="3" t="s">
        <v>608</v>
      </c>
      <c r="D24" s="3" t="s">
        <v>608</v>
      </c>
      <c r="E24" s="3" t="s">
        <v>608</v>
      </c>
      <c r="F24" s="3" t="s">
        <v>40</v>
      </c>
      <c r="G24" s="3" t="s">
        <v>40</v>
      </c>
      <c r="H24" s="3" t="s">
        <v>41</v>
      </c>
      <c r="I24" s="3" t="s">
        <v>42</v>
      </c>
      <c r="J24" s="3" t="s">
        <v>4</v>
      </c>
      <c r="K24" s="3" t="s">
        <v>658</v>
      </c>
      <c r="L24" s="3" t="s">
        <v>30</v>
      </c>
      <c r="M24" s="3" t="s">
        <v>14</v>
      </c>
      <c r="N24">
        <v>-2850000</v>
      </c>
      <c r="O24">
        <v>102.462</v>
      </c>
      <c r="P24">
        <v>59</v>
      </c>
      <c r="Q24">
        <v>371</v>
      </c>
      <c r="R24">
        <v>-97</v>
      </c>
      <c r="S24" s="3" t="s">
        <v>7</v>
      </c>
      <c r="T24">
        <v>-593</v>
      </c>
      <c r="U24">
        <v>-598</v>
      </c>
      <c r="V24">
        <v>-352</v>
      </c>
      <c r="W24">
        <v>-1.1399999999999999</v>
      </c>
      <c r="X24">
        <v>-2920167</v>
      </c>
      <c r="Y24" s="3" t="s">
        <v>31</v>
      </c>
      <c r="Z24">
        <v>102.47499999999999</v>
      </c>
      <c r="AA24">
        <v>-2850000</v>
      </c>
      <c r="AB24" s="3" t="s">
        <v>9</v>
      </c>
      <c r="AC24" s="3" t="s">
        <v>10</v>
      </c>
      <c r="AD24">
        <v>-2954137</v>
      </c>
      <c r="AE24">
        <v>2954137</v>
      </c>
      <c r="AF24" s="3" t="s">
        <v>640</v>
      </c>
    </row>
    <row r="25" spans="1:32" x14ac:dyDescent="0.35">
      <c r="A25" s="3" t="s">
        <v>608</v>
      </c>
      <c r="B25" s="3" t="s">
        <v>608</v>
      </c>
      <c r="C25" s="3" t="s">
        <v>608</v>
      </c>
      <c r="D25" s="3" t="s">
        <v>608</v>
      </c>
      <c r="E25" s="3" t="s">
        <v>608</v>
      </c>
      <c r="F25" s="3" t="s">
        <v>956</v>
      </c>
      <c r="G25" s="3" t="s">
        <v>956</v>
      </c>
      <c r="H25" s="3" t="s">
        <v>957</v>
      </c>
      <c r="I25" s="3" t="s">
        <v>958</v>
      </c>
      <c r="J25" s="3" t="s">
        <v>4</v>
      </c>
      <c r="K25" s="3" t="s">
        <v>1183</v>
      </c>
      <c r="L25" s="3" t="s">
        <v>30</v>
      </c>
      <c r="M25" s="3" t="s">
        <v>14</v>
      </c>
      <c r="N25">
        <v>-4560000</v>
      </c>
      <c r="O25">
        <v>100.42700000000001</v>
      </c>
      <c r="P25">
        <v>37</v>
      </c>
      <c r="Q25">
        <v>5609</v>
      </c>
      <c r="R25">
        <v>0</v>
      </c>
      <c r="S25" s="3" t="s">
        <v>7</v>
      </c>
      <c r="T25">
        <v>-1119</v>
      </c>
      <c r="U25">
        <v>-1128</v>
      </c>
      <c r="V25">
        <v>-415</v>
      </c>
      <c r="W25">
        <v>-1.34</v>
      </c>
      <c r="X25">
        <v>-4579471</v>
      </c>
      <c r="Y25" s="3" t="s">
        <v>31</v>
      </c>
      <c r="Z25">
        <v>0</v>
      </c>
      <c r="AA25">
        <v>0</v>
      </c>
      <c r="AB25" s="3" t="s">
        <v>9</v>
      </c>
      <c r="AC25" s="3" t="s">
        <v>10</v>
      </c>
      <c r="AD25">
        <v>-4579471</v>
      </c>
      <c r="AE25">
        <v>4579471</v>
      </c>
      <c r="AF25" s="3" t="s">
        <v>640</v>
      </c>
    </row>
    <row r="26" spans="1:32" x14ac:dyDescent="0.35">
      <c r="A26" s="3" t="s">
        <v>608</v>
      </c>
      <c r="B26" s="3" t="s">
        <v>608</v>
      </c>
      <c r="C26" s="3" t="s">
        <v>608</v>
      </c>
      <c r="D26" s="3" t="s">
        <v>608</v>
      </c>
      <c r="E26" s="3" t="s">
        <v>608</v>
      </c>
      <c r="F26" s="3" t="s">
        <v>43</v>
      </c>
      <c r="G26" s="3" t="s">
        <v>43</v>
      </c>
      <c r="H26" s="3" t="s">
        <v>44</v>
      </c>
      <c r="I26" s="3" t="s">
        <v>45</v>
      </c>
      <c r="J26" s="3" t="s">
        <v>4</v>
      </c>
      <c r="K26" s="3" t="s">
        <v>659</v>
      </c>
      <c r="L26" s="3" t="s">
        <v>30</v>
      </c>
      <c r="M26" s="3" t="s">
        <v>14</v>
      </c>
      <c r="N26">
        <v>-3850000</v>
      </c>
      <c r="O26">
        <v>105.75</v>
      </c>
      <c r="P26">
        <v>92</v>
      </c>
      <c r="Q26">
        <v>6045</v>
      </c>
      <c r="R26">
        <v>-130</v>
      </c>
      <c r="S26" s="3" t="s">
        <v>7</v>
      </c>
      <c r="T26">
        <v>-4020</v>
      </c>
      <c r="U26">
        <v>-4068</v>
      </c>
      <c r="V26">
        <v>-3738</v>
      </c>
      <c r="W26">
        <v>-12.06</v>
      </c>
      <c r="X26">
        <v>-4071375</v>
      </c>
      <c r="Y26" s="3" t="s">
        <v>31</v>
      </c>
      <c r="Z26">
        <v>105.907</v>
      </c>
      <c r="AA26">
        <v>-3850000</v>
      </c>
      <c r="AB26" s="3" t="s">
        <v>9</v>
      </c>
      <c r="AC26" s="3" t="s">
        <v>10</v>
      </c>
      <c r="AD26">
        <v>-4094747</v>
      </c>
      <c r="AE26">
        <v>4094747</v>
      </c>
      <c r="AF26" s="3" t="s">
        <v>640</v>
      </c>
    </row>
    <row r="27" spans="1:32" x14ac:dyDescent="0.35">
      <c r="A27" s="3" t="s">
        <v>608</v>
      </c>
      <c r="B27" s="3" t="s">
        <v>608</v>
      </c>
      <c r="C27" s="3" t="s">
        <v>608</v>
      </c>
      <c r="D27" s="3" t="s">
        <v>608</v>
      </c>
      <c r="E27" s="3" t="s">
        <v>608</v>
      </c>
      <c r="F27" s="3" t="s">
        <v>46</v>
      </c>
      <c r="G27" s="3" t="s">
        <v>46</v>
      </c>
      <c r="H27" s="3" t="s">
        <v>47</v>
      </c>
      <c r="I27" s="3" t="s">
        <v>45</v>
      </c>
      <c r="J27" s="3" t="s">
        <v>4</v>
      </c>
      <c r="K27" s="3" t="s">
        <v>660</v>
      </c>
      <c r="L27" s="3" t="s">
        <v>30</v>
      </c>
      <c r="M27" s="3" t="s">
        <v>14</v>
      </c>
      <c r="N27">
        <v>-4000000</v>
      </c>
      <c r="O27">
        <v>115.39100000000001</v>
      </c>
      <c r="P27">
        <v>80</v>
      </c>
      <c r="Q27">
        <v>3880</v>
      </c>
      <c r="R27">
        <v>-276</v>
      </c>
      <c r="S27" s="3" t="s">
        <v>7</v>
      </c>
      <c r="T27">
        <v>-3176</v>
      </c>
      <c r="U27">
        <v>-3210</v>
      </c>
      <c r="V27">
        <v>-2583</v>
      </c>
      <c r="W27">
        <v>-8.33</v>
      </c>
      <c r="X27">
        <v>-4615640</v>
      </c>
      <c r="Y27" s="3" t="s">
        <v>31</v>
      </c>
      <c r="Z27">
        <v>115.488</v>
      </c>
      <c r="AA27">
        <v>-4000000</v>
      </c>
      <c r="AB27" s="3" t="s">
        <v>9</v>
      </c>
      <c r="AC27" s="3" t="s">
        <v>10</v>
      </c>
      <c r="AD27">
        <v>-4673888</v>
      </c>
      <c r="AE27">
        <v>4673888</v>
      </c>
      <c r="AF27" s="3" t="s">
        <v>640</v>
      </c>
    </row>
    <row r="28" spans="1:32" x14ac:dyDescent="0.35">
      <c r="A28" s="3" t="s">
        <v>608</v>
      </c>
      <c r="B28" s="3" t="s">
        <v>608</v>
      </c>
      <c r="C28" s="3" t="s">
        <v>608</v>
      </c>
      <c r="D28" s="3" t="s">
        <v>608</v>
      </c>
      <c r="E28" s="3" t="s">
        <v>608</v>
      </c>
      <c r="F28" s="3" t="s">
        <v>959</v>
      </c>
      <c r="G28" s="3" t="s">
        <v>959</v>
      </c>
      <c r="H28" s="3" t="s">
        <v>960</v>
      </c>
      <c r="I28" s="3" t="s">
        <v>961</v>
      </c>
      <c r="J28" s="3" t="s">
        <v>4</v>
      </c>
      <c r="K28" s="3" t="s">
        <v>1184</v>
      </c>
      <c r="L28" s="3" t="s">
        <v>30</v>
      </c>
      <c r="M28" s="3" t="s">
        <v>14</v>
      </c>
      <c r="N28">
        <v>-1000000</v>
      </c>
      <c r="O28">
        <v>104.74</v>
      </c>
      <c r="P28">
        <v>91</v>
      </c>
      <c r="Q28">
        <v>2600</v>
      </c>
      <c r="R28">
        <v>0</v>
      </c>
      <c r="S28" s="3" t="s">
        <v>7</v>
      </c>
      <c r="T28">
        <v>-957</v>
      </c>
      <c r="U28">
        <v>-969</v>
      </c>
      <c r="V28">
        <v>-882</v>
      </c>
      <c r="W28">
        <v>-2.85</v>
      </c>
      <c r="X28">
        <v>-1047400</v>
      </c>
      <c r="Y28" s="3" t="s">
        <v>31</v>
      </c>
      <c r="Z28">
        <v>0</v>
      </c>
      <c r="AA28">
        <v>0</v>
      </c>
      <c r="AB28" s="3" t="s">
        <v>9</v>
      </c>
      <c r="AC28" s="3" t="s">
        <v>10</v>
      </c>
      <c r="AD28">
        <v>-1051561</v>
      </c>
      <c r="AE28">
        <v>1051561</v>
      </c>
      <c r="AF28" s="3" t="s">
        <v>640</v>
      </c>
    </row>
    <row r="29" spans="1:32" x14ac:dyDescent="0.35">
      <c r="A29" s="3" t="s">
        <v>608</v>
      </c>
      <c r="B29" s="3" t="s">
        <v>608</v>
      </c>
      <c r="C29" s="3" t="s">
        <v>608</v>
      </c>
      <c r="D29" s="3" t="s">
        <v>608</v>
      </c>
      <c r="E29" s="3" t="s">
        <v>608</v>
      </c>
      <c r="F29" s="3" t="s">
        <v>978</v>
      </c>
      <c r="G29" s="3" t="s">
        <v>978</v>
      </c>
      <c r="H29" s="3" t="s">
        <v>979</v>
      </c>
      <c r="I29" s="3" t="s">
        <v>980</v>
      </c>
      <c r="J29" s="3" t="s">
        <v>4</v>
      </c>
      <c r="K29" s="3" t="s">
        <v>1185</v>
      </c>
      <c r="L29" s="3" t="s">
        <v>30</v>
      </c>
      <c r="M29" s="3" t="s">
        <v>14</v>
      </c>
      <c r="N29">
        <v>600000</v>
      </c>
      <c r="O29">
        <v>108.474</v>
      </c>
      <c r="P29">
        <v>29</v>
      </c>
      <c r="Q29">
        <v>1044</v>
      </c>
      <c r="R29">
        <v>0</v>
      </c>
      <c r="S29" s="3" t="s">
        <v>7</v>
      </c>
      <c r="T29">
        <v>255</v>
      </c>
      <c r="U29">
        <v>258</v>
      </c>
      <c r="V29">
        <v>76</v>
      </c>
      <c r="W29">
        <v>0.25</v>
      </c>
      <c r="X29">
        <v>650844</v>
      </c>
      <c r="Y29" s="3" t="s">
        <v>31</v>
      </c>
      <c r="Z29">
        <v>0</v>
      </c>
      <c r="AA29">
        <v>0</v>
      </c>
      <c r="AB29" s="3" t="s">
        <v>9</v>
      </c>
      <c r="AC29" s="3" t="s">
        <v>10</v>
      </c>
      <c r="AD29">
        <v>661910</v>
      </c>
      <c r="AE29">
        <v>661910</v>
      </c>
      <c r="AF29" s="3" t="s">
        <v>640</v>
      </c>
    </row>
    <row r="30" spans="1:32" x14ac:dyDescent="0.35">
      <c r="A30" s="3" t="s">
        <v>608</v>
      </c>
      <c r="B30" s="3" t="s">
        <v>608</v>
      </c>
      <c r="C30" s="3" t="s">
        <v>608</v>
      </c>
      <c r="D30" s="3" t="s">
        <v>608</v>
      </c>
      <c r="E30" s="3" t="s">
        <v>608</v>
      </c>
      <c r="F30" s="3" t="s">
        <v>48</v>
      </c>
      <c r="G30" s="3" t="s">
        <v>48</v>
      </c>
      <c r="H30" s="3" t="s">
        <v>49</v>
      </c>
      <c r="I30" s="3" t="s">
        <v>50</v>
      </c>
      <c r="J30" s="3" t="s">
        <v>4</v>
      </c>
      <c r="K30" s="3" t="s">
        <v>661</v>
      </c>
      <c r="L30" s="3" t="s">
        <v>30</v>
      </c>
      <c r="M30" s="3" t="s">
        <v>14</v>
      </c>
      <c r="N30">
        <v>-1600000</v>
      </c>
      <c r="O30">
        <v>102.62</v>
      </c>
      <c r="P30">
        <v>47</v>
      </c>
      <c r="Q30">
        <v>800</v>
      </c>
      <c r="R30">
        <v>-27</v>
      </c>
      <c r="S30" s="3" t="s">
        <v>7</v>
      </c>
      <c r="T30">
        <v>-632</v>
      </c>
      <c r="U30">
        <v>-638</v>
      </c>
      <c r="V30">
        <v>-300</v>
      </c>
      <c r="W30">
        <v>-0.97</v>
      </c>
      <c r="X30">
        <v>-1641920</v>
      </c>
      <c r="Y30" s="3" t="s">
        <v>31</v>
      </c>
      <c r="Z30">
        <v>102.67</v>
      </c>
      <c r="AA30">
        <v>-1600000</v>
      </c>
      <c r="AB30" s="3" t="s">
        <v>9</v>
      </c>
      <c r="AC30" s="3" t="s">
        <v>10</v>
      </c>
      <c r="AD30">
        <v>-1643098</v>
      </c>
      <c r="AE30">
        <v>1643098</v>
      </c>
      <c r="AF30" s="3" t="s">
        <v>640</v>
      </c>
    </row>
    <row r="31" spans="1:32" x14ac:dyDescent="0.35">
      <c r="A31" s="3" t="s">
        <v>608</v>
      </c>
      <c r="B31" s="3" t="s">
        <v>608</v>
      </c>
      <c r="C31" s="3" t="s">
        <v>608</v>
      </c>
      <c r="D31" s="3" t="s">
        <v>608</v>
      </c>
      <c r="E31" s="3" t="s">
        <v>608</v>
      </c>
      <c r="F31" s="3" t="s">
        <v>891</v>
      </c>
      <c r="G31" s="3" t="s">
        <v>891</v>
      </c>
      <c r="H31" s="3" t="s">
        <v>892</v>
      </c>
      <c r="I31" s="3" t="s">
        <v>893</v>
      </c>
      <c r="J31" s="3" t="s">
        <v>4</v>
      </c>
      <c r="K31" s="3" t="s">
        <v>640</v>
      </c>
      <c r="L31" s="3" t="s">
        <v>894</v>
      </c>
      <c r="M31" s="3" t="s">
        <v>14</v>
      </c>
      <c r="N31">
        <v>0</v>
      </c>
      <c r="O31">
        <v>106.38500000000001</v>
      </c>
      <c r="P31">
        <v>-34</v>
      </c>
      <c r="Q31">
        <v>0</v>
      </c>
      <c r="R31">
        <v>0</v>
      </c>
      <c r="S31" s="3" t="s">
        <v>895</v>
      </c>
      <c r="T31">
        <v>0</v>
      </c>
      <c r="U31">
        <v>0</v>
      </c>
      <c r="V31">
        <v>0</v>
      </c>
      <c r="W31">
        <v>0</v>
      </c>
      <c r="X31">
        <v>0</v>
      </c>
      <c r="Y31" s="3" t="s">
        <v>31</v>
      </c>
      <c r="Z31">
        <v>106.38500000000001</v>
      </c>
      <c r="AA31">
        <v>0</v>
      </c>
      <c r="AB31" s="3" t="s">
        <v>9</v>
      </c>
      <c r="AC31" s="3" t="s">
        <v>10</v>
      </c>
      <c r="AD31">
        <v>0</v>
      </c>
      <c r="AE31">
        <v>0</v>
      </c>
      <c r="AF31" s="3" t="s">
        <v>640</v>
      </c>
    </row>
    <row r="32" spans="1:32" x14ac:dyDescent="0.35">
      <c r="A32" s="3" t="s">
        <v>608</v>
      </c>
      <c r="B32" s="3" t="s">
        <v>608</v>
      </c>
      <c r="C32" s="3" t="s">
        <v>608</v>
      </c>
      <c r="D32" s="3" t="s">
        <v>608</v>
      </c>
      <c r="E32" s="3" t="s">
        <v>608</v>
      </c>
      <c r="F32" s="3" t="s">
        <v>51</v>
      </c>
      <c r="G32" s="3" t="s">
        <v>51</v>
      </c>
      <c r="H32" s="3" t="s">
        <v>52</v>
      </c>
      <c r="I32" s="3" t="s">
        <v>53</v>
      </c>
      <c r="J32" s="3" t="s">
        <v>4</v>
      </c>
      <c r="K32" s="3" t="s">
        <v>662</v>
      </c>
      <c r="L32" s="3" t="s">
        <v>30</v>
      </c>
      <c r="M32" s="3" t="s">
        <v>14</v>
      </c>
      <c r="N32">
        <v>4784000</v>
      </c>
      <c r="O32">
        <v>109.04300000000001</v>
      </c>
      <c r="P32">
        <v>48</v>
      </c>
      <c r="Q32">
        <v>-3492</v>
      </c>
      <c r="R32">
        <v>262</v>
      </c>
      <c r="S32" s="3" t="s">
        <v>7</v>
      </c>
      <c r="T32">
        <v>2255</v>
      </c>
      <c r="U32">
        <v>2276</v>
      </c>
      <c r="V32">
        <v>1086</v>
      </c>
      <c r="W32">
        <v>3.5</v>
      </c>
      <c r="X32">
        <v>5216617</v>
      </c>
      <c r="Y32" s="3" t="s">
        <v>31</v>
      </c>
      <c r="Z32">
        <v>109.116</v>
      </c>
      <c r="AA32">
        <v>4784000</v>
      </c>
      <c r="AB32" s="3" t="s">
        <v>9</v>
      </c>
      <c r="AC32" s="3" t="s">
        <v>10</v>
      </c>
      <c r="AD32">
        <v>5267996</v>
      </c>
      <c r="AE32">
        <v>5267996</v>
      </c>
      <c r="AF32" s="3" t="s">
        <v>640</v>
      </c>
    </row>
    <row r="33" spans="1:32" x14ac:dyDescent="0.35">
      <c r="A33" s="3" t="s">
        <v>608</v>
      </c>
      <c r="B33" s="3" t="s">
        <v>608</v>
      </c>
      <c r="C33" s="3" t="s">
        <v>608</v>
      </c>
      <c r="D33" s="3" t="s">
        <v>608</v>
      </c>
      <c r="E33" s="3" t="s">
        <v>608</v>
      </c>
      <c r="F33" s="3" t="s">
        <v>54</v>
      </c>
      <c r="G33" s="3" t="s">
        <v>54</v>
      </c>
      <c r="H33" s="3" t="s">
        <v>55</v>
      </c>
      <c r="I33" s="3" t="s">
        <v>53</v>
      </c>
      <c r="J33" s="3" t="s">
        <v>4</v>
      </c>
      <c r="K33" s="3" t="s">
        <v>663</v>
      </c>
      <c r="L33" s="3" t="s">
        <v>30</v>
      </c>
      <c r="M33" s="3" t="s">
        <v>14</v>
      </c>
      <c r="N33">
        <v>0</v>
      </c>
      <c r="O33">
        <v>103.983</v>
      </c>
      <c r="P33">
        <v>44</v>
      </c>
      <c r="Q33">
        <v>-900</v>
      </c>
      <c r="R33">
        <v>15</v>
      </c>
      <c r="S33" s="3" t="s">
        <v>7</v>
      </c>
      <c r="T33">
        <v>0</v>
      </c>
      <c r="U33">
        <v>0</v>
      </c>
      <c r="V33">
        <v>0</v>
      </c>
      <c r="W33">
        <v>0</v>
      </c>
      <c r="X33">
        <v>0</v>
      </c>
      <c r="Y33" s="3" t="s">
        <v>31</v>
      </c>
      <c r="Z33">
        <v>104.163</v>
      </c>
      <c r="AA33">
        <v>500000</v>
      </c>
      <c r="AB33" s="3" t="s">
        <v>9</v>
      </c>
      <c r="AC33" s="3" t="s">
        <v>10</v>
      </c>
      <c r="AD33">
        <v>-15</v>
      </c>
      <c r="AE33">
        <v>15</v>
      </c>
      <c r="AF33" s="3" t="s">
        <v>640</v>
      </c>
    </row>
    <row r="34" spans="1:32" x14ac:dyDescent="0.35">
      <c r="A34" s="3" t="s">
        <v>608</v>
      </c>
      <c r="B34" s="3" t="s">
        <v>608</v>
      </c>
      <c r="C34" s="3" t="s">
        <v>608</v>
      </c>
      <c r="D34" s="3" t="s">
        <v>608</v>
      </c>
      <c r="E34" s="3" t="s">
        <v>608</v>
      </c>
      <c r="F34" s="3" t="s">
        <v>56</v>
      </c>
      <c r="G34" s="3" t="s">
        <v>56</v>
      </c>
      <c r="H34" s="3" t="s">
        <v>57</v>
      </c>
      <c r="I34" s="3" t="s">
        <v>53</v>
      </c>
      <c r="J34" s="3" t="s">
        <v>4</v>
      </c>
      <c r="K34" s="3" t="s">
        <v>664</v>
      </c>
      <c r="L34" s="3" t="s">
        <v>30</v>
      </c>
      <c r="M34" s="3" t="s">
        <v>14</v>
      </c>
      <c r="N34">
        <v>0</v>
      </c>
      <c r="O34">
        <v>106.261</v>
      </c>
      <c r="P34">
        <v>30</v>
      </c>
      <c r="Q34">
        <v>-690</v>
      </c>
      <c r="R34">
        <v>65</v>
      </c>
      <c r="S34" s="3" t="s">
        <v>7</v>
      </c>
      <c r="T34">
        <v>0</v>
      </c>
      <c r="U34">
        <v>0</v>
      </c>
      <c r="V34">
        <v>0</v>
      </c>
      <c r="W34">
        <v>0</v>
      </c>
      <c r="X34">
        <v>0</v>
      </c>
      <c r="Y34" s="3" t="s">
        <v>31</v>
      </c>
      <c r="Z34">
        <v>106.283</v>
      </c>
      <c r="AA34">
        <v>1000000</v>
      </c>
      <c r="AB34" s="3" t="s">
        <v>9</v>
      </c>
      <c r="AC34" s="3" t="s">
        <v>10</v>
      </c>
      <c r="AD34">
        <v>-65</v>
      </c>
      <c r="AE34">
        <v>65</v>
      </c>
      <c r="AF34" s="3" t="s">
        <v>640</v>
      </c>
    </row>
    <row r="35" spans="1:32" x14ac:dyDescent="0.35">
      <c r="A35" s="3" t="s">
        <v>608</v>
      </c>
      <c r="B35" s="3" t="s">
        <v>608</v>
      </c>
      <c r="C35" s="3" t="s">
        <v>608</v>
      </c>
      <c r="D35" s="3" t="s">
        <v>608</v>
      </c>
      <c r="E35" s="3" t="s">
        <v>608</v>
      </c>
      <c r="F35" s="3" t="s">
        <v>665</v>
      </c>
      <c r="G35" s="3" t="s">
        <v>665</v>
      </c>
      <c r="H35" s="3" t="s">
        <v>666</v>
      </c>
      <c r="I35" s="3" t="s">
        <v>60</v>
      </c>
      <c r="J35" s="3" t="s">
        <v>4</v>
      </c>
      <c r="K35" s="3" t="s">
        <v>667</v>
      </c>
      <c r="L35" s="3" t="s">
        <v>30</v>
      </c>
      <c r="M35" s="3" t="s">
        <v>14</v>
      </c>
      <c r="N35">
        <v>-3000000</v>
      </c>
      <c r="O35">
        <v>105.31</v>
      </c>
      <c r="P35">
        <v>61</v>
      </c>
      <c r="Q35">
        <v>7050</v>
      </c>
      <c r="R35">
        <v>-72</v>
      </c>
      <c r="S35" s="3" t="s">
        <v>7</v>
      </c>
      <c r="T35">
        <v>-2881</v>
      </c>
      <c r="U35">
        <v>-2916</v>
      </c>
      <c r="V35">
        <v>-1766</v>
      </c>
      <c r="W35">
        <v>-5.7</v>
      </c>
      <c r="X35">
        <v>-3159300</v>
      </c>
      <c r="Y35" s="3" t="s">
        <v>31</v>
      </c>
      <c r="Z35">
        <v>105.545</v>
      </c>
      <c r="AA35">
        <v>-3000000</v>
      </c>
      <c r="AB35" s="3" t="s">
        <v>9</v>
      </c>
      <c r="AC35" s="3" t="s">
        <v>10</v>
      </c>
      <c r="AD35">
        <v>-3172964</v>
      </c>
      <c r="AE35">
        <v>3172964</v>
      </c>
      <c r="AF35" s="3" t="s">
        <v>640</v>
      </c>
    </row>
    <row r="36" spans="1:32" x14ac:dyDescent="0.35">
      <c r="A36" s="3" t="s">
        <v>608</v>
      </c>
      <c r="B36" s="3" t="s">
        <v>608</v>
      </c>
      <c r="C36" s="3" t="s">
        <v>608</v>
      </c>
      <c r="D36" s="3" t="s">
        <v>608</v>
      </c>
      <c r="E36" s="3" t="s">
        <v>608</v>
      </c>
      <c r="F36" s="3" t="s">
        <v>58</v>
      </c>
      <c r="G36" s="3" t="s">
        <v>58</v>
      </c>
      <c r="H36" s="3" t="s">
        <v>59</v>
      </c>
      <c r="I36" s="3" t="s">
        <v>60</v>
      </c>
      <c r="J36" s="3" t="s">
        <v>4</v>
      </c>
      <c r="K36" s="3" t="s">
        <v>668</v>
      </c>
      <c r="L36" s="3" t="s">
        <v>30</v>
      </c>
      <c r="M36" s="3" t="s">
        <v>14</v>
      </c>
      <c r="N36">
        <v>2000000</v>
      </c>
      <c r="O36">
        <v>123.578</v>
      </c>
      <c r="P36">
        <v>53</v>
      </c>
      <c r="Q36">
        <v>-5820</v>
      </c>
      <c r="R36">
        <v>164</v>
      </c>
      <c r="S36" s="3" t="s">
        <v>7</v>
      </c>
      <c r="T36">
        <v>1892</v>
      </c>
      <c r="U36">
        <v>1914</v>
      </c>
      <c r="V36">
        <v>1017</v>
      </c>
      <c r="W36">
        <v>3.28</v>
      </c>
      <c r="X36">
        <v>2471560</v>
      </c>
      <c r="Y36" s="3" t="s">
        <v>31</v>
      </c>
      <c r="Z36">
        <v>123.869</v>
      </c>
      <c r="AA36">
        <v>2000000</v>
      </c>
      <c r="AB36" s="3" t="s">
        <v>9</v>
      </c>
      <c r="AC36" s="3" t="s">
        <v>10</v>
      </c>
      <c r="AD36">
        <v>2506245</v>
      </c>
      <c r="AE36">
        <v>2506245</v>
      </c>
      <c r="AF36" s="3" t="s">
        <v>640</v>
      </c>
    </row>
    <row r="37" spans="1:32" x14ac:dyDescent="0.35">
      <c r="A37" s="3" t="s">
        <v>608</v>
      </c>
      <c r="B37" s="3" t="s">
        <v>608</v>
      </c>
      <c r="C37" s="3" t="s">
        <v>608</v>
      </c>
      <c r="D37" s="3" t="s">
        <v>608</v>
      </c>
      <c r="E37" s="3" t="s">
        <v>608</v>
      </c>
      <c r="F37" s="3" t="s">
        <v>61</v>
      </c>
      <c r="G37" s="3" t="s">
        <v>61</v>
      </c>
      <c r="H37" s="3" t="s">
        <v>62</v>
      </c>
      <c r="I37" s="3" t="s">
        <v>63</v>
      </c>
      <c r="J37" s="3" t="s">
        <v>4</v>
      </c>
      <c r="K37" s="3" t="s">
        <v>669</v>
      </c>
      <c r="L37" s="3" t="s">
        <v>30</v>
      </c>
      <c r="M37" s="3" t="s">
        <v>14</v>
      </c>
      <c r="N37">
        <v>-2847000</v>
      </c>
      <c r="O37">
        <v>121.039</v>
      </c>
      <c r="P37">
        <v>40</v>
      </c>
      <c r="Q37">
        <v>6833</v>
      </c>
      <c r="R37">
        <v>-146</v>
      </c>
      <c r="S37" s="3" t="s">
        <v>7</v>
      </c>
      <c r="T37">
        <v>-4055</v>
      </c>
      <c r="U37">
        <v>-4105</v>
      </c>
      <c r="V37">
        <v>-1628</v>
      </c>
      <c r="W37">
        <v>-5.25</v>
      </c>
      <c r="X37">
        <v>-3445980</v>
      </c>
      <c r="Y37" s="3" t="s">
        <v>31</v>
      </c>
      <c r="Z37">
        <v>121.279</v>
      </c>
      <c r="AA37">
        <v>-2847000</v>
      </c>
      <c r="AB37" s="3" t="s">
        <v>9</v>
      </c>
      <c r="AC37" s="3" t="s">
        <v>10</v>
      </c>
      <c r="AD37">
        <v>-3446565</v>
      </c>
      <c r="AE37">
        <v>3446565</v>
      </c>
      <c r="AF37" s="3" t="s">
        <v>640</v>
      </c>
    </row>
    <row r="38" spans="1:32" x14ac:dyDescent="0.35">
      <c r="A38" s="3" t="s">
        <v>608</v>
      </c>
      <c r="B38" s="3" t="s">
        <v>608</v>
      </c>
      <c r="C38" s="3" t="s">
        <v>608</v>
      </c>
      <c r="D38" s="3" t="s">
        <v>608</v>
      </c>
      <c r="E38" s="3" t="s">
        <v>608</v>
      </c>
      <c r="F38" s="3" t="s">
        <v>64</v>
      </c>
      <c r="G38" s="3" t="s">
        <v>64</v>
      </c>
      <c r="H38" s="3" t="s">
        <v>65</v>
      </c>
      <c r="I38" s="3" t="s">
        <v>63</v>
      </c>
      <c r="J38" s="3" t="s">
        <v>4</v>
      </c>
      <c r="K38" s="3" t="s">
        <v>670</v>
      </c>
      <c r="L38" s="3" t="s">
        <v>30</v>
      </c>
      <c r="M38" s="3" t="s">
        <v>14</v>
      </c>
      <c r="N38">
        <v>15000000</v>
      </c>
      <c r="O38">
        <v>101.178</v>
      </c>
      <c r="P38">
        <v>41</v>
      </c>
      <c r="Q38">
        <v>-22200</v>
      </c>
      <c r="R38">
        <v>103</v>
      </c>
      <c r="S38" s="3" t="s">
        <v>7</v>
      </c>
      <c r="T38">
        <v>14920</v>
      </c>
      <c r="U38">
        <v>15109</v>
      </c>
      <c r="V38">
        <v>6134</v>
      </c>
      <c r="W38">
        <v>19.79</v>
      </c>
      <c r="X38">
        <v>15176700</v>
      </c>
      <c r="Y38" s="3" t="s">
        <v>31</v>
      </c>
      <c r="Z38">
        <v>101.32599999999999</v>
      </c>
      <c r="AA38">
        <v>15000000</v>
      </c>
      <c r="AB38" s="3" t="s">
        <v>9</v>
      </c>
      <c r="AC38" s="3" t="s">
        <v>10</v>
      </c>
      <c r="AD38">
        <v>15178344</v>
      </c>
      <c r="AE38">
        <v>15178344</v>
      </c>
      <c r="AF38" s="3" t="s">
        <v>640</v>
      </c>
    </row>
    <row r="39" spans="1:32" x14ac:dyDescent="0.35">
      <c r="A39" s="3" t="s">
        <v>608</v>
      </c>
      <c r="B39" s="3" t="s">
        <v>608</v>
      </c>
      <c r="C39" s="3" t="s">
        <v>608</v>
      </c>
      <c r="D39" s="3" t="s">
        <v>608</v>
      </c>
      <c r="E39" s="3" t="s">
        <v>608</v>
      </c>
      <c r="F39" s="3" t="s">
        <v>66</v>
      </c>
      <c r="G39" s="3" t="s">
        <v>66</v>
      </c>
      <c r="H39" s="3" t="s">
        <v>67</v>
      </c>
      <c r="I39" s="3" t="s">
        <v>68</v>
      </c>
      <c r="J39" s="3" t="s">
        <v>4</v>
      </c>
      <c r="K39" s="3" t="s">
        <v>671</v>
      </c>
      <c r="L39" s="3" t="s">
        <v>30</v>
      </c>
      <c r="M39" s="3" t="s">
        <v>14</v>
      </c>
      <c r="N39">
        <v>-1200000</v>
      </c>
      <c r="O39">
        <v>103.667</v>
      </c>
      <c r="P39">
        <v>15</v>
      </c>
      <c r="Q39">
        <v>288</v>
      </c>
      <c r="R39">
        <v>-164</v>
      </c>
      <c r="S39" s="3" t="s">
        <v>7</v>
      </c>
      <c r="T39">
        <v>-86</v>
      </c>
      <c r="U39">
        <v>-87</v>
      </c>
      <c r="V39">
        <v>-13</v>
      </c>
      <c r="W39">
        <v>-0.04</v>
      </c>
      <c r="X39">
        <v>-1244004</v>
      </c>
      <c r="Y39" s="3" t="s">
        <v>31</v>
      </c>
      <c r="Z39">
        <v>103.691</v>
      </c>
      <c r="AA39">
        <v>-1200000</v>
      </c>
      <c r="AB39" s="3" t="s">
        <v>9</v>
      </c>
      <c r="AC39" s="3" t="s">
        <v>10</v>
      </c>
      <c r="AD39">
        <v>-1262908</v>
      </c>
      <c r="AE39">
        <v>1262908</v>
      </c>
      <c r="AF39" s="3" t="s">
        <v>640</v>
      </c>
    </row>
    <row r="40" spans="1:32" x14ac:dyDescent="0.35">
      <c r="A40" s="3" t="s">
        <v>608</v>
      </c>
      <c r="B40" s="3" t="s">
        <v>608</v>
      </c>
      <c r="C40" s="3" t="s">
        <v>608</v>
      </c>
      <c r="D40" s="3" t="s">
        <v>608</v>
      </c>
      <c r="E40" s="3" t="s">
        <v>608</v>
      </c>
      <c r="F40" s="3" t="s">
        <v>69</v>
      </c>
      <c r="G40" s="3" t="s">
        <v>69</v>
      </c>
      <c r="H40" s="3" t="s">
        <v>70</v>
      </c>
      <c r="I40" s="3" t="s">
        <v>71</v>
      </c>
      <c r="J40" s="3" t="s">
        <v>4</v>
      </c>
      <c r="K40" s="3" t="s">
        <v>672</v>
      </c>
      <c r="L40" s="3" t="s">
        <v>30</v>
      </c>
      <c r="M40" s="3" t="s">
        <v>14</v>
      </c>
      <c r="N40">
        <v>1800000</v>
      </c>
      <c r="O40">
        <v>105.55500000000001</v>
      </c>
      <c r="P40">
        <v>33</v>
      </c>
      <c r="Q40">
        <v>-1548</v>
      </c>
      <c r="R40">
        <v>43</v>
      </c>
      <c r="S40" s="3" t="s">
        <v>7</v>
      </c>
      <c r="T40">
        <v>1023</v>
      </c>
      <c r="U40">
        <v>1033</v>
      </c>
      <c r="V40">
        <v>345</v>
      </c>
      <c r="W40">
        <v>1.1100000000000001</v>
      </c>
      <c r="X40">
        <v>1899990</v>
      </c>
      <c r="Y40" s="3" t="s">
        <v>31</v>
      </c>
      <c r="Z40">
        <v>105.64100000000001</v>
      </c>
      <c r="AA40">
        <v>1800000</v>
      </c>
      <c r="AB40" s="3" t="s">
        <v>9</v>
      </c>
      <c r="AC40" s="3" t="s">
        <v>10</v>
      </c>
      <c r="AD40">
        <v>1908189</v>
      </c>
      <c r="AE40">
        <v>1908189</v>
      </c>
      <c r="AF40" s="3" t="s">
        <v>640</v>
      </c>
    </row>
    <row r="41" spans="1:32" x14ac:dyDescent="0.35">
      <c r="A41" s="3" t="s">
        <v>608</v>
      </c>
      <c r="B41" s="3" t="s">
        <v>608</v>
      </c>
      <c r="C41" s="3" t="s">
        <v>608</v>
      </c>
      <c r="D41" s="3" t="s">
        <v>608</v>
      </c>
      <c r="E41" s="3" t="s">
        <v>608</v>
      </c>
      <c r="F41" s="3" t="s">
        <v>72</v>
      </c>
      <c r="G41" s="3" t="s">
        <v>72</v>
      </c>
      <c r="H41" s="3" t="s">
        <v>73</v>
      </c>
      <c r="I41" s="3" t="s">
        <v>74</v>
      </c>
      <c r="J41" s="3" t="s">
        <v>4</v>
      </c>
      <c r="K41" s="3" t="s">
        <v>673</v>
      </c>
      <c r="L41" s="3" t="s">
        <v>30</v>
      </c>
      <c r="M41" s="3" t="s">
        <v>14</v>
      </c>
      <c r="N41">
        <v>0</v>
      </c>
      <c r="O41">
        <v>119.751</v>
      </c>
      <c r="P41">
        <v>58</v>
      </c>
      <c r="Q41">
        <v>0</v>
      </c>
      <c r="R41">
        <v>122</v>
      </c>
      <c r="S41" s="3" t="s">
        <v>7</v>
      </c>
      <c r="T41">
        <v>0</v>
      </c>
      <c r="U41">
        <v>0</v>
      </c>
      <c r="V41">
        <v>0</v>
      </c>
      <c r="W41">
        <v>0</v>
      </c>
      <c r="X41">
        <v>0</v>
      </c>
      <c r="Y41" s="3" t="s">
        <v>31</v>
      </c>
      <c r="Z41">
        <v>119.941</v>
      </c>
      <c r="AA41">
        <v>0</v>
      </c>
      <c r="AB41" s="3" t="s">
        <v>9</v>
      </c>
      <c r="AC41" s="3" t="s">
        <v>10</v>
      </c>
      <c r="AD41">
        <v>0</v>
      </c>
      <c r="AE41">
        <v>0</v>
      </c>
      <c r="AF41" s="3" t="s">
        <v>640</v>
      </c>
    </row>
    <row r="42" spans="1:32" x14ac:dyDescent="0.35">
      <c r="A42" s="3" t="s">
        <v>608</v>
      </c>
      <c r="B42" s="3" t="s">
        <v>608</v>
      </c>
      <c r="C42" s="3" t="s">
        <v>608</v>
      </c>
      <c r="D42" s="3" t="s">
        <v>608</v>
      </c>
      <c r="E42" s="3" t="s">
        <v>608</v>
      </c>
      <c r="F42" s="3" t="s">
        <v>75</v>
      </c>
      <c r="G42" s="3" t="s">
        <v>75</v>
      </c>
      <c r="H42" s="3" t="s">
        <v>76</v>
      </c>
      <c r="I42" s="3" t="s">
        <v>74</v>
      </c>
      <c r="J42" s="3" t="s">
        <v>4</v>
      </c>
      <c r="K42" s="3" t="s">
        <v>674</v>
      </c>
      <c r="L42" s="3" t="s">
        <v>30</v>
      </c>
      <c r="M42" s="3" t="s">
        <v>14</v>
      </c>
      <c r="N42">
        <v>-200000</v>
      </c>
      <c r="O42">
        <v>112.274</v>
      </c>
      <c r="P42">
        <v>48</v>
      </c>
      <c r="Q42">
        <v>210</v>
      </c>
      <c r="R42">
        <v>-34</v>
      </c>
      <c r="S42" s="3" t="s">
        <v>7</v>
      </c>
      <c r="T42">
        <v>-158</v>
      </c>
      <c r="U42">
        <v>-159</v>
      </c>
      <c r="V42">
        <v>-76</v>
      </c>
      <c r="W42">
        <v>-0.25</v>
      </c>
      <c r="X42">
        <v>-224548</v>
      </c>
      <c r="Y42" s="3" t="s">
        <v>31</v>
      </c>
      <c r="Z42">
        <v>112.379</v>
      </c>
      <c r="AA42">
        <v>-200000</v>
      </c>
      <c r="AB42" s="3" t="s">
        <v>9</v>
      </c>
      <c r="AC42" s="3" t="s">
        <v>10</v>
      </c>
      <c r="AD42">
        <v>-226677</v>
      </c>
      <c r="AE42">
        <v>226677</v>
      </c>
      <c r="AF42" s="3" t="s">
        <v>640</v>
      </c>
    </row>
    <row r="43" spans="1:32" x14ac:dyDescent="0.35">
      <c r="A43" s="3" t="s">
        <v>608</v>
      </c>
      <c r="B43" s="3" t="s">
        <v>608</v>
      </c>
      <c r="C43" s="3" t="s">
        <v>608</v>
      </c>
      <c r="D43" s="3" t="s">
        <v>608</v>
      </c>
      <c r="E43" s="3" t="s">
        <v>608</v>
      </c>
      <c r="F43" s="3" t="s">
        <v>77</v>
      </c>
      <c r="G43" s="3" t="s">
        <v>77</v>
      </c>
      <c r="H43" s="3" t="s">
        <v>78</v>
      </c>
      <c r="I43" s="3" t="s">
        <v>74</v>
      </c>
      <c r="J43" s="3" t="s">
        <v>4</v>
      </c>
      <c r="K43" s="3" t="s">
        <v>675</v>
      </c>
      <c r="L43" s="3" t="s">
        <v>30</v>
      </c>
      <c r="M43" s="3" t="s">
        <v>14</v>
      </c>
      <c r="N43">
        <v>1000000</v>
      </c>
      <c r="O43">
        <v>105.80800000000001</v>
      </c>
      <c r="P43">
        <v>39</v>
      </c>
      <c r="Q43">
        <v>-630</v>
      </c>
      <c r="R43">
        <v>27</v>
      </c>
      <c r="S43" s="3" t="s">
        <v>7</v>
      </c>
      <c r="T43">
        <v>555</v>
      </c>
      <c r="U43">
        <v>561</v>
      </c>
      <c r="V43">
        <v>219</v>
      </c>
      <c r="W43">
        <v>0.71</v>
      </c>
      <c r="X43">
        <v>1058080</v>
      </c>
      <c r="Y43" s="3" t="s">
        <v>31</v>
      </c>
      <c r="Z43">
        <v>105.871</v>
      </c>
      <c r="AA43">
        <v>1000000</v>
      </c>
      <c r="AB43" s="3" t="s">
        <v>9</v>
      </c>
      <c r="AC43" s="3" t="s">
        <v>10</v>
      </c>
      <c r="AD43">
        <v>1064546</v>
      </c>
      <c r="AE43">
        <v>1064546</v>
      </c>
      <c r="AF43" s="3" t="s">
        <v>640</v>
      </c>
    </row>
    <row r="44" spans="1:32" x14ac:dyDescent="0.35">
      <c r="A44" s="3" t="s">
        <v>608</v>
      </c>
      <c r="B44" s="3" t="s">
        <v>608</v>
      </c>
      <c r="C44" s="3" t="s">
        <v>608</v>
      </c>
      <c r="D44" s="3" t="s">
        <v>608</v>
      </c>
      <c r="E44" s="3" t="s">
        <v>608</v>
      </c>
      <c r="F44" s="3" t="s">
        <v>79</v>
      </c>
      <c r="G44" s="3" t="s">
        <v>79</v>
      </c>
      <c r="H44" s="3" t="s">
        <v>80</v>
      </c>
      <c r="I44" s="3" t="s">
        <v>74</v>
      </c>
      <c r="J44" s="3" t="s">
        <v>4</v>
      </c>
      <c r="K44" s="3" t="s">
        <v>676</v>
      </c>
      <c r="L44" s="3" t="s">
        <v>30</v>
      </c>
      <c r="M44" s="3" t="s">
        <v>14</v>
      </c>
      <c r="N44">
        <v>3200000</v>
      </c>
      <c r="O44">
        <v>104.788</v>
      </c>
      <c r="P44">
        <v>39</v>
      </c>
      <c r="Q44">
        <v>-2144</v>
      </c>
      <c r="R44">
        <v>103</v>
      </c>
      <c r="S44" s="3" t="s">
        <v>7</v>
      </c>
      <c r="T44">
        <v>1609</v>
      </c>
      <c r="U44">
        <v>1624</v>
      </c>
      <c r="V44">
        <v>628</v>
      </c>
      <c r="W44">
        <v>2.02</v>
      </c>
      <c r="X44">
        <v>3353216</v>
      </c>
      <c r="Y44" s="3" t="s">
        <v>31</v>
      </c>
      <c r="Z44">
        <v>104.855</v>
      </c>
      <c r="AA44">
        <v>3200000</v>
      </c>
      <c r="AB44" s="3" t="s">
        <v>9</v>
      </c>
      <c r="AC44" s="3" t="s">
        <v>10</v>
      </c>
      <c r="AD44">
        <v>3356745</v>
      </c>
      <c r="AE44">
        <v>3356745</v>
      </c>
      <c r="AF44" s="3" t="s">
        <v>640</v>
      </c>
    </row>
    <row r="45" spans="1:32" x14ac:dyDescent="0.35">
      <c r="A45" s="3" t="s">
        <v>608</v>
      </c>
      <c r="B45" s="3" t="s">
        <v>608</v>
      </c>
      <c r="C45" s="3" t="s">
        <v>608</v>
      </c>
      <c r="D45" s="3" t="s">
        <v>608</v>
      </c>
      <c r="E45" s="3" t="s">
        <v>608</v>
      </c>
      <c r="F45" s="3" t="s">
        <v>86</v>
      </c>
      <c r="G45" s="3" t="s">
        <v>86</v>
      </c>
      <c r="H45" s="3" t="s">
        <v>87</v>
      </c>
      <c r="I45" s="3" t="s">
        <v>83</v>
      </c>
      <c r="J45" s="3" t="s">
        <v>4</v>
      </c>
      <c r="K45" s="3" t="s">
        <v>947</v>
      </c>
      <c r="L45" s="3" t="s">
        <v>30</v>
      </c>
      <c r="M45" s="3" t="s">
        <v>14</v>
      </c>
      <c r="N45">
        <v>0</v>
      </c>
      <c r="O45">
        <v>99.878</v>
      </c>
      <c r="P45">
        <v>58</v>
      </c>
      <c r="Q45">
        <v>96</v>
      </c>
      <c r="R45">
        <v>0</v>
      </c>
      <c r="S45" s="3" t="s">
        <v>7</v>
      </c>
      <c r="T45">
        <v>0</v>
      </c>
      <c r="U45">
        <v>0</v>
      </c>
      <c r="V45">
        <v>0</v>
      </c>
      <c r="W45">
        <v>0</v>
      </c>
      <c r="X45">
        <v>0</v>
      </c>
      <c r="Y45" s="3" t="s">
        <v>31</v>
      </c>
      <c r="Z45">
        <v>99.846000000000004</v>
      </c>
      <c r="AA45">
        <v>300000</v>
      </c>
      <c r="AB45" s="3" t="s">
        <v>9</v>
      </c>
      <c r="AC45" s="3" t="s">
        <v>10</v>
      </c>
      <c r="AD45">
        <v>0</v>
      </c>
      <c r="AE45">
        <v>0</v>
      </c>
      <c r="AF45" s="3" t="s">
        <v>640</v>
      </c>
    </row>
    <row r="46" spans="1:32" x14ac:dyDescent="0.35">
      <c r="A46" s="3" t="s">
        <v>608</v>
      </c>
      <c r="B46" s="3" t="s">
        <v>608</v>
      </c>
      <c r="C46" s="3" t="s">
        <v>608</v>
      </c>
      <c r="D46" s="3" t="s">
        <v>608</v>
      </c>
      <c r="E46" s="3" t="s">
        <v>608</v>
      </c>
      <c r="F46" s="3" t="s">
        <v>81</v>
      </c>
      <c r="G46" s="3" t="s">
        <v>81</v>
      </c>
      <c r="H46" s="3" t="s">
        <v>82</v>
      </c>
      <c r="I46" s="3" t="s">
        <v>83</v>
      </c>
      <c r="J46" s="3" t="s">
        <v>4</v>
      </c>
      <c r="K46" s="3" t="s">
        <v>677</v>
      </c>
      <c r="L46" s="3" t="s">
        <v>30</v>
      </c>
      <c r="M46" s="3" t="s">
        <v>14</v>
      </c>
      <c r="N46">
        <v>-2300000</v>
      </c>
      <c r="O46">
        <v>110.672</v>
      </c>
      <c r="P46">
        <v>34</v>
      </c>
      <c r="Q46">
        <v>3312</v>
      </c>
      <c r="R46">
        <v>-87</v>
      </c>
      <c r="S46" s="3" t="s">
        <v>7</v>
      </c>
      <c r="T46">
        <v>-1832</v>
      </c>
      <c r="U46">
        <v>-1852</v>
      </c>
      <c r="V46">
        <v>-637</v>
      </c>
      <c r="W46">
        <v>-2.0499999999999998</v>
      </c>
      <c r="X46">
        <v>-2545456</v>
      </c>
      <c r="Y46" s="3" t="s">
        <v>31</v>
      </c>
      <c r="Z46">
        <v>110.816</v>
      </c>
      <c r="AA46">
        <v>-2300000</v>
      </c>
      <c r="AB46" s="3" t="s">
        <v>9</v>
      </c>
      <c r="AC46" s="3" t="s">
        <v>10</v>
      </c>
      <c r="AD46">
        <v>-2561312</v>
      </c>
      <c r="AE46">
        <v>2561312</v>
      </c>
      <c r="AF46" s="3" t="s">
        <v>640</v>
      </c>
    </row>
    <row r="47" spans="1:32" x14ac:dyDescent="0.35">
      <c r="A47" s="3" t="s">
        <v>608</v>
      </c>
      <c r="B47" s="3" t="s">
        <v>608</v>
      </c>
      <c r="C47" s="3" t="s">
        <v>608</v>
      </c>
      <c r="D47" s="3" t="s">
        <v>608</v>
      </c>
      <c r="E47" s="3" t="s">
        <v>608</v>
      </c>
      <c r="F47" s="3" t="s">
        <v>84</v>
      </c>
      <c r="G47" s="3" t="s">
        <v>84</v>
      </c>
      <c r="H47" s="3" t="s">
        <v>85</v>
      </c>
      <c r="I47" s="3" t="s">
        <v>83</v>
      </c>
      <c r="J47" s="3" t="s">
        <v>4</v>
      </c>
      <c r="K47" s="3" t="s">
        <v>678</v>
      </c>
      <c r="L47" s="3" t="s">
        <v>30</v>
      </c>
      <c r="M47" s="3" t="s">
        <v>14</v>
      </c>
      <c r="N47">
        <v>1800000</v>
      </c>
      <c r="O47">
        <v>106.188</v>
      </c>
      <c r="P47">
        <v>31</v>
      </c>
      <c r="Q47">
        <v>-918</v>
      </c>
      <c r="R47">
        <v>61</v>
      </c>
      <c r="S47" s="3" t="s">
        <v>7</v>
      </c>
      <c r="T47">
        <v>799</v>
      </c>
      <c r="U47">
        <v>807</v>
      </c>
      <c r="V47">
        <v>252</v>
      </c>
      <c r="W47">
        <v>0.81</v>
      </c>
      <c r="X47">
        <v>1911384</v>
      </c>
      <c r="Y47" s="3" t="s">
        <v>31</v>
      </c>
      <c r="Z47">
        <v>106.239</v>
      </c>
      <c r="AA47">
        <v>1800000</v>
      </c>
      <c r="AB47" s="3" t="s">
        <v>9</v>
      </c>
      <c r="AC47" s="3" t="s">
        <v>10</v>
      </c>
      <c r="AD47">
        <v>1928105</v>
      </c>
      <c r="AE47">
        <v>1928105</v>
      </c>
      <c r="AF47" s="3" t="s">
        <v>640</v>
      </c>
    </row>
    <row r="48" spans="1:32" x14ac:dyDescent="0.35">
      <c r="A48" s="3" t="s">
        <v>608</v>
      </c>
      <c r="B48" s="3" t="s">
        <v>608</v>
      </c>
      <c r="C48" s="3" t="s">
        <v>608</v>
      </c>
      <c r="D48" s="3" t="s">
        <v>608</v>
      </c>
      <c r="E48" s="3" t="s">
        <v>608</v>
      </c>
      <c r="F48" s="3" t="s">
        <v>896</v>
      </c>
      <c r="G48" s="3" t="s">
        <v>896</v>
      </c>
      <c r="H48" s="3" t="s">
        <v>897</v>
      </c>
      <c r="I48" s="3" t="s">
        <v>90</v>
      </c>
      <c r="J48" s="3" t="s">
        <v>4</v>
      </c>
      <c r="K48" s="3" t="s">
        <v>898</v>
      </c>
      <c r="L48" s="3" t="s">
        <v>30</v>
      </c>
      <c r="M48" s="3" t="s">
        <v>14</v>
      </c>
      <c r="N48">
        <v>-6000000</v>
      </c>
      <c r="O48">
        <v>102.479</v>
      </c>
      <c r="P48">
        <v>66</v>
      </c>
      <c r="Q48">
        <v>6120</v>
      </c>
      <c r="R48">
        <v>-102</v>
      </c>
      <c r="S48" s="3" t="s">
        <v>7</v>
      </c>
      <c r="T48">
        <v>-5507</v>
      </c>
      <c r="U48">
        <v>-5572</v>
      </c>
      <c r="V48">
        <v>-3690</v>
      </c>
      <c r="W48">
        <v>-11.9</v>
      </c>
      <c r="X48">
        <v>-6148740</v>
      </c>
      <c r="Y48" s="3" t="s">
        <v>31</v>
      </c>
      <c r="Z48">
        <v>102.581</v>
      </c>
      <c r="AA48">
        <v>-6000000</v>
      </c>
      <c r="AB48" s="3" t="s">
        <v>9</v>
      </c>
      <c r="AC48" s="3" t="s">
        <v>10</v>
      </c>
      <c r="AD48">
        <v>-6178043</v>
      </c>
      <c r="AE48">
        <v>6178043</v>
      </c>
      <c r="AF48" s="3" t="s">
        <v>640</v>
      </c>
    </row>
    <row r="49" spans="1:32" x14ac:dyDescent="0.35">
      <c r="A49" s="3" t="s">
        <v>608</v>
      </c>
      <c r="B49" s="3" t="s">
        <v>608</v>
      </c>
      <c r="C49" s="3" t="s">
        <v>608</v>
      </c>
      <c r="D49" s="3" t="s">
        <v>608</v>
      </c>
      <c r="E49" s="3" t="s">
        <v>608</v>
      </c>
      <c r="F49" s="3" t="s">
        <v>88</v>
      </c>
      <c r="G49" s="3" t="s">
        <v>88</v>
      </c>
      <c r="H49" s="3" t="s">
        <v>89</v>
      </c>
      <c r="I49" s="3" t="s">
        <v>90</v>
      </c>
      <c r="J49" s="3" t="s">
        <v>4</v>
      </c>
      <c r="K49" s="3" t="s">
        <v>679</v>
      </c>
      <c r="L49" s="3" t="s">
        <v>30</v>
      </c>
      <c r="M49" s="3" t="s">
        <v>14</v>
      </c>
      <c r="N49">
        <v>-1380000</v>
      </c>
      <c r="O49">
        <v>106.788</v>
      </c>
      <c r="P49">
        <v>63</v>
      </c>
      <c r="Q49">
        <v>1780</v>
      </c>
      <c r="R49">
        <v>-43</v>
      </c>
      <c r="S49" s="3" t="s">
        <v>7</v>
      </c>
      <c r="T49">
        <v>-1116</v>
      </c>
      <c r="U49">
        <v>-1128</v>
      </c>
      <c r="V49">
        <v>-707</v>
      </c>
      <c r="W49">
        <v>-2.2799999999999998</v>
      </c>
      <c r="X49">
        <v>-1473674</v>
      </c>
      <c r="Y49" s="3" t="s">
        <v>31</v>
      </c>
      <c r="Z49">
        <v>106.917</v>
      </c>
      <c r="AA49">
        <v>-1380000</v>
      </c>
      <c r="AB49" s="3" t="s">
        <v>9</v>
      </c>
      <c r="AC49" s="3" t="s">
        <v>10</v>
      </c>
      <c r="AD49">
        <v>-1475631</v>
      </c>
      <c r="AE49">
        <v>1475631</v>
      </c>
      <c r="AF49" s="3" t="s">
        <v>640</v>
      </c>
    </row>
    <row r="50" spans="1:32" x14ac:dyDescent="0.35">
      <c r="A50" s="3" t="s">
        <v>608</v>
      </c>
      <c r="B50" s="3" t="s">
        <v>608</v>
      </c>
      <c r="C50" s="3" t="s">
        <v>608</v>
      </c>
      <c r="D50" s="3" t="s">
        <v>608</v>
      </c>
      <c r="E50" s="3" t="s">
        <v>608</v>
      </c>
      <c r="F50" s="3" t="s">
        <v>91</v>
      </c>
      <c r="G50" s="3" t="s">
        <v>91</v>
      </c>
      <c r="H50" s="3" t="s">
        <v>92</v>
      </c>
      <c r="I50" s="3" t="s">
        <v>90</v>
      </c>
      <c r="J50" s="3" t="s">
        <v>4</v>
      </c>
      <c r="K50" s="3" t="s">
        <v>680</v>
      </c>
      <c r="L50" s="3" t="s">
        <v>30</v>
      </c>
      <c r="M50" s="3" t="s">
        <v>14</v>
      </c>
      <c r="N50">
        <v>575000</v>
      </c>
      <c r="O50">
        <v>108.182</v>
      </c>
      <c r="P50">
        <v>62</v>
      </c>
      <c r="Q50">
        <v>-546</v>
      </c>
      <c r="R50">
        <v>24</v>
      </c>
      <c r="S50" s="3" t="s">
        <v>7</v>
      </c>
      <c r="T50">
        <v>371</v>
      </c>
      <c r="U50">
        <v>375</v>
      </c>
      <c r="V50">
        <v>231</v>
      </c>
      <c r="W50">
        <v>0.75</v>
      </c>
      <c r="X50">
        <v>622047</v>
      </c>
      <c r="Y50" s="3" t="s">
        <v>31</v>
      </c>
      <c r="Z50">
        <v>108.277</v>
      </c>
      <c r="AA50">
        <v>575000</v>
      </c>
      <c r="AB50" s="3" t="s">
        <v>9</v>
      </c>
      <c r="AC50" s="3" t="s">
        <v>10</v>
      </c>
      <c r="AD50">
        <v>628928</v>
      </c>
      <c r="AE50">
        <v>628928</v>
      </c>
      <c r="AF50" s="3" t="s">
        <v>640</v>
      </c>
    </row>
    <row r="51" spans="1:32" x14ac:dyDescent="0.35">
      <c r="A51" s="3" t="s">
        <v>608</v>
      </c>
      <c r="B51" s="3" t="s">
        <v>608</v>
      </c>
      <c r="C51" s="3" t="s">
        <v>608</v>
      </c>
      <c r="D51" s="3" t="s">
        <v>608</v>
      </c>
      <c r="E51" s="3" t="s">
        <v>608</v>
      </c>
      <c r="F51" s="3" t="s">
        <v>899</v>
      </c>
      <c r="G51" s="3" t="s">
        <v>899</v>
      </c>
      <c r="H51" s="3" t="s">
        <v>900</v>
      </c>
      <c r="I51" s="3" t="s">
        <v>90</v>
      </c>
      <c r="J51" s="3" t="s">
        <v>4</v>
      </c>
      <c r="K51" s="3" t="s">
        <v>901</v>
      </c>
      <c r="L51" s="3" t="s">
        <v>30</v>
      </c>
      <c r="M51" s="3" t="s">
        <v>14</v>
      </c>
      <c r="N51">
        <v>0</v>
      </c>
      <c r="O51">
        <v>106.17700000000001</v>
      </c>
      <c r="P51">
        <v>36</v>
      </c>
      <c r="Q51">
        <v>0</v>
      </c>
      <c r="R51">
        <v>-48</v>
      </c>
      <c r="S51" s="3" t="s">
        <v>7</v>
      </c>
      <c r="T51">
        <v>0</v>
      </c>
      <c r="U51">
        <v>0</v>
      </c>
      <c r="V51">
        <v>0</v>
      </c>
      <c r="W51">
        <v>0</v>
      </c>
      <c r="X51">
        <v>0</v>
      </c>
      <c r="Y51" s="3" t="s">
        <v>31</v>
      </c>
      <c r="Z51">
        <v>106.209</v>
      </c>
      <c r="AA51">
        <v>0</v>
      </c>
      <c r="AB51" s="3" t="s">
        <v>9</v>
      </c>
      <c r="AC51" s="3" t="s">
        <v>10</v>
      </c>
      <c r="AD51">
        <v>0</v>
      </c>
      <c r="AE51">
        <v>0</v>
      </c>
      <c r="AF51" s="3" t="s">
        <v>640</v>
      </c>
    </row>
    <row r="52" spans="1:32" x14ac:dyDescent="0.35">
      <c r="A52" s="3" t="s">
        <v>608</v>
      </c>
      <c r="B52" s="3" t="s">
        <v>608</v>
      </c>
      <c r="C52" s="3" t="s">
        <v>608</v>
      </c>
      <c r="D52" s="3" t="s">
        <v>608</v>
      </c>
      <c r="E52" s="3" t="s">
        <v>608</v>
      </c>
      <c r="F52" s="3" t="s">
        <v>93</v>
      </c>
      <c r="G52" s="3" t="s">
        <v>93</v>
      </c>
      <c r="H52" s="3" t="s">
        <v>94</v>
      </c>
      <c r="I52" s="3" t="s">
        <v>95</v>
      </c>
      <c r="J52" s="3" t="s">
        <v>4</v>
      </c>
      <c r="K52" s="3" t="s">
        <v>681</v>
      </c>
      <c r="L52" s="3" t="s">
        <v>30</v>
      </c>
      <c r="M52" s="3" t="s">
        <v>14</v>
      </c>
      <c r="N52">
        <v>380000</v>
      </c>
      <c r="O52">
        <v>102.893</v>
      </c>
      <c r="P52">
        <v>59</v>
      </c>
      <c r="Q52">
        <v>-498</v>
      </c>
      <c r="R52">
        <v>12</v>
      </c>
      <c r="S52" s="3" t="s">
        <v>7</v>
      </c>
      <c r="T52">
        <v>416</v>
      </c>
      <c r="U52">
        <v>421</v>
      </c>
      <c r="V52">
        <v>247</v>
      </c>
      <c r="W52">
        <v>0.8</v>
      </c>
      <c r="X52">
        <v>390993</v>
      </c>
      <c r="Y52" s="3" t="s">
        <v>31</v>
      </c>
      <c r="Z52">
        <v>103.024</v>
      </c>
      <c r="AA52">
        <v>380000</v>
      </c>
      <c r="AB52" s="3" t="s">
        <v>9</v>
      </c>
      <c r="AC52" s="3" t="s">
        <v>10</v>
      </c>
      <c r="AD52">
        <v>393349</v>
      </c>
      <c r="AE52">
        <v>393349</v>
      </c>
      <c r="AF52" s="3" t="s">
        <v>640</v>
      </c>
    </row>
    <row r="53" spans="1:32" x14ac:dyDescent="0.35">
      <c r="A53" s="3" t="s">
        <v>608</v>
      </c>
      <c r="B53" s="3" t="s">
        <v>608</v>
      </c>
      <c r="C53" s="3" t="s">
        <v>608</v>
      </c>
      <c r="D53" s="3" t="s">
        <v>608</v>
      </c>
      <c r="E53" s="3" t="s">
        <v>608</v>
      </c>
      <c r="F53" s="3" t="s">
        <v>96</v>
      </c>
      <c r="G53" s="3" t="s">
        <v>96</v>
      </c>
      <c r="H53" s="3" t="s">
        <v>97</v>
      </c>
      <c r="I53" s="3" t="s">
        <v>95</v>
      </c>
      <c r="J53" s="3" t="s">
        <v>4</v>
      </c>
      <c r="K53" s="3" t="s">
        <v>682</v>
      </c>
      <c r="L53" s="3" t="s">
        <v>30</v>
      </c>
      <c r="M53" s="3" t="s">
        <v>14</v>
      </c>
      <c r="N53">
        <v>-2500000</v>
      </c>
      <c r="O53">
        <v>105.694</v>
      </c>
      <c r="P53">
        <v>58</v>
      </c>
      <c r="Q53">
        <v>4550</v>
      </c>
      <c r="R53">
        <v>-60</v>
      </c>
      <c r="S53" s="3" t="s">
        <v>7</v>
      </c>
      <c r="T53">
        <v>-2728</v>
      </c>
      <c r="U53">
        <v>-2761</v>
      </c>
      <c r="V53">
        <v>-1597</v>
      </c>
      <c r="W53">
        <v>-5.15</v>
      </c>
      <c r="X53">
        <v>-2642350</v>
      </c>
      <c r="Y53" s="3" t="s">
        <v>31</v>
      </c>
      <c r="Z53">
        <v>105.876</v>
      </c>
      <c r="AA53">
        <v>-2500000</v>
      </c>
      <c r="AB53" s="3" t="s">
        <v>9</v>
      </c>
      <c r="AC53" s="3" t="s">
        <v>10</v>
      </c>
      <c r="AD53">
        <v>-2646905</v>
      </c>
      <c r="AE53">
        <v>2646905</v>
      </c>
      <c r="AF53" s="3" t="s">
        <v>640</v>
      </c>
    </row>
    <row r="54" spans="1:32" x14ac:dyDescent="0.35">
      <c r="A54" s="3" t="s">
        <v>608</v>
      </c>
      <c r="B54" s="3" t="s">
        <v>608</v>
      </c>
      <c r="C54" s="3" t="s">
        <v>608</v>
      </c>
      <c r="D54" s="3" t="s">
        <v>608</v>
      </c>
      <c r="E54" s="3" t="s">
        <v>608</v>
      </c>
      <c r="F54" s="3" t="s">
        <v>583</v>
      </c>
      <c r="G54" s="3" t="s">
        <v>583</v>
      </c>
      <c r="H54" s="3" t="s">
        <v>584</v>
      </c>
      <c r="I54" s="3" t="s">
        <v>95</v>
      </c>
      <c r="J54" s="3" t="s">
        <v>4</v>
      </c>
      <c r="K54" s="3" t="s">
        <v>683</v>
      </c>
      <c r="L54" s="3" t="s">
        <v>30</v>
      </c>
      <c r="M54" s="3" t="s">
        <v>14</v>
      </c>
      <c r="N54">
        <v>1000000</v>
      </c>
      <c r="O54">
        <v>100.556</v>
      </c>
      <c r="P54">
        <v>38</v>
      </c>
      <c r="Q54">
        <v>-280</v>
      </c>
      <c r="R54">
        <v>0</v>
      </c>
      <c r="S54" s="3" t="s">
        <v>7</v>
      </c>
      <c r="T54">
        <v>384</v>
      </c>
      <c r="U54">
        <v>387</v>
      </c>
      <c r="V54">
        <v>146</v>
      </c>
      <c r="W54">
        <v>0.47</v>
      </c>
      <c r="X54">
        <v>1005560</v>
      </c>
      <c r="Y54" s="3" t="s">
        <v>31</v>
      </c>
      <c r="Z54">
        <v>100.584</v>
      </c>
      <c r="AA54">
        <v>1000000</v>
      </c>
      <c r="AB54" s="3" t="s">
        <v>9</v>
      </c>
      <c r="AC54" s="3" t="s">
        <v>10</v>
      </c>
      <c r="AD54">
        <v>1005560</v>
      </c>
      <c r="AE54">
        <v>1005560</v>
      </c>
      <c r="AF54" s="3" t="s">
        <v>640</v>
      </c>
    </row>
    <row r="55" spans="1:32" x14ac:dyDescent="0.35">
      <c r="A55" s="3" t="s">
        <v>608</v>
      </c>
      <c r="B55" s="3" t="s">
        <v>608</v>
      </c>
      <c r="C55" s="3" t="s">
        <v>608</v>
      </c>
      <c r="D55" s="3" t="s">
        <v>608</v>
      </c>
      <c r="E55" s="3" t="s">
        <v>608</v>
      </c>
      <c r="F55" s="3" t="s">
        <v>98</v>
      </c>
      <c r="G55" s="3" t="s">
        <v>98</v>
      </c>
      <c r="H55" s="3" t="s">
        <v>99</v>
      </c>
      <c r="I55" s="3" t="s">
        <v>100</v>
      </c>
      <c r="J55" s="3" t="s">
        <v>4</v>
      </c>
      <c r="K55" s="3" t="s">
        <v>684</v>
      </c>
      <c r="L55" s="3" t="s">
        <v>30</v>
      </c>
      <c r="M55" s="3" t="s">
        <v>14</v>
      </c>
      <c r="N55">
        <v>-1400000</v>
      </c>
      <c r="O55">
        <v>107.92</v>
      </c>
      <c r="P55">
        <v>43</v>
      </c>
      <c r="Q55">
        <v>1162</v>
      </c>
      <c r="R55">
        <v>-48</v>
      </c>
      <c r="S55" s="3" t="s">
        <v>7</v>
      </c>
      <c r="T55">
        <v>-921</v>
      </c>
      <c r="U55">
        <v>-930</v>
      </c>
      <c r="V55">
        <v>-400</v>
      </c>
      <c r="W55">
        <v>-1.29</v>
      </c>
      <c r="X55">
        <v>-1510880</v>
      </c>
      <c r="Y55" s="3" t="s">
        <v>31</v>
      </c>
      <c r="Z55">
        <v>108.003</v>
      </c>
      <c r="AA55">
        <v>-1400000</v>
      </c>
      <c r="AB55" s="3" t="s">
        <v>9</v>
      </c>
      <c r="AC55" s="3" t="s">
        <v>10</v>
      </c>
      <c r="AD55">
        <v>-1523360</v>
      </c>
      <c r="AE55">
        <v>1523360</v>
      </c>
      <c r="AF55" s="3" t="s">
        <v>640</v>
      </c>
    </row>
    <row r="56" spans="1:32" x14ac:dyDescent="0.35">
      <c r="A56" s="3" t="s">
        <v>608</v>
      </c>
      <c r="B56" s="3" t="s">
        <v>608</v>
      </c>
      <c r="C56" s="3" t="s">
        <v>608</v>
      </c>
      <c r="D56" s="3" t="s">
        <v>608</v>
      </c>
      <c r="E56" s="3" t="s">
        <v>608</v>
      </c>
      <c r="F56" s="3" t="s">
        <v>101</v>
      </c>
      <c r="G56" s="3" t="s">
        <v>101</v>
      </c>
      <c r="H56" s="3" t="s">
        <v>102</v>
      </c>
      <c r="I56" s="3" t="s">
        <v>100</v>
      </c>
      <c r="J56" s="3" t="s">
        <v>4</v>
      </c>
      <c r="K56" s="3" t="s">
        <v>685</v>
      </c>
      <c r="L56" s="3" t="s">
        <v>30</v>
      </c>
      <c r="M56" s="3" t="s">
        <v>14</v>
      </c>
      <c r="N56">
        <v>-1515000</v>
      </c>
      <c r="O56">
        <v>115.13800000000001</v>
      </c>
      <c r="P56">
        <v>27</v>
      </c>
      <c r="Q56">
        <v>909</v>
      </c>
      <c r="R56">
        <v>-119</v>
      </c>
      <c r="S56" s="3" t="s">
        <v>7</v>
      </c>
      <c r="T56">
        <v>-807</v>
      </c>
      <c r="U56">
        <v>-815</v>
      </c>
      <c r="V56">
        <v>-216</v>
      </c>
      <c r="W56">
        <v>-0.7</v>
      </c>
      <c r="X56">
        <v>-1744341</v>
      </c>
      <c r="Y56" s="3" t="s">
        <v>31</v>
      </c>
      <c r="Z56">
        <v>115.19799999999999</v>
      </c>
      <c r="AA56">
        <v>-1515000</v>
      </c>
      <c r="AB56" s="3" t="s">
        <v>9</v>
      </c>
      <c r="AC56" s="3" t="s">
        <v>10</v>
      </c>
      <c r="AD56">
        <v>-1750904</v>
      </c>
      <c r="AE56">
        <v>1750904</v>
      </c>
      <c r="AF56" s="3" t="s">
        <v>640</v>
      </c>
    </row>
    <row r="57" spans="1:32" x14ac:dyDescent="0.35">
      <c r="A57" s="3" t="s">
        <v>608</v>
      </c>
      <c r="B57" s="3" t="s">
        <v>608</v>
      </c>
      <c r="C57" s="3" t="s">
        <v>608</v>
      </c>
      <c r="D57" s="3" t="s">
        <v>608</v>
      </c>
      <c r="E57" s="3" t="s">
        <v>608</v>
      </c>
      <c r="F57" s="3" t="s">
        <v>103</v>
      </c>
      <c r="G57" s="3" t="s">
        <v>103</v>
      </c>
      <c r="H57" s="3" t="s">
        <v>104</v>
      </c>
      <c r="I57" s="3" t="s">
        <v>105</v>
      </c>
      <c r="J57" s="3" t="s">
        <v>4</v>
      </c>
      <c r="K57" s="3" t="s">
        <v>686</v>
      </c>
      <c r="L57" s="3" t="s">
        <v>30</v>
      </c>
      <c r="M57" s="3" t="s">
        <v>14</v>
      </c>
      <c r="N57">
        <v>12000000</v>
      </c>
      <c r="O57">
        <v>100.866</v>
      </c>
      <c r="P57">
        <v>79</v>
      </c>
      <c r="Q57">
        <v>-160</v>
      </c>
      <c r="R57">
        <v>96</v>
      </c>
      <c r="S57" s="3" t="s">
        <v>7</v>
      </c>
      <c r="T57">
        <v>8141</v>
      </c>
      <c r="U57">
        <v>8233</v>
      </c>
      <c r="V57">
        <v>6479</v>
      </c>
      <c r="W57">
        <v>20.9</v>
      </c>
      <c r="X57">
        <v>12103920</v>
      </c>
      <c r="Y57" s="3" t="s">
        <v>31</v>
      </c>
      <c r="Z57">
        <v>100.994</v>
      </c>
      <c r="AA57">
        <v>7000000</v>
      </c>
      <c r="AB57" s="3" t="s">
        <v>9</v>
      </c>
      <c r="AC57" s="3" t="s">
        <v>10</v>
      </c>
      <c r="AD57">
        <v>12112865</v>
      </c>
      <c r="AE57">
        <v>12112865</v>
      </c>
      <c r="AF57" s="3" t="s">
        <v>640</v>
      </c>
    </row>
    <row r="58" spans="1:32" x14ac:dyDescent="0.35">
      <c r="A58" s="3" t="s">
        <v>608</v>
      </c>
      <c r="B58" s="3" t="s">
        <v>608</v>
      </c>
      <c r="C58" s="3" t="s">
        <v>608</v>
      </c>
      <c r="D58" s="3" t="s">
        <v>608</v>
      </c>
      <c r="E58" s="3" t="s">
        <v>608</v>
      </c>
      <c r="F58" s="3" t="s">
        <v>106</v>
      </c>
      <c r="G58" s="3" t="s">
        <v>106</v>
      </c>
      <c r="H58" s="3" t="s">
        <v>107</v>
      </c>
      <c r="I58" s="3" t="s">
        <v>105</v>
      </c>
      <c r="J58" s="3" t="s">
        <v>4</v>
      </c>
      <c r="K58" s="3" t="s">
        <v>687</v>
      </c>
      <c r="L58" s="3" t="s">
        <v>30</v>
      </c>
      <c r="M58" s="3" t="s">
        <v>14</v>
      </c>
      <c r="N58">
        <v>-6181000</v>
      </c>
      <c r="O58">
        <v>107.774</v>
      </c>
      <c r="P58">
        <v>62</v>
      </c>
      <c r="Q58">
        <v>2905</v>
      </c>
      <c r="R58">
        <v>-318</v>
      </c>
      <c r="S58" s="3" t="s">
        <v>7</v>
      </c>
      <c r="T58">
        <v>-2861</v>
      </c>
      <c r="U58">
        <v>-2889</v>
      </c>
      <c r="V58">
        <v>-1788</v>
      </c>
      <c r="W58">
        <v>-5.77</v>
      </c>
      <c r="X58">
        <v>-6661511</v>
      </c>
      <c r="Y58" s="3" t="s">
        <v>31</v>
      </c>
      <c r="Z58">
        <v>107.821</v>
      </c>
      <c r="AA58">
        <v>-6181000</v>
      </c>
      <c r="AB58" s="3" t="s">
        <v>9</v>
      </c>
      <c r="AC58" s="3" t="s">
        <v>10</v>
      </c>
      <c r="AD58">
        <v>-6727237</v>
      </c>
      <c r="AE58">
        <v>6727237</v>
      </c>
      <c r="AF58" s="3" t="s">
        <v>640</v>
      </c>
    </row>
    <row r="59" spans="1:32" x14ac:dyDescent="0.35">
      <c r="A59" s="3" t="s">
        <v>608</v>
      </c>
      <c r="B59" s="3" t="s">
        <v>608</v>
      </c>
      <c r="C59" s="3" t="s">
        <v>608</v>
      </c>
      <c r="D59" s="3" t="s">
        <v>608</v>
      </c>
      <c r="E59" s="3" t="s">
        <v>608</v>
      </c>
      <c r="F59" s="3" t="s">
        <v>962</v>
      </c>
      <c r="G59" s="3" t="s">
        <v>962</v>
      </c>
      <c r="H59" s="3" t="s">
        <v>963</v>
      </c>
      <c r="I59" s="3" t="s">
        <v>964</v>
      </c>
      <c r="J59" s="3" t="s">
        <v>4</v>
      </c>
      <c r="K59" s="3" t="s">
        <v>640</v>
      </c>
      <c r="L59" s="3" t="s">
        <v>30</v>
      </c>
      <c r="M59" s="3" t="s">
        <v>14</v>
      </c>
      <c r="N59">
        <v>0</v>
      </c>
      <c r="O59">
        <v>106.32</v>
      </c>
      <c r="P59">
        <v>118</v>
      </c>
      <c r="Q59">
        <v>880</v>
      </c>
      <c r="R59">
        <v>0</v>
      </c>
      <c r="S59" s="3" t="s">
        <v>7</v>
      </c>
      <c r="T59">
        <v>0</v>
      </c>
      <c r="U59">
        <v>0</v>
      </c>
      <c r="V59">
        <v>0</v>
      </c>
      <c r="W59">
        <v>0</v>
      </c>
      <c r="X59">
        <v>0</v>
      </c>
      <c r="Y59" s="3" t="s">
        <v>640</v>
      </c>
      <c r="Z59">
        <v>0</v>
      </c>
      <c r="AA59">
        <v>0</v>
      </c>
      <c r="AB59" s="3" t="s">
        <v>9</v>
      </c>
      <c r="AC59" s="3" t="s">
        <v>10</v>
      </c>
      <c r="AD59">
        <v>0</v>
      </c>
      <c r="AE59">
        <v>0</v>
      </c>
      <c r="AF59" s="3" t="s">
        <v>640</v>
      </c>
    </row>
    <row r="60" spans="1:32" x14ac:dyDescent="0.35">
      <c r="A60" s="3" t="s">
        <v>608</v>
      </c>
      <c r="B60" s="3" t="s">
        <v>608</v>
      </c>
      <c r="C60" s="3" t="s">
        <v>608</v>
      </c>
      <c r="D60" s="3" t="s">
        <v>608</v>
      </c>
      <c r="E60" s="3" t="s">
        <v>608</v>
      </c>
      <c r="F60" s="3" t="s">
        <v>108</v>
      </c>
      <c r="G60" s="3" t="s">
        <v>108</v>
      </c>
      <c r="H60" s="3" t="s">
        <v>109</v>
      </c>
      <c r="I60" s="3" t="s">
        <v>110</v>
      </c>
      <c r="J60" s="3" t="s">
        <v>4</v>
      </c>
      <c r="K60" s="3" t="s">
        <v>688</v>
      </c>
      <c r="L60" s="3" t="s">
        <v>30</v>
      </c>
      <c r="M60" s="3" t="s">
        <v>14</v>
      </c>
      <c r="N60">
        <v>2000000</v>
      </c>
      <c r="O60">
        <v>108.941</v>
      </c>
      <c r="P60">
        <v>43</v>
      </c>
      <c r="Q60">
        <v>-1260</v>
      </c>
      <c r="R60">
        <v>103</v>
      </c>
      <c r="S60" s="3" t="s">
        <v>7</v>
      </c>
      <c r="T60">
        <v>971</v>
      </c>
      <c r="U60">
        <v>981</v>
      </c>
      <c r="V60">
        <v>424</v>
      </c>
      <c r="W60">
        <v>1.37</v>
      </c>
      <c r="X60">
        <v>2178820</v>
      </c>
      <c r="Y60" s="3" t="s">
        <v>31</v>
      </c>
      <c r="Z60">
        <v>109.004</v>
      </c>
      <c r="AA60">
        <v>2000000</v>
      </c>
      <c r="AB60" s="3" t="s">
        <v>9</v>
      </c>
      <c r="AC60" s="3" t="s">
        <v>10</v>
      </c>
      <c r="AD60">
        <v>2193923</v>
      </c>
      <c r="AE60">
        <v>2193923</v>
      </c>
      <c r="AF60" s="3" t="s">
        <v>640</v>
      </c>
    </row>
    <row r="61" spans="1:32" x14ac:dyDescent="0.35">
      <c r="A61" s="3" t="s">
        <v>608</v>
      </c>
      <c r="B61" s="3" t="s">
        <v>608</v>
      </c>
      <c r="C61" s="3" t="s">
        <v>608</v>
      </c>
      <c r="D61" s="3" t="s">
        <v>608</v>
      </c>
      <c r="E61" s="3" t="s">
        <v>608</v>
      </c>
      <c r="F61" s="3" t="s">
        <v>111</v>
      </c>
      <c r="G61" s="3" t="s">
        <v>111</v>
      </c>
      <c r="H61" s="3" t="s">
        <v>112</v>
      </c>
      <c r="I61" s="3" t="s">
        <v>113</v>
      </c>
      <c r="J61" s="3" t="s">
        <v>4</v>
      </c>
      <c r="K61" s="3" t="s">
        <v>689</v>
      </c>
      <c r="L61" s="3" t="s">
        <v>30</v>
      </c>
      <c r="M61" s="3" t="s">
        <v>14</v>
      </c>
      <c r="N61">
        <v>-8167000</v>
      </c>
      <c r="O61">
        <v>104.738</v>
      </c>
      <c r="P61">
        <v>58</v>
      </c>
      <c r="Q61">
        <v>7350</v>
      </c>
      <c r="R61">
        <v>-196</v>
      </c>
      <c r="S61" s="3" t="s">
        <v>7</v>
      </c>
      <c r="T61">
        <v>-5557</v>
      </c>
      <c r="U61">
        <v>-5614</v>
      </c>
      <c r="V61">
        <v>-3274</v>
      </c>
      <c r="W61">
        <v>-10.56</v>
      </c>
      <c r="X61">
        <v>-8553952</v>
      </c>
      <c r="Y61" s="3" t="s">
        <v>31</v>
      </c>
      <c r="Z61">
        <v>104.828</v>
      </c>
      <c r="AA61">
        <v>-8167000</v>
      </c>
      <c r="AB61" s="3" t="s">
        <v>9</v>
      </c>
      <c r="AC61" s="3" t="s">
        <v>10</v>
      </c>
      <c r="AD61">
        <v>-8577838</v>
      </c>
      <c r="AE61">
        <v>8577838</v>
      </c>
      <c r="AF61" s="3" t="s">
        <v>640</v>
      </c>
    </row>
    <row r="62" spans="1:32" x14ac:dyDescent="0.35">
      <c r="A62" s="3" t="s">
        <v>608</v>
      </c>
      <c r="B62" s="3" t="s">
        <v>608</v>
      </c>
      <c r="C62" s="3" t="s">
        <v>608</v>
      </c>
      <c r="D62" s="3" t="s">
        <v>608</v>
      </c>
      <c r="E62" s="3" t="s">
        <v>608</v>
      </c>
      <c r="F62" s="3" t="s">
        <v>114</v>
      </c>
      <c r="G62" s="3" t="s">
        <v>114</v>
      </c>
      <c r="H62" s="3" t="s">
        <v>115</v>
      </c>
      <c r="I62" s="3" t="s">
        <v>113</v>
      </c>
      <c r="J62" s="3" t="s">
        <v>4</v>
      </c>
      <c r="K62" s="3" t="s">
        <v>690</v>
      </c>
      <c r="L62" s="3" t="s">
        <v>30</v>
      </c>
      <c r="M62" s="3" t="s">
        <v>14</v>
      </c>
      <c r="N62">
        <v>2700000</v>
      </c>
      <c r="O62">
        <v>104.273</v>
      </c>
      <c r="P62">
        <v>61</v>
      </c>
      <c r="Q62">
        <v>-2133</v>
      </c>
      <c r="R62">
        <v>65</v>
      </c>
      <c r="S62" s="3" t="s">
        <v>7</v>
      </c>
      <c r="T62">
        <v>1635</v>
      </c>
      <c r="U62">
        <v>1652</v>
      </c>
      <c r="V62">
        <v>1000</v>
      </c>
      <c r="W62">
        <v>3.23</v>
      </c>
      <c r="X62">
        <v>2815371</v>
      </c>
      <c r="Y62" s="3" t="s">
        <v>31</v>
      </c>
      <c r="Z62">
        <v>104.352</v>
      </c>
      <c r="AA62">
        <v>2700000</v>
      </c>
      <c r="AB62" s="3" t="s">
        <v>9</v>
      </c>
      <c r="AC62" s="3" t="s">
        <v>10</v>
      </c>
      <c r="AD62">
        <v>2816730</v>
      </c>
      <c r="AE62">
        <v>2816730</v>
      </c>
      <c r="AF62" s="3" t="s">
        <v>640</v>
      </c>
    </row>
    <row r="63" spans="1:32" x14ac:dyDescent="0.35">
      <c r="A63" s="3" t="s">
        <v>608</v>
      </c>
      <c r="B63" s="3" t="s">
        <v>608</v>
      </c>
      <c r="C63" s="3" t="s">
        <v>608</v>
      </c>
      <c r="D63" s="3" t="s">
        <v>608</v>
      </c>
      <c r="E63" s="3" t="s">
        <v>608</v>
      </c>
      <c r="F63" s="3" t="s">
        <v>965</v>
      </c>
      <c r="G63" s="3" t="s">
        <v>965</v>
      </c>
      <c r="H63" s="3" t="s">
        <v>966</v>
      </c>
      <c r="I63" s="3" t="s">
        <v>967</v>
      </c>
      <c r="J63" s="3" t="s">
        <v>4</v>
      </c>
      <c r="K63" s="3" t="s">
        <v>1186</v>
      </c>
      <c r="L63" s="3" t="s">
        <v>30</v>
      </c>
      <c r="M63" s="3" t="s">
        <v>14</v>
      </c>
      <c r="N63">
        <v>3000000</v>
      </c>
      <c r="O63">
        <v>102.795</v>
      </c>
      <c r="P63">
        <v>41</v>
      </c>
      <c r="Q63">
        <v>7978</v>
      </c>
      <c r="R63">
        <v>0</v>
      </c>
      <c r="S63" s="3" t="s">
        <v>7</v>
      </c>
      <c r="T63">
        <v>980</v>
      </c>
      <c r="U63">
        <v>989</v>
      </c>
      <c r="V63">
        <v>409</v>
      </c>
      <c r="W63">
        <v>1.32</v>
      </c>
      <c r="X63">
        <v>3083850</v>
      </c>
      <c r="Y63" s="3" t="s">
        <v>31</v>
      </c>
      <c r="Z63">
        <v>0</v>
      </c>
      <c r="AA63">
        <v>0</v>
      </c>
      <c r="AB63" s="3" t="s">
        <v>9</v>
      </c>
      <c r="AC63" s="3" t="s">
        <v>10</v>
      </c>
      <c r="AD63">
        <v>3101862</v>
      </c>
      <c r="AE63">
        <v>3101862</v>
      </c>
      <c r="AF63" s="3" t="s">
        <v>640</v>
      </c>
    </row>
    <row r="64" spans="1:32" x14ac:dyDescent="0.35">
      <c r="A64" s="3" t="s">
        <v>608</v>
      </c>
      <c r="B64" s="3" t="s">
        <v>608</v>
      </c>
      <c r="C64" s="3" t="s">
        <v>608</v>
      </c>
      <c r="D64" s="3" t="s">
        <v>608</v>
      </c>
      <c r="E64" s="3" t="s">
        <v>608</v>
      </c>
      <c r="F64" s="3" t="s">
        <v>116</v>
      </c>
      <c r="G64" s="3" t="s">
        <v>116</v>
      </c>
      <c r="H64" s="3" t="s">
        <v>117</v>
      </c>
      <c r="I64" s="3" t="s">
        <v>118</v>
      </c>
      <c r="J64" s="3" t="s">
        <v>4</v>
      </c>
      <c r="K64" s="3" t="s">
        <v>691</v>
      </c>
      <c r="L64" s="3" t="s">
        <v>30</v>
      </c>
      <c r="M64" s="3" t="s">
        <v>14</v>
      </c>
      <c r="N64">
        <v>3700000</v>
      </c>
      <c r="O64">
        <v>103.839</v>
      </c>
      <c r="P64">
        <v>38</v>
      </c>
      <c r="Q64">
        <v>-1258</v>
      </c>
      <c r="R64">
        <v>101</v>
      </c>
      <c r="S64" s="3" t="s">
        <v>7</v>
      </c>
      <c r="T64">
        <v>1269</v>
      </c>
      <c r="U64">
        <v>1281</v>
      </c>
      <c r="V64">
        <v>492</v>
      </c>
      <c r="W64">
        <v>1.59</v>
      </c>
      <c r="X64">
        <v>3842043</v>
      </c>
      <c r="Y64" s="3" t="s">
        <v>31</v>
      </c>
      <c r="Z64">
        <v>103.873</v>
      </c>
      <c r="AA64">
        <v>3700000</v>
      </c>
      <c r="AB64" s="3" t="s">
        <v>9</v>
      </c>
      <c r="AC64" s="3" t="s">
        <v>10</v>
      </c>
      <c r="AD64">
        <v>3866575</v>
      </c>
      <c r="AE64">
        <v>3866575</v>
      </c>
      <c r="AF64" s="3" t="s">
        <v>640</v>
      </c>
    </row>
    <row r="65" spans="1:32" x14ac:dyDescent="0.35">
      <c r="A65" s="3" t="s">
        <v>608</v>
      </c>
      <c r="B65" s="3" t="s">
        <v>608</v>
      </c>
      <c r="C65" s="3" t="s">
        <v>608</v>
      </c>
      <c r="D65" s="3" t="s">
        <v>608</v>
      </c>
      <c r="E65" s="3" t="s">
        <v>608</v>
      </c>
      <c r="F65" s="3" t="s">
        <v>119</v>
      </c>
      <c r="G65" s="3" t="s">
        <v>119</v>
      </c>
      <c r="H65" s="3" t="s">
        <v>120</v>
      </c>
      <c r="I65" s="3" t="s">
        <v>121</v>
      </c>
      <c r="J65" s="3" t="s">
        <v>4</v>
      </c>
      <c r="K65" s="3" t="s">
        <v>692</v>
      </c>
      <c r="L65" s="3" t="s">
        <v>30</v>
      </c>
      <c r="M65" s="3" t="s">
        <v>14</v>
      </c>
      <c r="N65">
        <v>90000</v>
      </c>
      <c r="O65">
        <v>101.48</v>
      </c>
      <c r="P65">
        <v>43</v>
      </c>
      <c r="Q65">
        <v>-74</v>
      </c>
      <c r="R65">
        <v>1</v>
      </c>
      <c r="S65" s="3" t="s">
        <v>7</v>
      </c>
      <c r="T65">
        <v>42</v>
      </c>
      <c r="U65">
        <v>43</v>
      </c>
      <c r="V65">
        <v>18</v>
      </c>
      <c r="W65">
        <v>0.06</v>
      </c>
      <c r="X65">
        <v>91332</v>
      </c>
      <c r="Y65" s="3" t="s">
        <v>31</v>
      </c>
      <c r="Z65">
        <v>101.562</v>
      </c>
      <c r="AA65">
        <v>90000</v>
      </c>
      <c r="AB65" s="3" t="s">
        <v>9</v>
      </c>
      <c r="AC65" s="3" t="s">
        <v>10</v>
      </c>
      <c r="AD65">
        <v>91414</v>
      </c>
      <c r="AE65">
        <v>91414</v>
      </c>
      <c r="AF65" s="3" t="s">
        <v>640</v>
      </c>
    </row>
    <row r="66" spans="1:32" x14ac:dyDescent="0.35">
      <c r="A66" s="3" t="s">
        <v>608</v>
      </c>
      <c r="B66" s="3" t="s">
        <v>608</v>
      </c>
      <c r="C66" s="3" t="s">
        <v>608</v>
      </c>
      <c r="D66" s="3" t="s">
        <v>608</v>
      </c>
      <c r="E66" s="3" t="s">
        <v>608</v>
      </c>
      <c r="F66" s="3" t="s">
        <v>122</v>
      </c>
      <c r="G66" s="3" t="s">
        <v>122</v>
      </c>
      <c r="H66" s="3" t="s">
        <v>123</v>
      </c>
      <c r="I66" s="3" t="s">
        <v>124</v>
      </c>
      <c r="J66" s="3" t="s">
        <v>4</v>
      </c>
      <c r="K66" s="3" t="s">
        <v>693</v>
      </c>
      <c r="L66" s="3" t="s">
        <v>30</v>
      </c>
      <c r="M66" s="3" t="s">
        <v>14</v>
      </c>
      <c r="N66">
        <v>0</v>
      </c>
      <c r="O66">
        <v>100.54600000000001</v>
      </c>
      <c r="P66">
        <v>193</v>
      </c>
      <c r="Q66">
        <v>-160</v>
      </c>
      <c r="R66">
        <v>45</v>
      </c>
      <c r="S66" s="3" t="s">
        <v>7</v>
      </c>
      <c r="T66">
        <v>0</v>
      </c>
      <c r="U66">
        <v>0</v>
      </c>
      <c r="V66">
        <v>0</v>
      </c>
      <c r="W66">
        <v>0</v>
      </c>
      <c r="X66">
        <v>0</v>
      </c>
      <c r="Y66" s="3" t="s">
        <v>31</v>
      </c>
      <c r="Z66">
        <v>100.583</v>
      </c>
      <c r="AA66">
        <v>432000</v>
      </c>
      <c r="AB66" s="3" t="s">
        <v>9</v>
      </c>
      <c r="AC66" s="3" t="s">
        <v>10</v>
      </c>
      <c r="AD66">
        <v>-19</v>
      </c>
      <c r="AE66">
        <v>19</v>
      </c>
      <c r="AF66" s="3" t="s">
        <v>640</v>
      </c>
    </row>
    <row r="67" spans="1:32" x14ac:dyDescent="0.35">
      <c r="A67" s="3" t="s">
        <v>608</v>
      </c>
      <c r="B67" s="3" t="s">
        <v>608</v>
      </c>
      <c r="C67" s="3" t="s">
        <v>608</v>
      </c>
      <c r="D67" s="3" t="s">
        <v>608</v>
      </c>
      <c r="E67" s="3" t="s">
        <v>608</v>
      </c>
      <c r="F67" s="3" t="s">
        <v>125</v>
      </c>
      <c r="G67" s="3" t="s">
        <v>125</v>
      </c>
      <c r="H67" s="3" t="s">
        <v>126</v>
      </c>
      <c r="I67" s="3" t="s">
        <v>124</v>
      </c>
      <c r="J67" s="3" t="s">
        <v>4</v>
      </c>
      <c r="K67" s="3" t="s">
        <v>694</v>
      </c>
      <c r="L67" s="3" t="s">
        <v>30</v>
      </c>
      <c r="M67" s="3" t="s">
        <v>14</v>
      </c>
      <c r="N67">
        <v>2000000</v>
      </c>
      <c r="O67">
        <v>103.878</v>
      </c>
      <c r="P67">
        <v>163</v>
      </c>
      <c r="Q67">
        <v>-2020</v>
      </c>
      <c r="R67">
        <v>103</v>
      </c>
      <c r="S67" s="3" t="s">
        <v>7</v>
      </c>
      <c r="T67">
        <v>1117</v>
      </c>
      <c r="U67">
        <v>1128</v>
      </c>
      <c r="V67">
        <v>1837</v>
      </c>
      <c r="W67">
        <v>5.92</v>
      </c>
      <c r="X67">
        <v>2077560</v>
      </c>
      <c r="Y67" s="3" t="s">
        <v>31</v>
      </c>
      <c r="Z67">
        <v>103.979</v>
      </c>
      <c r="AA67">
        <v>2000000</v>
      </c>
      <c r="AB67" s="3" t="s">
        <v>9</v>
      </c>
      <c r="AC67" s="3" t="s">
        <v>10</v>
      </c>
      <c r="AD67">
        <v>2089786</v>
      </c>
      <c r="AE67">
        <v>2089786</v>
      </c>
      <c r="AF67" s="3" t="s">
        <v>640</v>
      </c>
    </row>
    <row r="68" spans="1:32" x14ac:dyDescent="0.35">
      <c r="A68" s="3" t="s">
        <v>608</v>
      </c>
      <c r="B68" s="3" t="s">
        <v>608</v>
      </c>
      <c r="C68" s="3" t="s">
        <v>608</v>
      </c>
      <c r="D68" s="3" t="s">
        <v>608</v>
      </c>
      <c r="E68" s="3" t="s">
        <v>608</v>
      </c>
      <c r="F68" s="3" t="s">
        <v>981</v>
      </c>
      <c r="G68" s="3" t="s">
        <v>981</v>
      </c>
      <c r="H68" s="3" t="s">
        <v>982</v>
      </c>
      <c r="I68" s="3" t="s">
        <v>983</v>
      </c>
      <c r="J68" s="3" t="s">
        <v>4</v>
      </c>
      <c r="K68" s="3" t="s">
        <v>640</v>
      </c>
      <c r="L68" s="3" t="s">
        <v>30</v>
      </c>
      <c r="M68" s="3" t="s">
        <v>14</v>
      </c>
      <c r="N68">
        <v>0</v>
      </c>
      <c r="O68">
        <v>101.694</v>
      </c>
      <c r="P68">
        <v>154</v>
      </c>
      <c r="Q68">
        <v>121</v>
      </c>
      <c r="R68">
        <v>0</v>
      </c>
      <c r="S68" s="3" t="s">
        <v>7</v>
      </c>
      <c r="T68">
        <v>0</v>
      </c>
      <c r="U68">
        <v>0</v>
      </c>
      <c r="V68">
        <v>0</v>
      </c>
      <c r="W68">
        <v>0</v>
      </c>
      <c r="X68">
        <v>0</v>
      </c>
      <c r="Y68" s="3" t="s">
        <v>640</v>
      </c>
      <c r="Z68">
        <v>0</v>
      </c>
      <c r="AA68">
        <v>0</v>
      </c>
      <c r="AB68" s="3" t="s">
        <v>9</v>
      </c>
      <c r="AC68" s="3" t="s">
        <v>10</v>
      </c>
      <c r="AD68">
        <v>0</v>
      </c>
      <c r="AE68">
        <v>0</v>
      </c>
      <c r="AF68" s="3" t="s">
        <v>640</v>
      </c>
    </row>
    <row r="69" spans="1:32" x14ac:dyDescent="0.35">
      <c r="A69" s="3" t="s">
        <v>608</v>
      </c>
      <c r="B69" s="3" t="s">
        <v>608</v>
      </c>
      <c r="C69" s="3" t="s">
        <v>608</v>
      </c>
      <c r="D69" s="3" t="s">
        <v>608</v>
      </c>
      <c r="E69" s="3" t="s">
        <v>608</v>
      </c>
      <c r="F69" s="3" t="s">
        <v>127</v>
      </c>
      <c r="G69" s="3" t="s">
        <v>127</v>
      </c>
      <c r="H69" s="3" t="s">
        <v>128</v>
      </c>
      <c r="I69" s="3" t="s">
        <v>129</v>
      </c>
      <c r="J69" s="3" t="s">
        <v>4</v>
      </c>
      <c r="K69" s="3" t="s">
        <v>1187</v>
      </c>
      <c r="L69" s="3" t="s">
        <v>30</v>
      </c>
      <c r="M69" s="3" t="s">
        <v>14</v>
      </c>
      <c r="N69">
        <v>1000000</v>
      </c>
      <c r="O69">
        <v>100.048</v>
      </c>
      <c r="P69">
        <v>64</v>
      </c>
      <c r="Q69">
        <v>9710</v>
      </c>
      <c r="R69">
        <v>17</v>
      </c>
      <c r="S69" s="3" t="s">
        <v>7</v>
      </c>
      <c r="T69">
        <v>1875</v>
      </c>
      <c r="U69">
        <v>1902</v>
      </c>
      <c r="V69">
        <v>1224</v>
      </c>
      <c r="W69">
        <v>3.95</v>
      </c>
      <c r="X69">
        <v>1000480</v>
      </c>
      <c r="Y69" s="3" t="s">
        <v>31</v>
      </c>
      <c r="Z69">
        <v>99.076999999999998</v>
      </c>
      <c r="AA69">
        <v>1000000</v>
      </c>
      <c r="AB69" s="3" t="s">
        <v>9</v>
      </c>
      <c r="AC69" s="3" t="s">
        <v>10</v>
      </c>
      <c r="AD69">
        <v>1000514</v>
      </c>
      <c r="AE69">
        <v>1000514</v>
      </c>
      <c r="AF69" s="3" t="s">
        <v>640</v>
      </c>
    </row>
    <row r="70" spans="1:32" x14ac:dyDescent="0.35">
      <c r="A70" s="3" t="s">
        <v>608</v>
      </c>
      <c r="B70" s="3" t="s">
        <v>608</v>
      </c>
      <c r="C70" s="3" t="s">
        <v>608</v>
      </c>
      <c r="D70" s="3" t="s">
        <v>608</v>
      </c>
      <c r="E70" s="3" t="s">
        <v>608</v>
      </c>
      <c r="F70" s="3" t="s">
        <v>131</v>
      </c>
      <c r="G70" s="3" t="s">
        <v>131</v>
      </c>
      <c r="H70" s="3" t="s">
        <v>132</v>
      </c>
      <c r="I70" s="3" t="s">
        <v>130</v>
      </c>
      <c r="J70" s="3" t="s">
        <v>4</v>
      </c>
      <c r="K70" s="3" t="s">
        <v>687</v>
      </c>
      <c r="L70" s="3" t="s">
        <v>30</v>
      </c>
      <c r="M70" s="3" t="s">
        <v>14</v>
      </c>
      <c r="N70">
        <v>2659000</v>
      </c>
      <c r="O70">
        <v>103.292</v>
      </c>
      <c r="P70">
        <v>112</v>
      </c>
      <c r="Q70">
        <v>-2526</v>
      </c>
      <c r="R70">
        <v>100</v>
      </c>
      <c r="S70" s="3" t="s">
        <v>7</v>
      </c>
      <c r="T70">
        <v>1182</v>
      </c>
      <c r="U70">
        <v>1194</v>
      </c>
      <c r="V70">
        <v>1341</v>
      </c>
      <c r="W70">
        <v>4.32</v>
      </c>
      <c r="X70">
        <v>2746534</v>
      </c>
      <c r="Y70" s="3" t="s">
        <v>31</v>
      </c>
      <c r="Z70">
        <v>103.387</v>
      </c>
      <c r="AA70">
        <v>2659000</v>
      </c>
      <c r="AB70" s="3" t="s">
        <v>9</v>
      </c>
      <c r="AC70" s="3" t="s">
        <v>10</v>
      </c>
      <c r="AD70">
        <v>2767269</v>
      </c>
      <c r="AE70">
        <v>2767269</v>
      </c>
      <c r="AF70" s="3" t="s">
        <v>640</v>
      </c>
    </row>
    <row r="71" spans="1:32" x14ac:dyDescent="0.35">
      <c r="A71" s="3" t="s">
        <v>608</v>
      </c>
      <c r="B71" s="3" t="s">
        <v>608</v>
      </c>
      <c r="C71" s="3" t="s">
        <v>608</v>
      </c>
      <c r="D71" s="3" t="s">
        <v>608</v>
      </c>
      <c r="E71" s="3" t="s">
        <v>608</v>
      </c>
      <c r="F71" s="3" t="s">
        <v>133</v>
      </c>
      <c r="G71" s="3" t="s">
        <v>133</v>
      </c>
      <c r="H71" s="3" t="s">
        <v>134</v>
      </c>
      <c r="I71" s="3" t="s">
        <v>135</v>
      </c>
      <c r="J71" s="3" t="s">
        <v>4</v>
      </c>
      <c r="K71" s="3" t="s">
        <v>696</v>
      </c>
      <c r="L71" s="3" t="s">
        <v>30</v>
      </c>
      <c r="M71" s="3" t="s">
        <v>14</v>
      </c>
      <c r="N71">
        <v>2300000</v>
      </c>
      <c r="O71">
        <v>106.18600000000001</v>
      </c>
      <c r="P71">
        <v>58</v>
      </c>
      <c r="Q71">
        <v>-1748</v>
      </c>
      <c r="R71">
        <v>79</v>
      </c>
      <c r="S71" s="3" t="s">
        <v>7</v>
      </c>
      <c r="T71">
        <v>1296</v>
      </c>
      <c r="U71">
        <v>1309</v>
      </c>
      <c r="V71">
        <v>761</v>
      </c>
      <c r="W71">
        <v>2.46</v>
      </c>
      <c r="X71">
        <v>2442278</v>
      </c>
      <c r="Y71" s="3" t="s">
        <v>31</v>
      </c>
      <c r="Z71">
        <v>106.262</v>
      </c>
      <c r="AA71">
        <v>2300000</v>
      </c>
      <c r="AB71" s="3" t="s">
        <v>9</v>
      </c>
      <c r="AC71" s="3" t="s">
        <v>10</v>
      </c>
      <c r="AD71">
        <v>2457953</v>
      </c>
      <c r="AE71">
        <v>2457953</v>
      </c>
      <c r="AF71" s="3" t="s">
        <v>640</v>
      </c>
    </row>
    <row r="72" spans="1:32" x14ac:dyDescent="0.35">
      <c r="A72" s="3" t="s">
        <v>608</v>
      </c>
      <c r="B72" s="3" t="s">
        <v>608</v>
      </c>
      <c r="C72" s="3" t="s">
        <v>608</v>
      </c>
      <c r="D72" s="3" t="s">
        <v>608</v>
      </c>
      <c r="E72" s="3" t="s">
        <v>608</v>
      </c>
      <c r="F72" s="3" t="s">
        <v>136</v>
      </c>
      <c r="G72" s="3" t="s">
        <v>136</v>
      </c>
      <c r="H72" s="3" t="s">
        <v>137</v>
      </c>
      <c r="I72" s="3" t="s">
        <v>135</v>
      </c>
      <c r="J72" s="3" t="s">
        <v>4</v>
      </c>
      <c r="K72" s="3" t="s">
        <v>697</v>
      </c>
      <c r="L72" s="3" t="s">
        <v>30</v>
      </c>
      <c r="M72" s="3" t="s">
        <v>14</v>
      </c>
      <c r="N72">
        <v>-3000000</v>
      </c>
      <c r="O72">
        <v>106.188</v>
      </c>
      <c r="P72">
        <v>54</v>
      </c>
      <c r="Q72">
        <v>1770</v>
      </c>
      <c r="R72">
        <v>-102</v>
      </c>
      <c r="S72" s="3" t="s">
        <v>7</v>
      </c>
      <c r="T72">
        <v>-1613</v>
      </c>
      <c r="U72">
        <v>-1629</v>
      </c>
      <c r="V72">
        <v>-875</v>
      </c>
      <c r="W72">
        <v>-2.82</v>
      </c>
      <c r="X72">
        <v>-3185640</v>
      </c>
      <c r="Y72" s="3" t="s">
        <v>31</v>
      </c>
      <c r="Z72">
        <v>106.247</v>
      </c>
      <c r="AA72">
        <v>-3000000</v>
      </c>
      <c r="AB72" s="3" t="s">
        <v>9</v>
      </c>
      <c r="AC72" s="3" t="s">
        <v>10</v>
      </c>
      <c r="AD72">
        <v>-3206439</v>
      </c>
      <c r="AE72">
        <v>3206439</v>
      </c>
      <c r="AF72" s="3" t="s">
        <v>640</v>
      </c>
    </row>
    <row r="73" spans="1:32" x14ac:dyDescent="0.35">
      <c r="A73" s="3" t="s">
        <v>608</v>
      </c>
      <c r="B73" s="3" t="s">
        <v>608</v>
      </c>
      <c r="C73" s="3" t="s">
        <v>608</v>
      </c>
      <c r="D73" s="3" t="s">
        <v>608</v>
      </c>
      <c r="E73" s="3" t="s">
        <v>608</v>
      </c>
      <c r="F73" s="3" t="s">
        <v>138</v>
      </c>
      <c r="G73" s="3" t="s">
        <v>138</v>
      </c>
      <c r="H73" s="3" t="s">
        <v>139</v>
      </c>
      <c r="I73" s="3" t="s">
        <v>140</v>
      </c>
      <c r="J73" s="3" t="s">
        <v>4</v>
      </c>
      <c r="K73" s="3" t="s">
        <v>698</v>
      </c>
      <c r="L73" s="3" t="s">
        <v>30</v>
      </c>
      <c r="M73" s="3" t="s">
        <v>14</v>
      </c>
      <c r="N73">
        <v>-1000000</v>
      </c>
      <c r="O73">
        <v>113.498</v>
      </c>
      <c r="P73">
        <v>56</v>
      </c>
      <c r="Q73">
        <v>600</v>
      </c>
      <c r="R73">
        <v>-51</v>
      </c>
      <c r="S73" s="3" t="s">
        <v>7</v>
      </c>
      <c r="T73">
        <v>-862</v>
      </c>
      <c r="U73">
        <v>-872</v>
      </c>
      <c r="V73">
        <v>-486</v>
      </c>
      <c r="W73">
        <v>-1.57</v>
      </c>
      <c r="X73">
        <v>-1134980</v>
      </c>
      <c r="Y73" s="3" t="s">
        <v>31</v>
      </c>
      <c r="Z73">
        <v>113.55800000000001</v>
      </c>
      <c r="AA73">
        <v>-1000000</v>
      </c>
      <c r="AB73" s="3" t="s">
        <v>9</v>
      </c>
      <c r="AC73" s="3" t="s">
        <v>10</v>
      </c>
      <c r="AD73">
        <v>-1152193</v>
      </c>
      <c r="AE73">
        <v>1152193</v>
      </c>
      <c r="AF73" s="3" t="s">
        <v>640</v>
      </c>
    </row>
    <row r="74" spans="1:32" x14ac:dyDescent="0.35">
      <c r="A74" s="3" t="s">
        <v>608</v>
      </c>
      <c r="B74" s="3" t="s">
        <v>608</v>
      </c>
      <c r="C74" s="3" t="s">
        <v>608</v>
      </c>
      <c r="D74" s="3" t="s">
        <v>608</v>
      </c>
      <c r="E74" s="3" t="s">
        <v>608</v>
      </c>
      <c r="F74" s="3" t="s">
        <v>141</v>
      </c>
      <c r="G74" s="3" t="s">
        <v>141</v>
      </c>
      <c r="H74" s="3" t="s">
        <v>142</v>
      </c>
      <c r="I74" s="3" t="s">
        <v>140</v>
      </c>
      <c r="J74" s="3" t="s">
        <v>4</v>
      </c>
      <c r="K74" s="3" t="s">
        <v>699</v>
      </c>
      <c r="L74" s="3" t="s">
        <v>30</v>
      </c>
      <c r="M74" s="3" t="s">
        <v>14</v>
      </c>
      <c r="N74">
        <v>1000000</v>
      </c>
      <c r="O74">
        <v>105.482</v>
      </c>
      <c r="P74">
        <v>43</v>
      </c>
      <c r="Q74">
        <v>-410</v>
      </c>
      <c r="R74">
        <v>41</v>
      </c>
      <c r="S74" s="3" t="s">
        <v>7</v>
      </c>
      <c r="T74">
        <v>356</v>
      </c>
      <c r="U74">
        <v>359</v>
      </c>
      <c r="V74">
        <v>155</v>
      </c>
      <c r="W74">
        <v>0.5</v>
      </c>
      <c r="X74">
        <v>1054820</v>
      </c>
      <c r="Y74" s="3" t="s">
        <v>31</v>
      </c>
      <c r="Z74">
        <v>105.523</v>
      </c>
      <c r="AA74">
        <v>1000000</v>
      </c>
      <c r="AB74" s="3" t="s">
        <v>9</v>
      </c>
      <c r="AC74" s="3" t="s">
        <v>10</v>
      </c>
      <c r="AD74">
        <v>1063409</v>
      </c>
      <c r="AE74">
        <v>1063409</v>
      </c>
      <c r="AF74" s="3" t="s">
        <v>640</v>
      </c>
    </row>
    <row r="75" spans="1:32" x14ac:dyDescent="0.35">
      <c r="A75" s="3" t="s">
        <v>608</v>
      </c>
      <c r="B75" s="3" t="s">
        <v>608</v>
      </c>
      <c r="C75" s="3" t="s">
        <v>608</v>
      </c>
      <c r="D75" s="3" t="s">
        <v>608</v>
      </c>
      <c r="E75" s="3" t="s">
        <v>608</v>
      </c>
      <c r="F75" s="3" t="s">
        <v>968</v>
      </c>
      <c r="G75" s="3" t="s">
        <v>968</v>
      </c>
      <c r="H75" s="3" t="s">
        <v>969</v>
      </c>
      <c r="I75" s="3" t="s">
        <v>364</v>
      </c>
      <c r="J75" s="3" t="s">
        <v>4</v>
      </c>
      <c r="K75" s="3" t="s">
        <v>1188</v>
      </c>
      <c r="L75" s="3" t="s">
        <v>30</v>
      </c>
      <c r="M75" s="3" t="s">
        <v>14</v>
      </c>
      <c r="N75">
        <v>-1400000</v>
      </c>
      <c r="O75">
        <v>104.55800000000001</v>
      </c>
      <c r="P75">
        <v>42</v>
      </c>
      <c r="Q75">
        <v>1988</v>
      </c>
      <c r="R75">
        <v>0</v>
      </c>
      <c r="S75" s="3" t="s">
        <v>7</v>
      </c>
      <c r="T75">
        <v>-533</v>
      </c>
      <c r="U75">
        <v>-538</v>
      </c>
      <c r="V75">
        <v>-224</v>
      </c>
      <c r="W75">
        <v>-0.72</v>
      </c>
      <c r="X75">
        <v>-1463812</v>
      </c>
      <c r="Y75" s="3" t="s">
        <v>31</v>
      </c>
      <c r="Z75">
        <v>0</v>
      </c>
      <c r="AA75">
        <v>0</v>
      </c>
      <c r="AB75" s="3" t="s">
        <v>9</v>
      </c>
      <c r="AC75" s="3" t="s">
        <v>10</v>
      </c>
      <c r="AD75">
        <v>-1468688</v>
      </c>
      <c r="AE75">
        <v>1468688</v>
      </c>
      <c r="AF75" s="3" t="s">
        <v>640</v>
      </c>
    </row>
    <row r="76" spans="1:32" x14ac:dyDescent="0.35">
      <c r="A76" s="3" t="s">
        <v>608</v>
      </c>
      <c r="B76" s="3" t="s">
        <v>608</v>
      </c>
      <c r="C76" s="3" t="s">
        <v>608</v>
      </c>
      <c r="D76" s="3" t="s">
        <v>608</v>
      </c>
      <c r="E76" s="3" t="s">
        <v>608</v>
      </c>
      <c r="F76" s="3" t="s">
        <v>954</v>
      </c>
      <c r="G76" s="3" t="s">
        <v>954</v>
      </c>
      <c r="H76" s="3" t="s">
        <v>955</v>
      </c>
      <c r="I76" s="3" t="s">
        <v>364</v>
      </c>
      <c r="J76" s="3" t="s">
        <v>4</v>
      </c>
      <c r="K76" s="3" t="s">
        <v>640</v>
      </c>
      <c r="L76" s="3" t="s">
        <v>30</v>
      </c>
      <c r="M76" s="3" t="s">
        <v>14</v>
      </c>
      <c r="N76">
        <v>0</v>
      </c>
      <c r="O76">
        <v>100.627</v>
      </c>
      <c r="P76">
        <v>38</v>
      </c>
      <c r="Q76">
        <v>1770</v>
      </c>
      <c r="R76">
        <v>0</v>
      </c>
      <c r="S76" s="3" t="s">
        <v>7</v>
      </c>
      <c r="T76">
        <v>0</v>
      </c>
      <c r="U76">
        <v>0</v>
      </c>
      <c r="V76">
        <v>0</v>
      </c>
      <c r="W76">
        <v>0</v>
      </c>
      <c r="X76">
        <v>0</v>
      </c>
      <c r="Y76" s="3" t="s">
        <v>31</v>
      </c>
      <c r="Z76">
        <v>99.741</v>
      </c>
      <c r="AA76">
        <v>0</v>
      </c>
      <c r="AB76" s="3" t="s">
        <v>9</v>
      </c>
      <c r="AC76" s="3" t="s">
        <v>10</v>
      </c>
      <c r="AD76">
        <v>0</v>
      </c>
      <c r="AE76">
        <v>0</v>
      </c>
      <c r="AF76" s="3" t="s">
        <v>640</v>
      </c>
    </row>
    <row r="77" spans="1:32" x14ac:dyDescent="0.35">
      <c r="A77" s="3" t="s">
        <v>608</v>
      </c>
      <c r="B77" s="3" t="s">
        <v>608</v>
      </c>
      <c r="C77" s="3" t="s">
        <v>608</v>
      </c>
      <c r="D77" s="3" t="s">
        <v>608</v>
      </c>
      <c r="E77" s="3" t="s">
        <v>608</v>
      </c>
      <c r="F77" s="3" t="s">
        <v>984</v>
      </c>
      <c r="G77" s="3" t="s">
        <v>984</v>
      </c>
      <c r="H77" s="3" t="s">
        <v>985</v>
      </c>
      <c r="I77" s="3" t="s">
        <v>986</v>
      </c>
      <c r="J77" s="3" t="s">
        <v>4</v>
      </c>
      <c r="K77" s="3" t="s">
        <v>640</v>
      </c>
      <c r="L77" s="3" t="s">
        <v>30</v>
      </c>
      <c r="M77" s="3" t="s">
        <v>14</v>
      </c>
      <c r="N77">
        <v>0</v>
      </c>
      <c r="O77">
        <v>101.032</v>
      </c>
      <c r="P77">
        <v>51</v>
      </c>
      <c r="Q77">
        <v>2624</v>
      </c>
      <c r="R77">
        <v>0</v>
      </c>
      <c r="S77" s="3" t="s">
        <v>7</v>
      </c>
      <c r="T77">
        <v>0</v>
      </c>
      <c r="U77">
        <v>0</v>
      </c>
      <c r="V77">
        <v>0</v>
      </c>
      <c r="W77">
        <v>0</v>
      </c>
      <c r="X77">
        <v>0</v>
      </c>
      <c r="Y77" s="3" t="s">
        <v>640</v>
      </c>
      <c r="Z77">
        <v>100.02</v>
      </c>
      <c r="AA77">
        <v>0</v>
      </c>
      <c r="AB77" s="3" t="s">
        <v>9</v>
      </c>
      <c r="AC77" s="3" t="s">
        <v>10</v>
      </c>
      <c r="AD77">
        <v>0</v>
      </c>
      <c r="AE77">
        <v>0</v>
      </c>
      <c r="AF77" s="3" t="s">
        <v>640</v>
      </c>
    </row>
    <row r="78" spans="1:32" x14ac:dyDescent="0.35">
      <c r="A78" s="3" t="s">
        <v>608</v>
      </c>
      <c r="B78" s="3" t="s">
        <v>608</v>
      </c>
      <c r="C78" s="3" t="s">
        <v>608</v>
      </c>
      <c r="D78" s="3" t="s">
        <v>608</v>
      </c>
      <c r="E78" s="3" t="s">
        <v>608</v>
      </c>
      <c r="F78" s="3" t="s">
        <v>143</v>
      </c>
      <c r="G78" s="3" t="s">
        <v>143</v>
      </c>
      <c r="H78" s="3" t="s">
        <v>144</v>
      </c>
      <c r="I78" s="3" t="s">
        <v>145</v>
      </c>
      <c r="J78" s="3" t="s">
        <v>4</v>
      </c>
      <c r="K78" s="3" t="s">
        <v>700</v>
      </c>
      <c r="L78" s="3" t="s">
        <v>30</v>
      </c>
      <c r="M78" s="3" t="s">
        <v>14</v>
      </c>
      <c r="N78">
        <v>-3000000</v>
      </c>
      <c r="O78">
        <v>115.28700000000001</v>
      </c>
      <c r="P78">
        <v>72</v>
      </c>
      <c r="Q78">
        <v>4980</v>
      </c>
      <c r="R78">
        <v>-154</v>
      </c>
      <c r="S78" s="3" t="s">
        <v>7</v>
      </c>
      <c r="T78">
        <v>-3604</v>
      </c>
      <c r="U78">
        <v>-3648</v>
      </c>
      <c r="V78">
        <v>-2623</v>
      </c>
      <c r="W78">
        <v>-8.4600000000000009</v>
      </c>
      <c r="X78">
        <v>-3458610</v>
      </c>
      <c r="Y78" s="3" t="s">
        <v>31</v>
      </c>
      <c r="Z78">
        <v>115.453</v>
      </c>
      <c r="AA78">
        <v>-3000000</v>
      </c>
      <c r="AB78" s="3" t="s">
        <v>9</v>
      </c>
      <c r="AC78" s="3" t="s">
        <v>10</v>
      </c>
      <c r="AD78">
        <v>-3491127</v>
      </c>
      <c r="AE78">
        <v>3491127</v>
      </c>
      <c r="AF78" s="3" t="s">
        <v>640</v>
      </c>
    </row>
    <row r="79" spans="1:32" x14ac:dyDescent="0.35">
      <c r="A79" s="3" t="s">
        <v>608</v>
      </c>
      <c r="B79" s="3" t="s">
        <v>608</v>
      </c>
      <c r="C79" s="3" t="s">
        <v>608</v>
      </c>
      <c r="D79" s="3" t="s">
        <v>608</v>
      </c>
      <c r="E79" s="3" t="s">
        <v>608</v>
      </c>
      <c r="F79" s="3" t="s">
        <v>146</v>
      </c>
      <c r="G79" s="3" t="s">
        <v>146</v>
      </c>
      <c r="H79" s="3" t="s">
        <v>147</v>
      </c>
      <c r="I79" s="3" t="s">
        <v>145</v>
      </c>
      <c r="J79" s="3" t="s">
        <v>4</v>
      </c>
      <c r="K79" s="3" t="s">
        <v>701</v>
      </c>
      <c r="L79" s="3" t="s">
        <v>30</v>
      </c>
      <c r="M79" s="3" t="s">
        <v>14</v>
      </c>
      <c r="N79">
        <v>-1535000</v>
      </c>
      <c r="O79">
        <v>108.767</v>
      </c>
      <c r="P79">
        <v>47</v>
      </c>
      <c r="Q79">
        <v>1397</v>
      </c>
      <c r="R79">
        <v>-53</v>
      </c>
      <c r="S79" s="3" t="s">
        <v>7</v>
      </c>
      <c r="T79">
        <v>-1207</v>
      </c>
      <c r="U79">
        <v>-1220</v>
      </c>
      <c r="V79">
        <v>-571</v>
      </c>
      <c r="W79">
        <v>-1.84</v>
      </c>
      <c r="X79">
        <v>-1669573</v>
      </c>
      <c r="Y79" s="3" t="s">
        <v>31</v>
      </c>
      <c r="Z79">
        <v>108.858</v>
      </c>
      <c r="AA79">
        <v>-1535000</v>
      </c>
      <c r="AB79" s="3" t="s">
        <v>9</v>
      </c>
      <c r="AC79" s="3" t="s">
        <v>10</v>
      </c>
      <c r="AD79">
        <v>-1678826</v>
      </c>
      <c r="AE79">
        <v>1678826</v>
      </c>
      <c r="AF79" s="3" t="s">
        <v>640</v>
      </c>
    </row>
    <row r="80" spans="1:32" x14ac:dyDescent="0.35">
      <c r="A80" s="3" t="s">
        <v>608</v>
      </c>
      <c r="B80" s="3" t="s">
        <v>608</v>
      </c>
      <c r="C80" s="3" t="s">
        <v>608</v>
      </c>
      <c r="D80" s="3" t="s">
        <v>608</v>
      </c>
      <c r="E80" s="3" t="s">
        <v>608</v>
      </c>
      <c r="F80" s="3" t="s">
        <v>148</v>
      </c>
      <c r="G80" s="3" t="s">
        <v>148</v>
      </c>
      <c r="H80" s="3" t="s">
        <v>149</v>
      </c>
      <c r="I80" s="3" t="s">
        <v>145</v>
      </c>
      <c r="J80" s="3" t="s">
        <v>4</v>
      </c>
      <c r="K80" s="3" t="s">
        <v>702</v>
      </c>
      <c r="L80" s="3" t="s">
        <v>30</v>
      </c>
      <c r="M80" s="3" t="s">
        <v>14</v>
      </c>
      <c r="N80">
        <v>3000000</v>
      </c>
      <c r="O80">
        <v>114.504</v>
      </c>
      <c r="P80">
        <v>29</v>
      </c>
      <c r="Q80">
        <v>-1350</v>
      </c>
      <c r="R80">
        <v>205</v>
      </c>
      <c r="S80" s="3" t="s">
        <v>7</v>
      </c>
      <c r="T80">
        <v>1764</v>
      </c>
      <c r="U80">
        <v>1781</v>
      </c>
      <c r="V80">
        <v>524</v>
      </c>
      <c r="W80">
        <v>1.69</v>
      </c>
      <c r="X80">
        <v>3435120</v>
      </c>
      <c r="Y80" s="3" t="s">
        <v>31</v>
      </c>
      <c r="Z80">
        <v>114.54900000000001</v>
      </c>
      <c r="AA80">
        <v>3000000</v>
      </c>
      <c r="AB80" s="3" t="s">
        <v>9</v>
      </c>
      <c r="AC80" s="3" t="s">
        <v>10</v>
      </c>
      <c r="AD80">
        <v>3481353</v>
      </c>
      <c r="AE80">
        <v>3481353</v>
      </c>
      <c r="AF80" s="3" t="s">
        <v>640</v>
      </c>
    </row>
    <row r="81" spans="1:32" x14ac:dyDescent="0.35">
      <c r="A81" s="3" t="s">
        <v>608</v>
      </c>
      <c r="B81" s="3" t="s">
        <v>608</v>
      </c>
      <c r="C81" s="3" t="s">
        <v>608</v>
      </c>
      <c r="D81" s="3" t="s">
        <v>608</v>
      </c>
      <c r="E81" s="3" t="s">
        <v>608</v>
      </c>
      <c r="F81" s="3" t="s">
        <v>150</v>
      </c>
      <c r="G81" s="3" t="s">
        <v>150</v>
      </c>
      <c r="H81" s="3" t="s">
        <v>151</v>
      </c>
      <c r="I81" s="3" t="s">
        <v>145</v>
      </c>
      <c r="J81" s="3" t="s">
        <v>4</v>
      </c>
      <c r="K81" s="3" t="s">
        <v>703</v>
      </c>
      <c r="L81" s="3" t="s">
        <v>30</v>
      </c>
      <c r="M81" s="3" t="s">
        <v>14</v>
      </c>
      <c r="N81">
        <v>0</v>
      </c>
      <c r="O81">
        <v>102.605</v>
      </c>
      <c r="P81">
        <v>29</v>
      </c>
      <c r="Q81">
        <v>0</v>
      </c>
      <c r="R81">
        <v>0</v>
      </c>
      <c r="S81" s="3" t="s">
        <v>7</v>
      </c>
      <c r="T81">
        <v>0</v>
      </c>
      <c r="U81">
        <v>0</v>
      </c>
      <c r="V81">
        <v>0</v>
      </c>
      <c r="W81">
        <v>0</v>
      </c>
      <c r="X81">
        <v>0</v>
      </c>
      <c r="Y81" s="3" t="s">
        <v>31</v>
      </c>
      <c r="Z81">
        <v>102.605</v>
      </c>
      <c r="AA81">
        <v>0</v>
      </c>
      <c r="AB81" s="3" t="s">
        <v>9</v>
      </c>
      <c r="AC81" s="3" t="s">
        <v>10</v>
      </c>
      <c r="AD81">
        <v>0</v>
      </c>
      <c r="AE81">
        <v>0</v>
      </c>
      <c r="AF81" s="3" t="s">
        <v>640</v>
      </c>
    </row>
    <row r="82" spans="1:32" x14ac:dyDescent="0.35">
      <c r="A82" s="3" t="s">
        <v>608</v>
      </c>
      <c r="B82" s="3" t="s">
        <v>608</v>
      </c>
      <c r="C82" s="3" t="s">
        <v>608</v>
      </c>
      <c r="D82" s="3" t="s">
        <v>608</v>
      </c>
      <c r="E82" s="3" t="s">
        <v>608</v>
      </c>
      <c r="F82" s="3" t="s">
        <v>888</v>
      </c>
      <c r="G82" s="3" t="s">
        <v>888</v>
      </c>
      <c r="H82" s="3" t="s">
        <v>889</v>
      </c>
      <c r="I82" s="3" t="s">
        <v>890</v>
      </c>
      <c r="J82" s="3" t="s">
        <v>4</v>
      </c>
      <c r="K82" s="3" t="s">
        <v>770</v>
      </c>
      <c r="L82" s="3" t="s">
        <v>30</v>
      </c>
      <c r="M82" s="3" t="s">
        <v>14</v>
      </c>
      <c r="N82">
        <v>-1000000</v>
      </c>
      <c r="O82">
        <v>105.78700000000001</v>
      </c>
      <c r="P82">
        <v>108</v>
      </c>
      <c r="Q82">
        <v>-70</v>
      </c>
      <c r="R82">
        <v>-51</v>
      </c>
      <c r="S82" s="3" t="s">
        <v>7</v>
      </c>
      <c r="T82">
        <v>-465</v>
      </c>
      <c r="U82">
        <v>-469</v>
      </c>
      <c r="V82">
        <v>-509</v>
      </c>
      <c r="W82">
        <v>-1.64</v>
      </c>
      <c r="X82">
        <v>-1057870</v>
      </c>
      <c r="Y82" s="3" t="s">
        <v>31</v>
      </c>
      <c r="Z82">
        <v>105.78</v>
      </c>
      <c r="AA82">
        <v>-1000000</v>
      </c>
      <c r="AB82" s="3" t="s">
        <v>9</v>
      </c>
      <c r="AC82" s="3" t="s">
        <v>10</v>
      </c>
      <c r="AD82">
        <v>-1066089</v>
      </c>
      <c r="AE82">
        <v>1066089</v>
      </c>
      <c r="AF82" s="3" t="s">
        <v>640</v>
      </c>
    </row>
    <row r="83" spans="1:32" x14ac:dyDescent="0.35">
      <c r="A83" s="3" t="s">
        <v>608</v>
      </c>
      <c r="B83" s="3" t="s">
        <v>608</v>
      </c>
      <c r="C83" s="3" t="s">
        <v>608</v>
      </c>
      <c r="D83" s="3" t="s">
        <v>608</v>
      </c>
      <c r="E83" s="3" t="s">
        <v>608</v>
      </c>
      <c r="F83" s="3" t="s">
        <v>153</v>
      </c>
      <c r="G83" s="3" t="s">
        <v>153</v>
      </c>
      <c r="H83" s="3" t="s">
        <v>154</v>
      </c>
      <c r="I83" s="3" t="s">
        <v>152</v>
      </c>
      <c r="J83" s="3" t="s">
        <v>4</v>
      </c>
      <c r="K83" s="3" t="s">
        <v>704</v>
      </c>
      <c r="L83" s="3" t="s">
        <v>30</v>
      </c>
      <c r="M83" s="3" t="s">
        <v>14</v>
      </c>
      <c r="N83">
        <v>2400000</v>
      </c>
      <c r="O83">
        <v>100.301</v>
      </c>
      <c r="P83">
        <v>57</v>
      </c>
      <c r="Q83">
        <v>-744</v>
      </c>
      <c r="R83">
        <v>8</v>
      </c>
      <c r="S83" s="3" t="s">
        <v>7</v>
      </c>
      <c r="T83">
        <v>940</v>
      </c>
      <c r="U83">
        <v>951</v>
      </c>
      <c r="V83">
        <v>539</v>
      </c>
      <c r="W83">
        <v>1.74</v>
      </c>
      <c r="X83">
        <v>2407224</v>
      </c>
      <c r="Y83" s="3" t="s">
        <v>31</v>
      </c>
      <c r="Z83">
        <v>100.33199999999999</v>
      </c>
      <c r="AA83">
        <v>2400000</v>
      </c>
      <c r="AB83" s="3" t="s">
        <v>9</v>
      </c>
      <c r="AC83" s="3" t="s">
        <v>10</v>
      </c>
      <c r="AD83">
        <v>2407471</v>
      </c>
      <c r="AE83">
        <v>2407471</v>
      </c>
      <c r="AF83" s="3" t="s">
        <v>640</v>
      </c>
    </row>
    <row r="84" spans="1:32" x14ac:dyDescent="0.35">
      <c r="A84" s="3" t="s">
        <v>608</v>
      </c>
      <c r="B84" s="3" t="s">
        <v>608</v>
      </c>
      <c r="C84" s="3" t="s">
        <v>608</v>
      </c>
      <c r="D84" s="3" t="s">
        <v>608</v>
      </c>
      <c r="E84" s="3" t="s">
        <v>608</v>
      </c>
      <c r="F84" s="3" t="s">
        <v>155</v>
      </c>
      <c r="G84" s="3" t="s">
        <v>155</v>
      </c>
      <c r="H84" s="3" t="s">
        <v>156</v>
      </c>
      <c r="I84" s="3" t="s">
        <v>157</v>
      </c>
      <c r="J84" s="3" t="s">
        <v>4</v>
      </c>
      <c r="K84" s="3" t="s">
        <v>705</v>
      </c>
      <c r="L84" s="3" t="s">
        <v>30</v>
      </c>
      <c r="M84" s="3" t="s">
        <v>14</v>
      </c>
      <c r="N84">
        <v>5000000</v>
      </c>
      <c r="O84">
        <v>106.65</v>
      </c>
      <c r="P84">
        <v>34</v>
      </c>
      <c r="Q84">
        <v>-4950</v>
      </c>
      <c r="R84">
        <v>137</v>
      </c>
      <c r="S84" s="3" t="s">
        <v>7</v>
      </c>
      <c r="T84">
        <v>3104</v>
      </c>
      <c r="U84">
        <v>3135</v>
      </c>
      <c r="V84">
        <v>1069</v>
      </c>
      <c r="W84">
        <v>3.45</v>
      </c>
      <c r="X84">
        <v>5332500</v>
      </c>
      <c r="Y84" s="3" t="s">
        <v>31</v>
      </c>
      <c r="Z84">
        <v>106.749</v>
      </c>
      <c r="AA84">
        <v>5000000</v>
      </c>
      <c r="AB84" s="3" t="s">
        <v>9</v>
      </c>
      <c r="AC84" s="3" t="s">
        <v>10</v>
      </c>
      <c r="AD84">
        <v>5334692</v>
      </c>
      <c r="AE84">
        <v>5334692</v>
      </c>
      <c r="AF84" s="3" t="s">
        <v>640</v>
      </c>
    </row>
    <row r="85" spans="1:32" x14ac:dyDescent="0.35">
      <c r="A85" s="3" t="s">
        <v>608</v>
      </c>
      <c r="B85" s="3" t="s">
        <v>608</v>
      </c>
      <c r="C85" s="3" t="s">
        <v>608</v>
      </c>
      <c r="D85" s="3" t="s">
        <v>608</v>
      </c>
      <c r="E85" s="3" t="s">
        <v>608</v>
      </c>
      <c r="F85" s="3" t="s">
        <v>158</v>
      </c>
      <c r="G85" s="3" t="s">
        <v>158</v>
      </c>
      <c r="H85" s="3" t="s">
        <v>159</v>
      </c>
      <c r="I85" s="3" t="s">
        <v>157</v>
      </c>
      <c r="J85" s="3" t="s">
        <v>4</v>
      </c>
      <c r="K85" s="3" t="s">
        <v>706</v>
      </c>
      <c r="L85" s="3" t="s">
        <v>30</v>
      </c>
      <c r="M85" s="3" t="s">
        <v>14</v>
      </c>
      <c r="N85">
        <v>2600000</v>
      </c>
      <c r="O85">
        <v>107.032</v>
      </c>
      <c r="P85">
        <v>36</v>
      </c>
      <c r="Q85">
        <v>-1014</v>
      </c>
      <c r="R85">
        <v>116</v>
      </c>
      <c r="S85" s="3" t="s">
        <v>7</v>
      </c>
      <c r="T85">
        <v>1069</v>
      </c>
      <c r="U85">
        <v>1080</v>
      </c>
      <c r="V85">
        <v>388</v>
      </c>
      <c r="W85">
        <v>1.25</v>
      </c>
      <c r="X85">
        <v>2782832</v>
      </c>
      <c r="Y85" s="3" t="s">
        <v>31</v>
      </c>
      <c r="Z85">
        <v>107.071</v>
      </c>
      <c r="AA85">
        <v>2600000</v>
      </c>
      <c r="AB85" s="3" t="s">
        <v>9</v>
      </c>
      <c r="AC85" s="3" t="s">
        <v>10</v>
      </c>
      <c r="AD85">
        <v>2785957</v>
      </c>
      <c r="AE85">
        <v>2785957</v>
      </c>
      <c r="AF85" s="3" t="s">
        <v>640</v>
      </c>
    </row>
    <row r="86" spans="1:32" x14ac:dyDescent="0.35">
      <c r="A86" s="3" t="s">
        <v>608</v>
      </c>
      <c r="B86" s="3" t="s">
        <v>608</v>
      </c>
      <c r="C86" s="3" t="s">
        <v>608</v>
      </c>
      <c r="D86" s="3" t="s">
        <v>608</v>
      </c>
      <c r="E86" s="3" t="s">
        <v>608</v>
      </c>
      <c r="F86" s="3" t="s">
        <v>160</v>
      </c>
      <c r="G86" s="3" t="s">
        <v>160</v>
      </c>
      <c r="H86" s="3" t="s">
        <v>161</v>
      </c>
      <c r="I86" s="3" t="s">
        <v>162</v>
      </c>
      <c r="J86" s="3" t="s">
        <v>4</v>
      </c>
      <c r="K86" s="3" t="s">
        <v>707</v>
      </c>
      <c r="L86" s="3" t="s">
        <v>30</v>
      </c>
      <c r="M86" s="3" t="s">
        <v>14</v>
      </c>
      <c r="N86">
        <v>-2600000</v>
      </c>
      <c r="O86">
        <v>105.56399999999999</v>
      </c>
      <c r="P86">
        <v>162</v>
      </c>
      <c r="Q86">
        <v>3822</v>
      </c>
      <c r="R86">
        <v>-142</v>
      </c>
      <c r="S86" s="3" t="s">
        <v>7</v>
      </c>
      <c r="T86">
        <v>-1950</v>
      </c>
      <c r="U86">
        <v>-1972</v>
      </c>
      <c r="V86">
        <v>-3190</v>
      </c>
      <c r="W86">
        <v>-10.29</v>
      </c>
      <c r="X86">
        <v>-2744664</v>
      </c>
      <c r="Y86" s="3" t="s">
        <v>31</v>
      </c>
      <c r="Z86">
        <v>105.711</v>
      </c>
      <c r="AA86">
        <v>-2600000</v>
      </c>
      <c r="AB86" s="3" t="s">
        <v>9</v>
      </c>
      <c r="AC86" s="3" t="s">
        <v>10</v>
      </c>
      <c r="AD86">
        <v>-2762472</v>
      </c>
      <c r="AE86">
        <v>2762472</v>
      </c>
      <c r="AF86" s="3" t="s">
        <v>640</v>
      </c>
    </row>
    <row r="87" spans="1:32" x14ac:dyDescent="0.35">
      <c r="A87" s="3" t="s">
        <v>608</v>
      </c>
      <c r="B87" s="3" t="s">
        <v>608</v>
      </c>
      <c r="C87" s="3" t="s">
        <v>608</v>
      </c>
      <c r="D87" s="3" t="s">
        <v>608</v>
      </c>
      <c r="E87" s="3" t="s">
        <v>608</v>
      </c>
      <c r="F87" s="3" t="s">
        <v>604</v>
      </c>
      <c r="G87" s="3" t="s">
        <v>604</v>
      </c>
      <c r="H87" s="3" t="s">
        <v>605</v>
      </c>
      <c r="I87" s="3" t="s">
        <v>165</v>
      </c>
      <c r="J87" s="3" t="s">
        <v>4</v>
      </c>
      <c r="K87" s="3" t="s">
        <v>863</v>
      </c>
      <c r="L87" s="3" t="s">
        <v>30</v>
      </c>
      <c r="M87" s="3" t="s">
        <v>14</v>
      </c>
      <c r="N87">
        <v>2200000</v>
      </c>
      <c r="O87">
        <v>100.44499999999999</v>
      </c>
      <c r="P87">
        <v>69</v>
      </c>
      <c r="Q87">
        <v>-3542</v>
      </c>
      <c r="R87">
        <v>32</v>
      </c>
      <c r="S87" s="3" t="s">
        <v>7</v>
      </c>
      <c r="T87">
        <v>2348</v>
      </c>
      <c r="U87">
        <v>2377</v>
      </c>
      <c r="V87">
        <v>1641</v>
      </c>
      <c r="W87">
        <v>5.29</v>
      </c>
      <c r="X87">
        <v>2209790</v>
      </c>
      <c r="Y87" s="3" t="s">
        <v>31</v>
      </c>
      <c r="Z87">
        <v>100.60599999999999</v>
      </c>
      <c r="AA87">
        <v>2200000</v>
      </c>
      <c r="AB87" s="3" t="s">
        <v>9</v>
      </c>
      <c r="AC87" s="3" t="s">
        <v>10</v>
      </c>
      <c r="AD87">
        <v>2210423</v>
      </c>
      <c r="AE87">
        <v>2210423</v>
      </c>
      <c r="AF87" s="3" t="s">
        <v>640</v>
      </c>
    </row>
    <row r="88" spans="1:32" x14ac:dyDescent="0.35">
      <c r="A88" s="3" t="s">
        <v>608</v>
      </c>
      <c r="B88" s="3" t="s">
        <v>608</v>
      </c>
      <c r="C88" s="3" t="s">
        <v>608</v>
      </c>
      <c r="D88" s="3" t="s">
        <v>608</v>
      </c>
      <c r="E88" s="3" t="s">
        <v>608</v>
      </c>
      <c r="F88" s="3" t="s">
        <v>163</v>
      </c>
      <c r="G88" s="3" t="s">
        <v>163</v>
      </c>
      <c r="H88" s="3" t="s">
        <v>164</v>
      </c>
      <c r="I88" s="3" t="s">
        <v>165</v>
      </c>
      <c r="J88" s="3" t="s">
        <v>4</v>
      </c>
      <c r="K88" s="3" t="s">
        <v>708</v>
      </c>
      <c r="L88" s="3" t="s">
        <v>30</v>
      </c>
      <c r="M88" s="3" t="s">
        <v>14</v>
      </c>
      <c r="N88">
        <v>4000000</v>
      </c>
      <c r="O88">
        <v>109.84699999999999</v>
      </c>
      <c r="P88">
        <v>66</v>
      </c>
      <c r="Q88">
        <v>-5760</v>
      </c>
      <c r="R88">
        <v>164</v>
      </c>
      <c r="S88" s="3" t="s">
        <v>7</v>
      </c>
      <c r="T88">
        <v>3499</v>
      </c>
      <c r="U88">
        <v>3538</v>
      </c>
      <c r="V88">
        <v>2344</v>
      </c>
      <c r="W88">
        <v>7.56</v>
      </c>
      <c r="X88">
        <v>4393880</v>
      </c>
      <c r="Y88" s="3" t="s">
        <v>31</v>
      </c>
      <c r="Z88">
        <v>109.991</v>
      </c>
      <c r="AA88">
        <v>4000000</v>
      </c>
      <c r="AB88" s="3" t="s">
        <v>9</v>
      </c>
      <c r="AC88" s="3" t="s">
        <v>10</v>
      </c>
      <c r="AD88">
        <v>4429222</v>
      </c>
      <c r="AE88">
        <v>4429222</v>
      </c>
      <c r="AF88" s="3" t="s">
        <v>640</v>
      </c>
    </row>
    <row r="89" spans="1:32" x14ac:dyDescent="0.35">
      <c r="A89" s="3" t="s">
        <v>608</v>
      </c>
      <c r="B89" s="3" t="s">
        <v>608</v>
      </c>
      <c r="C89" s="3" t="s">
        <v>608</v>
      </c>
      <c r="D89" s="3" t="s">
        <v>608</v>
      </c>
      <c r="E89" s="3" t="s">
        <v>608</v>
      </c>
      <c r="F89" s="3" t="s">
        <v>166</v>
      </c>
      <c r="G89" s="3" t="s">
        <v>166</v>
      </c>
      <c r="H89" s="3" t="s">
        <v>167</v>
      </c>
      <c r="I89" s="3" t="s">
        <v>165</v>
      </c>
      <c r="J89" s="3" t="s">
        <v>4</v>
      </c>
      <c r="K89" s="3" t="s">
        <v>709</v>
      </c>
      <c r="L89" s="3" t="s">
        <v>30</v>
      </c>
      <c r="M89" s="3" t="s">
        <v>14</v>
      </c>
      <c r="N89">
        <v>-2000000</v>
      </c>
      <c r="O89">
        <v>108.11499999999999</v>
      </c>
      <c r="P89">
        <v>56</v>
      </c>
      <c r="Q89">
        <v>1320</v>
      </c>
      <c r="R89">
        <v>-96</v>
      </c>
      <c r="S89" s="3" t="s">
        <v>7</v>
      </c>
      <c r="T89">
        <v>-1015</v>
      </c>
      <c r="U89">
        <v>-1025</v>
      </c>
      <c r="V89">
        <v>-579</v>
      </c>
      <c r="W89">
        <v>-1.87</v>
      </c>
      <c r="X89">
        <v>-2162300</v>
      </c>
      <c r="Y89" s="3" t="s">
        <v>31</v>
      </c>
      <c r="Z89">
        <v>108.181</v>
      </c>
      <c r="AA89">
        <v>-2000000</v>
      </c>
      <c r="AB89" s="3" t="s">
        <v>9</v>
      </c>
      <c r="AC89" s="3" t="s">
        <v>10</v>
      </c>
      <c r="AD89">
        <v>-2167574</v>
      </c>
      <c r="AE89">
        <v>2167574</v>
      </c>
      <c r="AF89" s="3" t="s">
        <v>640</v>
      </c>
    </row>
    <row r="90" spans="1:32" x14ac:dyDescent="0.35">
      <c r="A90" s="3" t="s">
        <v>608</v>
      </c>
      <c r="B90" s="3" t="s">
        <v>608</v>
      </c>
      <c r="C90" s="3" t="s">
        <v>608</v>
      </c>
      <c r="D90" s="3" t="s">
        <v>608</v>
      </c>
      <c r="E90" s="3" t="s">
        <v>608</v>
      </c>
      <c r="F90" s="3" t="s">
        <v>168</v>
      </c>
      <c r="G90" s="3" t="s">
        <v>168</v>
      </c>
      <c r="H90" s="3" t="s">
        <v>169</v>
      </c>
      <c r="I90" s="3" t="s">
        <v>165</v>
      </c>
      <c r="J90" s="3" t="s">
        <v>4</v>
      </c>
      <c r="K90" s="3" t="s">
        <v>710</v>
      </c>
      <c r="L90" s="3" t="s">
        <v>30</v>
      </c>
      <c r="M90" s="3" t="s">
        <v>14</v>
      </c>
      <c r="N90">
        <v>-6800000</v>
      </c>
      <c r="O90">
        <v>104.208</v>
      </c>
      <c r="P90">
        <v>55</v>
      </c>
      <c r="Q90">
        <v>3264</v>
      </c>
      <c r="R90">
        <v>-186</v>
      </c>
      <c r="S90" s="3" t="s">
        <v>7</v>
      </c>
      <c r="T90">
        <v>-3072</v>
      </c>
      <c r="U90">
        <v>-3102</v>
      </c>
      <c r="V90">
        <v>-1702</v>
      </c>
      <c r="W90">
        <v>-5.49</v>
      </c>
      <c r="X90">
        <v>-7086144</v>
      </c>
      <c r="Y90" s="3" t="s">
        <v>31</v>
      </c>
      <c r="Z90">
        <v>104.256</v>
      </c>
      <c r="AA90">
        <v>-6800000</v>
      </c>
      <c r="AB90" s="3" t="s">
        <v>9</v>
      </c>
      <c r="AC90" s="3" t="s">
        <v>10</v>
      </c>
      <c r="AD90">
        <v>-7126199</v>
      </c>
      <c r="AE90">
        <v>7126199</v>
      </c>
      <c r="AF90" s="3" t="s">
        <v>640</v>
      </c>
    </row>
    <row r="91" spans="1:32" x14ac:dyDescent="0.35">
      <c r="A91" s="3" t="s">
        <v>608</v>
      </c>
      <c r="B91" s="3" t="s">
        <v>608</v>
      </c>
      <c r="C91" s="3" t="s">
        <v>608</v>
      </c>
      <c r="D91" s="3" t="s">
        <v>608</v>
      </c>
      <c r="E91" s="3" t="s">
        <v>608</v>
      </c>
      <c r="F91" s="3" t="s">
        <v>170</v>
      </c>
      <c r="G91" s="3" t="s">
        <v>170</v>
      </c>
      <c r="H91" s="3" t="s">
        <v>171</v>
      </c>
      <c r="I91" s="3" t="s">
        <v>172</v>
      </c>
      <c r="J91" s="3" t="s">
        <v>4</v>
      </c>
      <c r="K91" s="3" t="s">
        <v>711</v>
      </c>
      <c r="L91" s="3" t="s">
        <v>30</v>
      </c>
      <c r="M91" s="3" t="s">
        <v>14</v>
      </c>
      <c r="N91">
        <v>9019000</v>
      </c>
      <c r="O91">
        <v>107.42100000000001</v>
      </c>
      <c r="P91">
        <v>58</v>
      </c>
      <c r="Q91">
        <v>-16234</v>
      </c>
      <c r="R91">
        <v>247</v>
      </c>
      <c r="S91" s="3" t="s">
        <v>7</v>
      </c>
      <c r="T91">
        <v>12579</v>
      </c>
      <c r="U91">
        <v>12743</v>
      </c>
      <c r="V91">
        <v>7359</v>
      </c>
      <c r="W91">
        <v>23.74</v>
      </c>
      <c r="X91">
        <v>9688300</v>
      </c>
      <c r="Y91" s="3" t="s">
        <v>31</v>
      </c>
      <c r="Z91">
        <v>107.601</v>
      </c>
      <c r="AA91">
        <v>9019000</v>
      </c>
      <c r="AB91" s="3" t="s">
        <v>9</v>
      </c>
      <c r="AC91" s="3" t="s">
        <v>10</v>
      </c>
      <c r="AD91">
        <v>9701396</v>
      </c>
      <c r="AE91">
        <v>9701396</v>
      </c>
      <c r="AF91" s="3" t="s">
        <v>640</v>
      </c>
    </row>
    <row r="92" spans="1:32" x14ac:dyDescent="0.35">
      <c r="A92" s="3" t="s">
        <v>608</v>
      </c>
      <c r="B92" s="3" t="s">
        <v>608</v>
      </c>
      <c r="C92" s="3" t="s">
        <v>608</v>
      </c>
      <c r="D92" s="3" t="s">
        <v>608</v>
      </c>
      <c r="E92" s="3" t="s">
        <v>608</v>
      </c>
      <c r="F92" s="3" t="s">
        <v>173</v>
      </c>
      <c r="G92" s="3" t="s">
        <v>173</v>
      </c>
      <c r="H92" s="3" t="s">
        <v>174</v>
      </c>
      <c r="I92" s="3" t="s">
        <v>172</v>
      </c>
      <c r="J92" s="3" t="s">
        <v>4</v>
      </c>
      <c r="K92" s="3" t="s">
        <v>712</v>
      </c>
      <c r="L92" s="3" t="s">
        <v>30</v>
      </c>
      <c r="M92" s="3" t="s">
        <v>14</v>
      </c>
      <c r="N92">
        <v>-6000000</v>
      </c>
      <c r="O92">
        <v>106.417</v>
      </c>
      <c r="P92">
        <v>41</v>
      </c>
      <c r="Q92">
        <v>3960</v>
      </c>
      <c r="R92">
        <v>-205</v>
      </c>
      <c r="S92" s="3" t="s">
        <v>7</v>
      </c>
      <c r="T92">
        <v>-3006</v>
      </c>
      <c r="U92">
        <v>-3035</v>
      </c>
      <c r="V92">
        <v>-1252</v>
      </c>
      <c r="W92">
        <v>-4.04</v>
      </c>
      <c r="X92">
        <v>-6385020</v>
      </c>
      <c r="Y92" s="3" t="s">
        <v>31</v>
      </c>
      <c r="Z92">
        <v>106.483</v>
      </c>
      <c r="AA92">
        <v>-6000000</v>
      </c>
      <c r="AB92" s="3" t="s">
        <v>9</v>
      </c>
      <c r="AC92" s="3" t="s">
        <v>10</v>
      </c>
      <c r="AD92">
        <v>-6398993</v>
      </c>
      <c r="AE92">
        <v>6398993</v>
      </c>
      <c r="AF92" s="3" t="s">
        <v>640</v>
      </c>
    </row>
    <row r="93" spans="1:32" x14ac:dyDescent="0.35">
      <c r="A93" s="3" t="s">
        <v>608</v>
      </c>
      <c r="B93" s="3" t="s">
        <v>608</v>
      </c>
      <c r="C93" s="3" t="s">
        <v>608</v>
      </c>
      <c r="D93" s="3" t="s">
        <v>608</v>
      </c>
      <c r="E93" s="3" t="s">
        <v>608</v>
      </c>
      <c r="F93" s="3" t="s">
        <v>175</v>
      </c>
      <c r="G93" s="3" t="s">
        <v>175</v>
      </c>
      <c r="H93" s="3" t="s">
        <v>176</v>
      </c>
      <c r="I93" s="3" t="s">
        <v>177</v>
      </c>
      <c r="J93" s="3" t="s">
        <v>4</v>
      </c>
      <c r="K93" s="3" t="s">
        <v>713</v>
      </c>
      <c r="L93" s="3" t="s">
        <v>30</v>
      </c>
      <c r="M93" s="3" t="s">
        <v>14</v>
      </c>
      <c r="N93">
        <v>-274000</v>
      </c>
      <c r="O93">
        <v>104.477</v>
      </c>
      <c r="P93">
        <v>49</v>
      </c>
      <c r="Q93">
        <v>74</v>
      </c>
      <c r="R93">
        <v>-11</v>
      </c>
      <c r="S93" s="3" t="s">
        <v>7</v>
      </c>
      <c r="T93">
        <v>-81</v>
      </c>
      <c r="U93">
        <v>-82</v>
      </c>
      <c r="V93">
        <v>-40</v>
      </c>
      <c r="W93">
        <v>-0.13</v>
      </c>
      <c r="X93">
        <v>-286267</v>
      </c>
      <c r="Y93" s="3" t="s">
        <v>31</v>
      </c>
      <c r="Z93">
        <v>104.504</v>
      </c>
      <c r="AA93">
        <v>-274000</v>
      </c>
      <c r="AB93" s="3" t="s">
        <v>9</v>
      </c>
      <c r="AC93" s="3" t="s">
        <v>10</v>
      </c>
      <c r="AD93">
        <v>-286762</v>
      </c>
      <c r="AE93">
        <v>286762</v>
      </c>
      <c r="AF93" s="3" t="s">
        <v>640</v>
      </c>
    </row>
    <row r="94" spans="1:32" x14ac:dyDescent="0.35">
      <c r="A94" s="3" t="s">
        <v>608</v>
      </c>
      <c r="B94" s="3" t="s">
        <v>608</v>
      </c>
      <c r="C94" s="3" t="s">
        <v>608</v>
      </c>
      <c r="D94" s="3" t="s">
        <v>608</v>
      </c>
      <c r="E94" s="3" t="s">
        <v>608</v>
      </c>
      <c r="F94" s="3" t="s">
        <v>178</v>
      </c>
      <c r="G94" s="3" t="s">
        <v>178</v>
      </c>
      <c r="H94" s="3" t="s">
        <v>179</v>
      </c>
      <c r="I94" s="3" t="s">
        <v>180</v>
      </c>
      <c r="J94" s="3" t="s">
        <v>4</v>
      </c>
      <c r="K94" s="3" t="s">
        <v>714</v>
      </c>
      <c r="L94" s="3" t="s">
        <v>30</v>
      </c>
      <c r="M94" s="3" t="s">
        <v>14</v>
      </c>
      <c r="N94">
        <v>-1285000</v>
      </c>
      <c r="O94">
        <v>104.761</v>
      </c>
      <c r="P94">
        <v>41</v>
      </c>
      <c r="Q94">
        <v>822</v>
      </c>
      <c r="R94">
        <v>-31</v>
      </c>
      <c r="S94" s="3" t="s">
        <v>7</v>
      </c>
      <c r="T94">
        <v>-658</v>
      </c>
      <c r="U94">
        <v>-665</v>
      </c>
      <c r="V94">
        <v>-271</v>
      </c>
      <c r="W94">
        <v>-0.87</v>
      </c>
      <c r="X94">
        <v>-1346179</v>
      </c>
      <c r="Y94" s="3" t="s">
        <v>31</v>
      </c>
      <c r="Z94">
        <v>104.825</v>
      </c>
      <c r="AA94">
        <v>-1285000</v>
      </c>
      <c r="AB94" s="3" t="s">
        <v>9</v>
      </c>
      <c r="AC94" s="3" t="s">
        <v>10</v>
      </c>
      <c r="AD94">
        <v>-1346518</v>
      </c>
      <c r="AE94">
        <v>1346518</v>
      </c>
      <c r="AF94" s="3" t="s">
        <v>640</v>
      </c>
    </row>
    <row r="95" spans="1:32" x14ac:dyDescent="0.35">
      <c r="A95" s="3" t="s">
        <v>608</v>
      </c>
      <c r="B95" s="3" t="s">
        <v>608</v>
      </c>
      <c r="C95" s="3" t="s">
        <v>608</v>
      </c>
      <c r="D95" s="3" t="s">
        <v>608</v>
      </c>
      <c r="E95" s="3" t="s">
        <v>608</v>
      </c>
      <c r="F95" s="3" t="s">
        <v>181</v>
      </c>
      <c r="G95" s="3" t="s">
        <v>181</v>
      </c>
      <c r="H95" s="3" t="s">
        <v>182</v>
      </c>
      <c r="I95" s="3" t="s">
        <v>183</v>
      </c>
      <c r="J95" s="3" t="s">
        <v>4</v>
      </c>
      <c r="K95" s="3" t="s">
        <v>715</v>
      </c>
      <c r="L95" s="3" t="s">
        <v>30</v>
      </c>
      <c r="M95" s="3" t="s">
        <v>14</v>
      </c>
      <c r="N95">
        <v>2300000</v>
      </c>
      <c r="O95">
        <v>123.452</v>
      </c>
      <c r="P95">
        <v>39</v>
      </c>
      <c r="Q95">
        <v>-5819</v>
      </c>
      <c r="R95">
        <v>126</v>
      </c>
      <c r="S95" s="3" t="s">
        <v>7</v>
      </c>
      <c r="T95">
        <v>3460</v>
      </c>
      <c r="U95">
        <v>3502</v>
      </c>
      <c r="V95">
        <v>1373</v>
      </c>
      <c r="W95">
        <v>4.43</v>
      </c>
      <c r="X95">
        <v>2839396</v>
      </c>
      <c r="Y95" s="3" t="s">
        <v>31</v>
      </c>
      <c r="Z95">
        <v>123.705</v>
      </c>
      <c r="AA95">
        <v>2300000</v>
      </c>
      <c r="AB95" s="3" t="s">
        <v>9</v>
      </c>
      <c r="AC95" s="3" t="s">
        <v>10</v>
      </c>
      <c r="AD95">
        <v>2858552</v>
      </c>
      <c r="AE95">
        <v>2858552</v>
      </c>
      <c r="AF95" s="3" t="s">
        <v>640</v>
      </c>
    </row>
    <row r="96" spans="1:32" x14ac:dyDescent="0.35">
      <c r="A96" s="3" t="s">
        <v>608</v>
      </c>
      <c r="B96" s="3" t="s">
        <v>608</v>
      </c>
      <c r="C96" s="3" t="s">
        <v>608</v>
      </c>
      <c r="D96" s="3" t="s">
        <v>608</v>
      </c>
      <c r="E96" s="3" t="s">
        <v>608</v>
      </c>
      <c r="F96" s="3" t="s">
        <v>184</v>
      </c>
      <c r="G96" s="3" t="s">
        <v>184</v>
      </c>
      <c r="H96" s="3" t="s">
        <v>185</v>
      </c>
      <c r="I96" s="3" t="s">
        <v>186</v>
      </c>
      <c r="J96" s="3" t="s">
        <v>4</v>
      </c>
      <c r="K96" s="3" t="s">
        <v>716</v>
      </c>
      <c r="L96" s="3" t="s">
        <v>30</v>
      </c>
      <c r="M96" s="3" t="s">
        <v>14</v>
      </c>
      <c r="N96">
        <v>-3400000</v>
      </c>
      <c r="O96">
        <v>117.83</v>
      </c>
      <c r="P96">
        <v>62</v>
      </c>
      <c r="Q96">
        <v>4658</v>
      </c>
      <c r="R96">
        <v>-186</v>
      </c>
      <c r="S96" s="3" t="s">
        <v>7</v>
      </c>
      <c r="T96">
        <v>-4163</v>
      </c>
      <c r="U96">
        <v>-4213</v>
      </c>
      <c r="V96">
        <v>-2610</v>
      </c>
      <c r="W96">
        <v>-8.42</v>
      </c>
      <c r="X96">
        <v>-4006220</v>
      </c>
      <c r="Y96" s="3" t="s">
        <v>31</v>
      </c>
      <c r="Z96">
        <v>117.967</v>
      </c>
      <c r="AA96">
        <v>-3400000</v>
      </c>
      <c r="AB96" s="3" t="s">
        <v>9</v>
      </c>
      <c r="AC96" s="3" t="s">
        <v>10</v>
      </c>
      <c r="AD96">
        <v>-4045226</v>
      </c>
      <c r="AE96">
        <v>4045226</v>
      </c>
      <c r="AF96" s="3" t="s">
        <v>640</v>
      </c>
    </row>
    <row r="97" spans="1:32" x14ac:dyDescent="0.35">
      <c r="A97" s="3" t="s">
        <v>608</v>
      </c>
      <c r="B97" s="3" t="s">
        <v>608</v>
      </c>
      <c r="C97" s="3" t="s">
        <v>608</v>
      </c>
      <c r="D97" s="3" t="s">
        <v>608</v>
      </c>
      <c r="E97" s="3" t="s">
        <v>608</v>
      </c>
      <c r="F97" s="3" t="s">
        <v>187</v>
      </c>
      <c r="G97" s="3" t="s">
        <v>187</v>
      </c>
      <c r="H97" s="3" t="s">
        <v>188</v>
      </c>
      <c r="I97" s="3" t="s">
        <v>186</v>
      </c>
      <c r="J97" s="3" t="s">
        <v>4</v>
      </c>
      <c r="K97" s="3" t="s">
        <v>717</v>
      </c>
      <c r="L97" s="3" t="s">
        <v>30</v>
      </c>
      <c r="M97" s="3" t="s">
        <v>14</v>
      </c>
      <c r="N97">
        <v>1000000</v>
      </c>
      <c r="O97">
        <v>105.01</v>
      </c>
      <c r="P97">
        <v>42</v>
      </c>
      <c r="Q97">
        <v>-1070</v>
      </c>
      <c r="R97">
        <v>19</v>
      </c>
      <c r="S97" s="3" t="s">
        <v>7</v>
      </c>
      <c r="T97">
        <v>777</v>
      </c>
      <c r="U97">
        <v>786</v>
      </c>
      <c r="V97">
        <v>328</v>
      </c>
      <c r="W97">
        <v>1.06</v>
      </c>
      <c r="X97">
        <v>1050100</v>
      </c>
      <c r="Y97" s="3" t="s">
        <v>31</v>
      </c>
      <c r="Z97">
        <v>105.117</v>
      </c>
      <c r="AA97">
        <v>1000000</v>
      </c>
      <c r="AB97" s="3" t="s">
        <v>9</v>
      </c>
      <c r="AC97" s="3" t="s">
        <v>10</v>
      </c>
      <c r="AD97">
        <v>1053094</v>
      </c>
      <c r="AE97">
        <v>1053094</v>
      </c>
      <c r="AF97" s="3" t="s">
        <v>640</v>
      </c>
    </row>
    <row r="98" spans="1:32" x14ac:dyDescent="0.35">
      <c r="A98" s="3" t="s">
        <v>608</v>
      </c>
      <c r="B98" s="3" t="s">
        <v>608</v>
      </c>
      <c r="C98" s="3" t="s">
        <v>608</v>
      </c>
      <c r="D98" s="3" t="s">
        <v>608</v>
      </c>
      <c r="E98" s="3" t="s">
        <v>608</v>
      </c>
      <c r="F98" s="3" t="s">
        <v>189</v>
      </c>
      <c r="G98" s="3" t="s">
        <v>189</v>
      </c>
      <c r="H98" s="3" t="s">
        <v>190</v>
      </c>
      <c r="I98" s="3" t="s">
        <v>186</v>
      </c>
      <c r="J98" s="3" t="s">
        <v>4</v>
      </c>
      <c r="K98" s="3" t="s">
        <v>718</v>
      </c>
      <c r="L98" s="3" t="s">
        <v>30</v>
      </c>
      <c r="M98" s="3" t="s">
        <v>14</v>
      </c>
      <c r="N98">
        <v>2000000</v>
      </c>
      <c r="O98">
        <v>109.426</v>
      </c>
      <c r="P98">
        <v>46</v>
      </c>
      <c r="Q98">
        <v>-1120</v>
      </c>
      <c r="R98">
        <v>82</v>
      </c>
      <c r="S98" s="3" t="s">
        <v>7</v>
      </c>
      <c r="T98">
        <v>1354</v>
      </c>
      <c r="U98">
        <v>1367</v>
      </c>
      <c r="V98">
        <v>624</v>
      </c>
      <c r="W98">
        <v>2.0099999999999998</v>
      </c>
      <c r="X98">
        <v>2188520</v>
      </c>
      <c r="Y98" s="3" t="s">
        <v>31</v>
      </c>
      <c r="Z98">
        <v>109.482</v>
      </c>
      <c r="AA98">
        <v>2000000</v>
      </c>
      <c r="AB98" s="3" t="s">
        <v>9</v>
      </c>
      <c r="AC98" s="3" t="s">
        <v>10</v>
      </c>
      <c r="AD98">
        <v>2205677</v>
      </c>
      <c r="AE98">
        <v>2205677</v>
      </c>
      <c r="AF98" s="3" t="s">
        <v>640</v>
      </c>
    </row>
    <row r="99" spans="1:32" x14ac:dyDescent="0.35">
      <c r="A99" s="3" t="s">
        <v>608</v>
      </c>
      <c r="B99" s="3" t="s">
        <v>608</v>
      </c>
      <c r="C99" s="3" t="s">
        <v>608</v>
      </c>
      <c r="D99" s="3" t="s">
        <v>608</v>
      </c>
      <c r="E99" s="3" t="s">
        <v>608</v>
      </c>
      <c r="F99" s="3" t="s">
        <v>191</v>
      </c>
      <c r="G99" s="3" t="s">
        <v>191</v>
      </c>
      <c r="H99" s="3" t="s">
        <v>192</v>
      </c>
      <c r="I99" s="3" t="s">
        <v>186</v>
      </c>
      <c r="J99" s="3" t="s">
        <v>4</v>
      </c>
      <c r="K99" s="3" t="s">
        <v>719</v>
      </c>
      <c r="L99" s="3" t="s">
        <v>30</v>
      </c>
      <c r="M99" s="3" t="s">
        <v>14</v>
      </c>
      <c r="N99">
        <v>600000</v>
      </c>
      <c r="O99">
        <v>106.973</v>
      </c>
      <c r="P99">
        <v>36</v>
      </c>
      <c r="Q99">
        <v>-414</v>
      </c>
      <c r="R99">
        <v>42</v>
      </c>
      <c r="S99" s="3" t="s">
        <v>7</v>
      </c>
      <c r="T99">
        <v>396</v>
      </c>
      <c r="U99">
        <v>400</v>
      </c>
      <c r="V99">
        <v>145</v>
      </c>
      <c r="W99">
        <v>0.47</v>
      </c>
      <c r="X99">
        <v>641838</v>
      </c>
      <c r="Y99" s="3" t="s">
        <v>31</v>
      </c>
      <c r="Z99">
        <v>107.042</v>
      </c>
      <c r="AA99">
        <v>600000</v>
      </c>
      <c r="AB99" s="3" t="s">
        <v>9</v>
      </c>
      <c r="AC99" s="3" t="s">
        <v>10</v>
      </c>
      <c r="AD99">
        <v>645958</v>
      </c>
      <c r="AE99">
        <v>645958</v>
      </c>
      <c r="AF99" s="3" t="s">
        <v>640</v>
      </c>
    </row>
    <row r="100" spans="1:32" x14ac:dyDescent="0.35">
      <c r="A100" s="3" t="s">
        <v>608</v>
      </c>
      <c r="B100" s="3" t="s">
        <v>608</v>
      </c>
      <c r="C100" s="3" t="s">
        <v>608</v>
      </c>
      <c r="D100" s="3" t="s">
        <v>608</v>
      </c>
      <c r="E100" s="3" t="s">
        <v>608</v>
      </c>
      <c r="F100" s="3" t="s">
        <v>193</v>
      </c>
      <c r="G100" s="3" t="s">
        <v>193</v>
      </c>
      <c r="H100" s="3" t="s">
        <v>194</v>
      </c>
      <c r="I100" s="3" t="s">
        <v>186</v>
      </c>
      <c r="J100" s="3" t="s">
        <v>4</v>
      </c>
      <c r="K100" s="3" t="s">
        <v>720</v>
      </c>
      <c r="L100" s="3" t="s">
        <v>30</v>
      </c>
      <c r="M100" s="3" t="s">
        <v>14</v>
      </c>
      <c r="N100">
        <v>-900000</v>
      </c>
      <c r="O100">
        <v>114.755</v>
      </c>
      <c r="P100">
        <v>25</v>
      </c>
      <c r="Q100">
        <v>378</v>
      </c>
      <c r="R100">
        <v>-62</v>
      </c>
      <c r="S100" s="3" t="s">
        <v>7</v>
      </c>
      <c r="T100">
        <v>-531</v>
      </c>
      <c r="U100">
        <v>-536</v>
      </c>
      <c r="V100">
        <v>-136</v>
      </c>
      <c r="W100">
        <v>-0.44</v>
      </c>
      <c r="X100">
        <v>-1032795</v>
      </c>
      <c r="Y100" s="3" t="s">
        <v>31</v>
      </c>
      <c r="Z100">
        <v>114.797</v>
      </c>
      <c r="AA100">
        <v>-900000</v>
      </c>
      <c r="AB100" s="3" t="s">
        <v>9</v>
      </c>
      <c r="AC100" s="3" t="s">
        <v>10</v>
      </c>
      <c r="AD100">
        <v>-1046603</v>
      </c>
      <c r="AE100">
        <v>1046603</v>
      </c>
      <c r="AF100" s="3" t="s">
        <v>640</v>
      </c>
    </row>
    <row r="101" spans="1:32" x14ac:dyDescent="0.35">
      <c r="A101" s="3" t="s">
        <v>608</v>
      </c>
      <c r="B101" s="3" t="s">
        <v>608</v>
      </c>
      <c r="C101" s="3" t="s">
        <v>608</v>
      </c>
      <c r="D101" s="3" t="s">
        <v>608</v>
      </c>
      <c r="E101" s="3" t="s">
        <v>608</v>
      </c>
      <c r="F101" s="3" t="s">
        <v>195</v>
      </c>
      <c r="G101" s="3" t="s">
        <v>195</v>
      </c>
      <c r="H101" s="3" t="s">
        <v>196</v>
      </c>
      <c r="I101" s="3" t="s">
        <v>186</v>
      </c>
      <c r="J101" s="3" t="s">
        <v>4</v>
      </c>
      <c r="K101" s="3" t="s">
        <v>721</v>
      </c>
      <c r="L101" s="3" t="s">
        <v>30</v>
      </c>
      <c r="M101" s="3" t="s">
        <v>14</v>
      </c>
      <c r="N101">
        <v>1500000</v>
      </c>
      <c r="O101">
        <v>107.25700000000001</v>
      </c>
      <c r="P101">
        <v>23</v>
      </c>
      <c r="Q101">
        <v>-795</v>
      </c>
      <c r="R101">
        <v>57</v>
      </c>
      <c r="S101" s="3" t="s">
        <v>7</v>
      </c>
      <c r="T101">
        <v>689</v>
      </c>
      <c r="U101">
        <v>696</v>
      </c>
      <c r="V101">
        <v>161</v>
      </c>
      <c r="W101">
        <v>0.52</v>
      </c>
      <c r="X101">
        <v>1608855</v>
      </c>
      <c r="Y101" s="3" t="s">
        <v>31</v>
      </c>
      <c r="Z101">
        <v>107.31</v>
      </c>
      <c r="AA101">
        <v>1500000</v>
      </c>
      <c r="AB101" s="3" t="s">
        <v>9</v>
      </c>
      <c r="AC101" s="3" t="s">
        <v>10</v>
      </c>
      <c r="AD101">
        <v>1621852</v>
      </c>
      <c r="AE101">
        <v>1621852</v>
      </c>
      <c r="AF101" s="3" t="s">
        <v>640</v>
      </c>
    </row>
    <row r="102" spans="1:32" x14ac:dyDescent="0.35">
      <c r="A102" s="3" t="s">
        <v>608</v>
      </c>
      <c r="B102" s="3" t="s">
        <v>608</v>
      </c>
      <c r="C102" s="3" t="s">
        <v>608</v>
      </c>
      <c r="D102" s="3" t="s">
        <v>608</v>
      </c>
      <c r="E102" s="3" t="s">
        <v>608</v>
      </c>
      <c r="F102" s="3" t="s">
        <v>197</v>
      </c>
      <c r="G102" s="3" t="s">
        <v>197</v>
      </c>
      <c r="H102" s="3" t="s">
        <v>198</v>
      </c>
      <c r="I102" s="3" t="s">
        <v>199</v>
      </c>
      <c r="J102" s="3" t="s">
        <v>4</v>
      </c>
      <c r="K102" s="3" t="s">
        <v>722</v>
      </c>
      <c r="L102" s="3" t="s">
        <v>30</v>
      </c>
      <c r="M102" s="3" t="s">
        <v>14</v>
      </c>
      <c r="N102">
        <v>-1000000</v>
      </c>
      <c r="O102">
        <v>104.761</v>
      </c>
      <c r="P102">
        <v>54</v>
      </c>
      <c r="Q102">
        <v>1650</v>
      </c>
      <c r="R102">
        <v>-21</v>
      </c>
      <c r="S102" s="3" t="s">
        <v>7</v>
      </c>
      <c r="T102">
        <v>-1177</v>
      </c>
      <c r="U102">
        <v>-1193</v>
      </c>
      <c r="V102">
        <v>-642</v>
      </c>
      <c r="W102">
        <v>-2.0699999999999998</v>
      </c>
      <c r="X102">
        <v>-1047610</v>
      </c>
      <c r="Y102" s="3" t="s">
        <v>31</v>
      </c>
      <c r="Z102">
        <v>104.926</v>
      </c>
      <c r="AA102">
        <v>-1000000</v>
      </c>
      <c r="AB102" s="3" t="s">
        <v>9</v>
      </c>
      <c r="AC102" s="3" t="s">
        <v>10</v>
      </c>
      <c r="AD102">
        <v>-1049726</v>
      </c>
      <c r="AE102">
        <v>1049726</v>
      </c>
      <c r="AF102" s="3" t="s">
        <v>640</v>
      </c>
    </row>
    <row r="103" spans="1:32" x14ac:dyDescent="0.35">
      <c r="A103" s="3" t="s">
        <v>608</v>
      </c>
      <c r="B103" s="3" t="s">
        <v>608</v>
      </c>
      <c r="C103" s="3" t="s">
        <v>608</v>
      </c>
      <c r="D103" s="3" t="s">
        <v>608</v>
      </c>
      <c r="E103" s="3" t="s">
        <v>608</v>
      </c>
      <c r="F103" s="3" t="s">
        <v>200</v>
      </c>
      <c r="G103" s="3" t="s">
        <v>200</v>
      </c>
      <c r="H103" s="3" t="s">
        <v>201</v>
      </c>
      <c r="I103" s="3" t="s">
        <v>202</v>
      </c>
      <c r="J103" s="3" t="s">
        <v>4</v>
      </c>
      <c r="K103" s="3" t="s">
        <v>723</v>
      </c>
      <c r="L103" s="3" t="s">
        <v>30</v>
      </c>
      <c r="M103" s="3" t="s">
        <v>14</v>
      </c>
      <c r="N103">
        <v>3400000</v>
      </c>
      <c r="O103">
        <v>101.17</v>
      </c>
      <c r="P103">
        <v>54</v>
      </c>
      <c r="Q103">
        <v>-6370</v>
      </c>
      <c r="R103">
        <v>48</v>
      </c>
      <c r="S103" s="3" t="s">
        <v>7</v>
      </c>
      <c r="T103">
        <v>4596</v>
      </c>
      <c r="U103">
        <v>4659</v>
      </c>
      <c r="V103">
        <v>2507</v>
      </c>
      <c r="W103">
        <v>8.09</v>
      </c>
      <c r="X103">
        <v>3439780</v>
      </c>
      <c r="Y103" s="3" t="s">
        <v>31</v>
      </c>
      <c r="Z103">
        <v>101.36499999999999</v>
      </c>
      <c r="AA103">
        <v>3500000</v>
      </c>
      <c r="AB103" s="3" t="s">
        <v>9</v>
      </c>
      <c r="AC103" s="3" t="s">
        <v>10</v>
      </c>
      <c r="AD103">
        <v>3442340</v>
      </c>
      <c r="AE103">
        <v>3442340</v>
      </c>
      <c r="AF103" s="3" t="s">
        <v>640</v>
      </c>
    </row>
    <row r="104" spans="1:32" x14ac:dyDescent="0.35">
      <c r="A104" s="3" t="s">
        <v>608</v>
      </c>
      <c r="B104" s="3" t="s">
        <v>608</v>
      </c>
      <c r="C104" s="3" t="s">
        <v>608</v>
      </c>
      <c r="D104" s="3" t="s">
        <v>608</v>
      </c>
      <c r="E104" s="3" t="s">
        <v>608</v>
      </c>
      <c r="F104" s="3" t="s">
        <v>203</v>
      </c>
      <c r="G104" s="3" t="s">
        <v>203</v>
      </c>
      <c r="H104" s="3" t="s">
        <v>204</v>
      </c>
      <c r="I104" s="3" t="s">
        <v>202</v>
      </c>
      <c r="J104" s="3" t="s">
        <v>4</v>
      </c>
      <c r="K104" s="3" t="s">
        <v>724</v>
      </c>
      <c r="L104" s="3" t="s">
        <v>30</v>
      </c>
      <c r="M104" s="3" t="s">
        <v>14</v>
      </c>
      <c r="N104">
        <v>0</v>
      </c>
      <c r="O104">
        <v>100.78400000000001</v>
      </c>
      <c r="P104">
        <v>37</v>
      </c>
      <c r="Q104">
        <v>-456</v>
      </c>
      <c r="R104">
        <v>1</v>
      </c>
      <c r="S104" s="3" t="s">
        <v>7</v>
      </c>
      <c r="T104">
        <v>0</v>
      </c>
      <c r="U104">
        <v>0</v>
      </c>
      <c r="V104">
        <v>0</v>
      </c>
      <c r="W104">
        <v>0</v>
      </c>
      <c r="X104">
        <v>0</v>
      </c>
      <c r="Y104" s="3" t="s">
        <v>31</v>
      </c>
      <c r="Z104">
        <v>101.012</v>
      </c>
      <c r="AA104">
        <v>200000</v>
      </c>
      <c r="AB104" s="3" t="s">
        <v>9</v>
      </c>
      <c r="AC104" s="3" t="s">
        <v>10</v>
      </c>
      <c r="AD104">
        <v>-1</v>
      </c>
      <c r="AE104">
        <v>1</v>
      </c>
      <c r="AF104" s="3" t="s">
        <v>640</v>
      </c>
    </row>
    <row r="105" spans="1:32" x14ac:dyDescent="0.35">
      <c r="A105" s="3" t="s">
        <v>608</v>
      </c>
      <c r="B105" s="3" t="s">
        <v>608</v>
      </c>
      <c r="C105" s="3" t="s">
        <v>608</v>
      </c>
      <c r="D105" s="3" t="s">
        <v>608</v>
      </c>
      <c r="E105" s="3" t="s">
        <v>608</v>
      </c>
      <c r="F105" s="3" t="s">
        <v>205</v>
      </c>
      <c r="G105" s="3" t="s">
        <v>205</v>
      </c>
      <c r="H105" s="3" t="s">
        <v>206</v>
      </c>
      <c r="I105" s="3" t="s">
        <v>202</v>
      </c>
      <c r="J105" s="3" t="s">
        <v>4</v>
      </c>
      <c r="K105" s="3" t="s">
        <v>725</v>
      </c>
      <c r="L105" s="3" t="s">
        <v>30</v>
      </c>
      <c r="M105" s="3" t="s">
        <v>14</v>
      </c>
      <c r="N105">
        <v>-4000000</v>
      </c>
      <c r="O105">
        <v>111.96599999999999</v>
      </c>
      <c r="P105">
        <v>36</v>
      </c>
      <c r="Q105">
        <v>6120</v>
      </c>
      <c r="R105">
        <v>-164</v>
      </c>
      <c r="S105" s="3" t="s">
        <v>7</v>
      </c>
      <c r="T105">
        <v>-3370</v>
      </c>
      <c r="U105">
        <v>-3408</v>
      </c>
      <c r="V105">
        <v>-1221</v>
      </c>
      <c r="W105">
        <v>-3.94</v>
      </c>
      <c r="X105">
        <v>-4478640</v>
      </c>
      <c r="Y105" s="3" t="s">
        <v>31</v>
      </c>
      <c r="Z105">
        <v>112.119</v>
      </c>
      <c r="AA105">
        <v>-4000000</v>
      </c>
      <c r="AB105" s="3" t="s">
        <v>9</v>
      </c>
      <c r="AC105" s="3" t="s">
        <v>10</v>
      </c>
      <c r="AD105">
        <v>-4485215</v>
      </c>
      <c r="AE105">
        <v>4485215</v>
      </c>
      <c r="AF105" s="3" t="s">
        <v>640</v>
      </c>
    </row>
    <row r="106" spans="1:32" x14ac:dyDescent="0.35">
      <c r="A106" s="3" t="s">
        <v>608</v>
      </c>
      <c r="B106" s="3" t="s">
        <v>608</v>
      </c>
      <c r="C106" s="3" t="s">
        <v>608</v>
      </c>
      <c r="D106" s="3" t="s">
        <v>608</v>
      </c>
      <c r="E106" s="3" t="s">
        <v>608</v>
      </c>
      <c r="F106" s="3" t="s">
        <v>594</v>
      </c>
      <c r="G106" s="3" t="s">
        <v>594</v>
      </c>
      <c r="H106" s="3" t="s">
        <v>595</v>
      </c>
      <c r="I106" s="3" t="s">
        <v>209</v>
      </c>
      <c r="J106" s="3" t="s">
        <v>4</v>
      </c>
      <c r="K106" s="3" t="s">
        <v>726</v>
      </c>
      <c r="L106" s="3" t="s">
        <v>30</v>
      </c>
      <c r="M106" s="3" t="s">
        <v>14</v>
      </c>
      <c r="N106">
        <v>600000</v>
      </c>
      <c r="O106">
        <v>168.94300000000001</v>
      </c>
      <c r="P106">
        <v>81</v>
      </c>
      <c r="Q106">
        <v>-1932</v>
      </c>
      <c r="R106">
        <v>100</v>
      </c>
      <c r="S106" s="3" t="s">
        <v>7</v>
      </c>
      <c r="T106">
        <v>1036</v>
      </c>
      <c r="U106">
        <v>1047</v>
      </c>
      <c r="V106">
        <v>849</v>
      </c>
      <c r="W106">
        <v>2.74</v>
      </c>
      <c r="X106">
        <v>1013658</v>
      </c>
      <c r="Y106" s="3" t="s">
        <v>31</v>
      </c>
      <c r="Z106">
        <v>169.26499999999999</v>
      </c>
      <c r="AA106">
        <v>600000</v>
      </c>
      <c r="AB106" s="3" t="s">
        <v>9</v>
      </c>
      <c r="AC106" s="3" t="s">
        <v>10</v>
      </c>
      <c r="AD106">
        <v>1048299</v>
      </c>
      <c r="AE106">
        <v>1048299</v>
      </c>
      <c r="AF106" s="3" t="s">
        <v>640</v>
      </c>
    </row>
    <row r="107" spans="1:32" x14ac:dyDescent="0.35">
      <c r="A107" s="3" t="s">
        <v>608</v>
      </c>
      <c r="B107" s="3" t="s">
        <v>608</v>
      </c>
      <c r="C107" s="3" t="s">
        <v>608</v>
      </c>
      <c r="D107" s="3" t="s">
        <v>608</v>
      </c>
      <c r="E107" s="3" t="s">
        <v>608</v>
      </c>
      <c r="F107" s="3" t="s">
        <v>207</v>
      </c>
      <c r="G107" s="3" t="s">
        <v>207</v>
      </c>
      <c r="H107" s="3" t="s">
        <v>208</v>
      </c>
      <c r="I107" s="3" t="s">
        <v>209</v>
      </c>
      <c r="J107" s="3" t="s">
        <v>4</v>
      </c>
      <c r="K107" s="3" t="s">
        <v>727</v>
      </c>
      <c r="L107" s="3" t="s">
        <v>30</v>
      </c>
      <c r="M107" s="3" t="s">
        <v>14</v>
      </c>
      <c r="N107">
        <v>-2300000</v>
      </c>
      <c r="O107">
        <v>107.76</v>
      </c>
      <c r="P107">
        <v>59</v>
      </c>
      <c r="Q107">
        <v>2898</v>
      </c>
      <c r="R107">
        <v>-79</v>
      </c>
      <c r="S107" s="3" t="s">
        <v>7</v>
      </c>
      <c r="T107">
        <v>-1773</v>
      </c>
      <c r="U107">
        <v>-1793</v>
      </c>
      <c r="V107">
        <v>-1057</v>
      </c>
      <c r="W107">
        <v>-3.41</v>
      </c>
      <c r="X107">
        <v>-2478480</v>
      </c>
      <c r="Y107" s="3" t="s">
        <v>31</v>
      </c>
      <c r="Z107">
        <v>107.886</v>
      </c>
      <c r="AA107">
        <v>-2300000</v>
      </c>
      <c r="AB107" s="3" t="s">
        <v>9</v>
      </c>
      <c r="AC107" s="3" t="s">
        <v>10</v>
      </c>
      <c r="AD107">
        <v>-2494470</v>
      </c>
      <c r="AE107">
        <v>2494470</v>
      </c>
      <c r="AF107" s="3" t="s">
        <v>640</v>
      </c>
    </row>
    <row r="108" spans="1:32" x14ac:dyDescent="0.35">
      <c r="A108" s="3" t="s">
        <v>608</v>
      </c>
      <c r="B108" s="3" t="s">
        <v>608</v>
      </c>
      <c r="C108" s="3" t="s">
        <v>608</v>
      </c>
      <c r="D108" s="3" t="s">
        <v>608</v>
      </c>
      <c r="E108" s="3" t="s">
        <v>608</v>
      </c>
      <c r="F108" s="3" t="s">
        <v>210</v>
      </c>
      <c r="G108" s="3" t="s">
        <v>210</v>
      </c>
      <c r="H108" s="3" t="s">
        <v>211</v>
      </c>
      <c r="I108" s="3" t="s">
        <v>209</v>
      </c>
      <c r="J108" s="3" t="s">
        <v>4</v>
      </c>
      <c r="K108" s="3" t="s">
        <v>728</v>
      </c>
      <c r="L108" s="3" t="s">
        <v>30</v>
      </c>
      <c r="M108" s="3" t="s">
        <v>14</v>
      </c>
      <c r="N108">
        <v>600000</v>
      </c>
      <c r="O108">
        <v>128.98500000000001</v>
      </c>
      <c r="P108">
        <v>52</v>
      </c>
      <c r="Q108">
        <v>-522</v>
      </c>
      <c r="R108">
        <v>76</v>
      </c>
      <c r="S108" s="3" t="s">
        <v>7</v>
      </c>
      <c r="T108">
        <v>447</v>
      </c>
      <c r="U108">
        <v>452</v>
      </c>
      <c r="V108">
        <v>235</v>
      </c>
      <c r="W108">
        <v>0.76</v>
      </c>
      <c r="X108">
        <v>773910</v>
      </c>
      <c r="Y108" s="3" t="s">
        <v>31</v>
      </c>
      <c r="Z108">
        <v>129.072</v>
      </c>
      <c r="AA108">
        <v>600000</v>
      </c>
      <c r="AB108" s="3" t="s">
        <v>9</v>
      </c>
      <c r="AC108" s="3" t="s">
        <v>10</v>
      </c>
      <c r="AD108">
        <v>790560</v>
      </c>
      <c r="AE108">
        <v>790560</v>
      </c>
      <c r="AF108" s="3" t="s">
        <v>640</v>
      </c>
    </row>
    <row r="109" spans="1:32" x14ac:dyDescent="0.35">
      <c r="A109" s="3" t="s">
        <v>608</v>
      </c>
      <c r="B109" s="3" t="s">
        <v>608</v>
      </c>
      <c r="C109" s="3" t="s">
        <v>608</v>
      </c>
      <c r="D109" s="3" t="s">
        <v>608</v>
      </c>
      <c r="E109" s="3" t="s">
        <v>608</v>
      </c>
      <c r="F109" s="3" t="s">
        <v>212</v>
      </c>
      <c r="G109" s="3" t="s">
        <v>212</v>
      </c>
      <c r="H109" s="3" t="s">
        <v>213</v>
      </c>
      <c r="I109" s="3" t="s">
        <v>209</v>
      </c>
      <c r="J109" s="3" t="s">
        <v>4</v>
      </c>
      <c r="K109" s="3" t="s">
        <v>729</v>
      </c>
      <c r="L109" s="3" t="s">
        <v>30</v>
      </c>
      <c r="M109" s="3" t="s">
        <v>14</v>
      </c>
      <c r="N109">
        <v>-2000000</v>
      </c>
      <c r="O109">
        <v>108.992</v>
      </c>
      <c r="P109">
        <v>46</v>
      </c>
      <c r="Q109">
        <v>2040</v>
      </c>
      <c r="R109">
        <v>-82</v>
      </c>
      <c r="S109" s="3" t="s">
        <v>7</v>
      </c>
      <c r="T109">
        <v>-1277</v>
      </c>
      <c r="U109">
        <v>-1290</v>
      </c>
      <c r="V109">
        <v>-597</v>
      </c>
      <c r="W109">
        <v>-1.93</v>
      </c>
      <c r="X109">
        <v>-2179840</v>
      </c>
      <c r="Y109" s="3" t="s">
        <v>31</v>
      </c>
      <c r="Z109">
        <v>109.09399999999999</v>
      </c>
      <c r="AA109">
        <v>-2000000</v>
      </c>
      <c r="AB109" s="3" t="s">
        <v>9</v>
      </c>
      <c r="AC109" s="3" t="s">
        <v>10</v>
      </c>
      <c r="AD109">
        <v>-2207635</v>
      </c>
      <c r="AE109">
        <v>2207635</v>
      </c>
      <c r="AF109" s="3" t="s">
        <v>640</v>
      </c>
    </row>
    <row r="110" spans="1:32" x14ac:dyDescent="0.35">
      <c r="A110" s="3" t="s">
        <v>608</v>
      </c>
      <c r="B110" s="3" t="s">
        <v>608</v>
      </c>
      <c r="C110" s="3" t="s">
        <v>608</v>
      </c>
      <c r="D110" s="3" t="s">
        <v>608</v>
      </c>
      <c r="E110" s="3" t="s">
        <v>608</v>
      </c>
      <c r="F110" s="3" t="s">
        <v>214</v>
      </c>
      <c r="G110" s="3" t="s">
        <v>214</v>
      </c>
      <c r="H110" s="3" t="s">
        <v>215</v>
      </c>
      <c r="I110" s="3" t="s">
        <v>209</v>
      </c>
      <c r="J110" s="3" t="s">
        <v>4</v>
      </c>
      <c r="K110" s="3" t="s">
        <v>730</v>
      </c>
      <c r="L110" s="3" t="s">
        <v>30</v>
      </c>
      <c r="M110" s="3" t="s">
        <v>14</v>
      </c>
      <c r="N110">
        <v>900000</v>
      </c>
      <c r="O110">
        <v>101.30800000000001</v>
      </c>
      <c r="P110">
        <v>41</v>
      </c>
      <c r="Q110">
        <v>-315</v>
      </c>
      <c r="R110">
        <v>8</v>
      </c>
      <c r="S110" s="3" t="s">
        <v>7</v>
      </c>
      <c r="T110">
        <v>265</v>
      </c>
      <c r="U110">
        <v>267</v>
      </c>
      <c r="V110">
        <v>109</v>
      </c>
      <c r="W110">
        <v>0.35</v>
      </c>
      <c r="X110">
        <v>911772</v>
      </c>
      <c r="Y110" s="3" t="s">
        <v>31</v>
      </c>
      <c r="Z110">
        <v>101.343</v>
      </c>
      <c r="AA110">
        <v>900000</v>
      </c>
      <c r="AB110" s="3" t="s">
        <v>9</v>
      </c>
      <c r="AC110" s="3" t="s">
        <v>10</v>
      </c>
      <c r="AD110">
        <v>912012</v>
      </c>
      <c r="AE110">
        <v>912012</v>
      </c>
      <c r="AF110" s="3" t="s">
        <v>640</v>
      </c>
    </row>
    <row r="111" spans="1:32" x14ac:dyDescent="0.35">
      <c r="A111" s="3" t="s">
        <v>608</v>
      </c>
      <c r="B111" s="3" t="s">
        <v>608</v>
      </c>
      <c r="C111" s="3" t="s">
        <v>608</v>
      </c>
      <c r="D111" s="3" t="s">
        <v>608</v>
      </c>
      <c r="E111" s="3" t="s">
        <v>608</v>
      </c>
      <c r="F111" s="3" t="s">
        <v>970</v>
      </c>
      <c r="G111" s="3" t="s">
        <v>970</v>
      </c>
      <c r="H111" s="3" t="s">
        <v>971</v>
      </c>
      <c r="I111" s="3" t="s">
        <v>428</v>
      </c>
      <c r="J111" s="3" t="s">
        <v>4</v>
      </c>
      <c r="K111" s="3" t="s">
        <v>1189</v>
      </c>
      <c r="L111" s="3" t="s">
        <v>30</v>
      </c>
      <c r="M111" s="3" t="s">
        <v>14</v>
      </c>
      <c r="N111">
        <v>-300000</v>
      </c>
      <c r="O111">
        <v>124.515</v>
      </c>
      <c r="P111">
        <v>135</v>
      </c>
      <c r="Q111">
        <v>1605</v>
      </c>
      <c r="R111">
        <v>0</v>
      </c>
      <c r="S111" s="3" t="s">
        <v>7</v>
      </c>
      <c r="T111">
        <v>-521</v>
      </c>
      <c r="U111">
        <v>-526</v>
      </c>
      <c r="V111">
        <v>-713</v>
      </c>
      <c r="W111">
        <v>-2.2999999999999998</v>
      </c>
      <c r="X111">
        <v>-373545</v>
      </c>
      <c r="Y111" s="3" t="s">
        <v>31</v>
      </c>
      <c r="Z111">
        <v>0</v>
      </c>
      <c r="AA111">
        <v>0</v>
      </c>
      <c r="AB111" s="3" t="s">
        <v>9</v>
      </c>
      <c r="AC111" s="3" t="s">
        <v>10</v>
      </c>
      <c r="AD111">
        <v>-381817</v>
      </c>
      <c r="AE111">
        <v>381817</v>
      </c>
      <c r="AF111" s="3" t="s">
        <v>640</v>
      </c>
    </row>
    <row r="112" spans="1:32" x14ac:dyDescent="0.35">
      <c r="A112" s="3" t="s">
        <v>608</v>
      </c>
      <c r="B112" s="3" t="s">
        <v>608</v>
      </c>
      <c r="C112" s="3" t="s">
        <v>608</v>
      </c>
      <c r="D112" s="3" t="s">
        <v>608</v>
      </c>
      <c r="E112" s="3" t="s">
        <v>608</v>
      </c>
      <c r="F112" s="3" t="s">
        <v>994</v>
      </c>
      <c r="G112" s="3" t="s">
        <v>994</v>
      </c>
      <c r="H112" s="3" t="s">
        <v>995</v>
      </c>
      <c r="I112" s="3" t="s">
        <v>216</v>
      </c>
      <c r="J112" s="3" t="s">
        <v>4</v>
      </c>
      <c r="K112" s="3" t="s">
        <v>1190</v>
      </c>
      <c r="L112" s="3" t="s">
        <v>30</v>
      </c>
      <c r="M112" s="3" t="s">
        <v>14</v>
      </c>
      <c r="N112">
        <v>6300000</v>
      </c>
      <c r="O112">
        <v>105.748</v>
      </c>
      <c r="P112">
        <v>66</v>
      </c>
      <c r="Q112">
        <v>11844</v>
      </c>
      <c r="R112">
        <v>0</v>
      </c>
      <c r="S112" s="3" t="s">
        <v>7</v>
      </c>
      <c r="T112">
        <v>1583</v>
      </c>
      <c r="U112">
        <v>1597</v>
      </c>
      <c r="V112">
        <v>1051</v>
      </c>
      <c r="W112">
        <v>3.39</v>
      </c>
      <c r="X112">
        <v>6662124</v>
      </c>
      <c r="Y112" s="3" t="s">
        <v>31</v>
      </c>
      <c r="Z112">
        <v>0</v>
      </c>
      <c r="AA112">
        <v>0</v>
      </c>
      <c r="AB112" s="3" t="s">
        <v>9</v>
      </c>
      <c r="AC112" s="3" t="s">
        <v>10</v>
      </c>
      <c r="AD112">
        <v>6754035</v>
      </c>
      <c r="AE112">
        <v>6754035</v>
      </c>
      <c r="AF112" s="3" t="s">
        <v>640</v>
      </c>
    </row>
    <row r="113" spans="1:32" x14ac:dyDescent="0.35">
      <c r="A113" s="3" t="s">
        <v>608</v>
      </c>
      <c r="B113" s="3" t="s">
        <v>608</v>
      </c>
      <c r="C113" s="3" t="s">
        <v>608</v>
      </c>
      <c r="D113" s="3" t="s">
        <v>608</v>
      </c>
      <c r="E113" s="3" t="s">
        <v>608</v>
      </c>
      <c r="F113" s="3" t="s">
        <v>217</v>
      </c>
      <c r="G113" s="3" t="s">
        <v>217</v>
      </c>
      <c r="H113" s="3" t="s">
        <v>218</v>
      </c>
      <c r="I113" s="3" t="s">
        <v>219</v>
      </c>
      <c r="J113" s="3" t="s">
        <v>4</v>
      </c>
      <c r="K113" s="3" t="s">
        <v>731</v>
      </c>
      <c r="L113" s="3" t="s">
        <v>30</v>
      </c>
      <c r="M113" s="3" t="s">
        <v>14</v>
      </c>
      <c r="N113">
        <v>-1300000</v>
      </c>
      <c r="O113">
        <v>106.113</v>
      </c>
      <c r="P113">
        <v>119</v>
      </c>
      <c r="Q113">
        <v>1820</v>
      </c>
      <c r="R113">
        <v>-53</v>
      </c>
      <c r="S113" s="3" t="s">
        <v>7</v>
      </c>
      <c r="T113">
        <v>-2272</v>
      </c>
      <c r="U113">
        <v>-2301</v>
      </c>
      <c r="V113">
        <v>-2728</v>
      </c>
      <c r="W113">
        <v>-8.8000000000000007</v>
      </c>
      <c r="X113">
        <v>-1379469</v>
      </c>
      <c r="Y113" s="3" t="s">
        <v>31</v>
      </c>
      <c r="Z113">
        <v>106.253</v>
      </c>
      <c r="AA113">
        <v>-1300000</v>
      </c>
      <c r="AB113" s="3" t="s">
        <v>9</v>
      </c>
      <c r="AC113" s="3" t="s">
        <v>10</v>
      </c>
      <c r="AD113">
        <v>-1381927</v>
      </c>
      <c r="AE113">
        <v>1381927</v>
      </c>
      <c r="AF113" s="3" t="s">
        <v>640</v>
      </c>
    </row>
    <row r="114" spans="1:32" x14ac:dyDescent="0.35">
      <c r="A114" s="3" t="s">
        <v>608</v>
      </c>
      <c r="B114" s="3" t="s">
        <v>608</v>
      </c>
      <c r="C114" s="3" t="s">
        <v>608</v>
      </c>
      <c r="D114" s="3" t="s">
        <v>608</v>
      </c>
      <c r="E114" s="3" t="s">
        <v>608</v>
      </c>
      <c r="F114" s="3" t="s">
        <v>220</v>
      </c>
      <c r="G114" s="3" t="s">
        <v>220</v>
      </c>
      <c r="H114" s="3" t="s">
        <v>221</v>
      </c>
      <c r="I114" s="3" t="s">
        <v>219</v>
      </c>
      <c r="J114" s="3" t="s">
        <v>4</v>
      </c>
      <c r="K114" s="3" t="s">
        <v>732</v>
      </c>
      <c r="L114" s="3" t="s">
        <v>30</v>
      </c>
      <c r="M114" s="3" t="s">
        <v>14</v>
      </c>
      <c r="N114">
        <v>1500000</v>
      </c>
      <c r="O114">
        <v>102.446</v>
      </c>
      <c r="P114">
        <v>87</v>
      </c>
      <c r="Q114">
        <v>-2310</v>
      </c>
      <c r="R114">
        <v>36</v>
      </c>
      <c r="S114" s="3" t="s">
        <v>7</v>
      </c>
      <c r="T114">
        <v>1661</v>
      </c>
      <c r="U114">
        <v>1682</v>
      </c>
      <c r="V114">
        <v>1462</v>
      </c>
      <c r="W114">
        <v>4.72</v>
      </c>
      <c r="X114">
        <v>1536690</v>
      </c>
      <c r="Y114" s="3" t="s">
        <v>31</v>
      </c>
      <c r="Z114">
        <v>102.6</v>
      </c>
      <c r="AA114">
        <v>1500000</v>
      </c>
      <c r="AB114" s="3" t="s">
        <v>9</v>
      </c>
      <c r="AC114" s="3" t="s">
        <v>10</v>
      </c>
      <c r="AD114">
        <v>1544961</v>
      </c>
      <c r="AE114">
        <v>1544961</v>
      </c>
      <c r="AF114" s="3" t="s">
        <v>640</v>
      </c>
    </row>
    <row r="115" spans="1:32" x14ac:dyDescent="0.35">
      <c r="A115" s="3" t="s">
        <v>608</v>
      </c>
      <c r="B115" s="3" t="s">
        <v>608</v>
      </c>
      <c r="C115" s="3" t="s">
        <v>608</v>
      </c>
      <c r="D115" s="3" t="s">
        <v>608</v>
      </c>
      <c r="E115" s="3" t="s">
        <v>608</v>
      </c>
      <c r="F115" s="3" t="s">
        <v>222</v>
      </c>
      <c r="G115" s="3" t="s">
        <v>222</v>
      </c>
      <c r="H115" s="3" t="s">
        <v>223</v>
      </c>
      <c r="I115" s="3" t="s">
        <v>224</v>
      </c>
      <c r="J115" s="3" t="s">
        <v>4</v>
      </c>
      <c r="K115" s="3" t="s">
        <v>733</v>
      </c>
      <c r="L115" s="3" t="s">
        <v>30</v>
      </c>
      <c r="M115" s="3" t="s">
        <v>14</v>
      </c>
      <c r="N115">
        <v>-500000</v>
      </c>
      <c r="O115">
        <v>97.426000000000002</v>
      </c>
      <c r="P115">
        <v>206</v>
      </c>
      <c r="Q115">
        <v>860</v>
      </c>
      <c r="R115">
        <v>-55</v>
      </c>
      <c r="S115" s="3" t="s">
        <v>7</v>
      </c>
      <c r="T115">
        <v>-361</v>
      </c>
      <c r="U115">
        <v>-365</v>
      </c>
      <c r="V115">
        <v>-751</v>
      </c>
      <c r="W115">
        <v>-2.42</v>
      </c>
      <c r="X115">
        <v>-487130</v>
      </c>
      <c r="Y115" s="3" t="s">
        <v>31</v>
      </c>
      <c r="Z115">
        <v>97.597999999999999</v>
      </c>
      <c r="AA115">
        <v>-500000</v>
      </c>
      <c r="AB115" s="3" t="s">
        <v>9</v>
      </c>
      <c r="AC115" s="3" t="s">
        <v>10</v>
      </c>
      <c r="AD115">
        <v>-487860</v>
      </c>
      <c r="AE115">
        <v>487860</v>
      </c>
      <c r="AF115" s="3" t="s">
        <v>640</v>
      </c>
    </row>
    <row r="116" spans="1:32" x14ac:dyDescent="0.35">
      <c r="A116" s="3" t="s">
        <v>608</v>
      </c>
      <c r="B116" s="3" t="s">
        <v>608</v>
      </c>
      <c r="C116" s="3" t="s">
        <v>608</v>
      </c>
      <c r="D116" s="3" t="s">
        <v>608</v>
      </c>
      <c r="E116" s="3" t="s">
        <v>608</v>
      </c>
      <c r="F116" s="3" t="s">
        <v>225</v>
      </c>
      <c r="G116" s="3" t="s">
        <v>225</v>
      </c>
      <c r="H116" s="3" t="s">
        <v>226</v>
      </c>
      <c r="I116" s="3" t="s">
        <v>227</v>
      </c>
      <c r="J116" s="3" t="s">
        <v>4</v>
      </c>
      <c r="K116" s="3" t="s">
        <v>734</v>
      </c>
      <c r="L116" s="3" t="s">
        <v>30</v>
      </c>
      <c r="M116" s="3" t="s">
        <v>14</v>
      </c>
      <c r="N116">
        <v>850000</v>
      </c>
      <c r="O116">
        <v>99.753</v>
      </c>
      <c r="P116">
        <v>147</v>
      </c>
      <c r="Q116">
        <v>-2015</v>
      </c>
      <c r="R116">
        <v>33</v>
      </c>
      <c r="S116" s="3" t="s">
        <v>7</v>
      </c>
      <c r="T116">
        <v>1381</v>
      </c>
      <c r="U116">
        <v>1399</v>
      </c>
      <c r="V116">
        <v>2060</v>
      </c>
      <c r="W116">
        <v>6.65</v>
      </c>
      <c r="X116">
        <v>847901</v>
      </c>
      <c r="Y116" s="3" t="s">
        <v>31</v>
      </c>
      <c r="Z116">
        <v>99.99</v>
      </c>
      <c r="AA116">
        <v>850000</v>
      </c>
      <c r="AB116" s="3" t="s">
        <v>9</v>
      </c>
      <c r="AC116" s="3" t="s">
        <v>10</v>
      </c>
      <c r="AD116">
        <v>852196</v>
      </c>
      <c r="AE116">
        <v>852196</v>
      </c>
      <c r="AF116" s="3" t="s">
        <v>640</v>
      </c>
    </row>
    <row r="117" spans="1:32" x14ac:dyDescent="0.35">
      <c r="A117" s="3" t="s">
        <v>608</v>
      </c>
      <c r="B117" s="3" t="s">
        <v>608</v>
      </c>
      <c r="C117" s="3" t="s">
        <v>608</v>
      </c>
      <c r="D117" s="3" t="s">
        <v>608</v>
      </c>
      <c r="E117" s="3" t="s">
        <v>608</v>
      </c>
      <c r="F117" s="3" t="s">
        <v>228</v>
      </c>
      <c r="G117" s="3" t="s">
        <v>229</v>
      </c>
      <c r="H117" s="3" t="s">
        <v>229</v>
      </c>
      <c r="I117" s="3" t="s">
        <v>640</v>
      </c>
      <c r="J117" s="3" t="s">
        <v>4</v>
      </c>
      <c r="K117" s="3" t="s">
        <v>652</v>
      </c>
      <c r="L117" s="3" t="s">
        <v>5</v>
      </c>
      <c r="M117" s="3" t="s">
        <v>6</v>
      </c>
      <c r="N117">
        <v>1500000</v>
      </c>
      <c r="O117">
        <v>2.5920000000000001</v>
      </c>
      <c r="P117">
        <v>152</v>
      </c>
      <c r="Q117">
        <v>-4130</v>
      </c>
      <c r="R117">
        <v>-42</v>
      </c>
      <c r="S117" s="3" t="s">
        <v>7</v>
      </c>
      <c r="T117">
        <v>-10</v>
      </c>
      <c r="U117">
        <v>-741</v>
      </c>
      <c r="V117">
        <v>-1123</v>
      </c>
      <c r="W117">
        <v>-3.62</v>
      </c>
      <c r="X117">
        <v>38885</v>
      </c>
      <c r="Y117" s="3" t="s">
        <v>640</v>
      </c>
      <c r="Z117">
        <v>2.8679999999999999</v>
      </c>
      <c r="AA117">
        <v>1500000</v>
      </c>
      <c r="AB117" s="3" t="s">
        <v>230</v>
      </c>
      <c r="AC117" s="3" t="s">
        <v>10</v>
      </c>
      <c r="AD117">
        <v>-1500000</v>
      </c>
      <c r="AE117">
        <v>1500000</v>
      </c>
      <c r="AF117" s="3" t="s">
        <v>640</v>
      </c>
    </row>
    <row r="118" spans="1:32" x14ac:dyDescent="0.35">
      <c r="A118" s="3" t="s">
        <v>608</v>
      </c>
      <c r="B118" s="3" t="s">
        <v>608</v>
      </c>
      <c r="C118" s="3" t="s">
        <v>608</v>
      </c>
      <c r="D118" s="3" t="s">
        <v>608</v>
      </c>
      <c r="E118" s="3" t="s">
        <v>608</v>
      </c>
      <c r="F118" s="3" t="s">
        <v>231</v>
      </c>
      <c r="G118" s="3" t="s">
        <v>232</v>
      </c>
      <c r="H118" s="3" t="s">
        <v>232</v>
      </c>
      <c r="I118" s="3" t="s">
        <v>640</v>
      </c>
      <c r="J118" s="3" t="s">
        <v>4</v>
      </c>
      <c r="K118" s="3" t="s">
        <v>652</v>
      </c>
      <c r="L118" s="3" t="s">
        <v>5</v>
      </c>
      <c r="M118" s="3" t="s">
        <v>6</v>
      </c>
      <c r="N118">
        <v>-2000000</v>
      </c>
      <c r="O118">
        <v>-1.0429999999999999</v>
      </c>
      <c r="P118">
        <v>80</v>
      </c>
      <c r="Q118">
        <v>1683</v>
      </c>
      <c r="R118">
        <v>56</v>
      </c>
      <c r="S118" s="3" t="s">
        <v>7</v>
      </c>
      <c r="T118">
        <v>-6</v>
      </c>
      <c r="U118">
        <v>1028</v>
      </c>
      <c r="V118">
        <v>818</v>
      </c>
      <c r="W118">
        <v>2.64</v>
      </c>
      <c r="X118">
        <v>20850</v>
      </c>
      <c r="Y118" s="3" t="s">
        <v>640</v>
      </c>
      <c r="Z118">
        <v>-0.95799999999999996</v>
      </c>
      <c r="AA118">
        <v>-2000000</v>
      </c>
      <c r="AB118" s="3" t="s">
        <v>230</v>
      </c>
      <c r="AC118" s="3" t="s">
        <v>10</v>
      </c>
      <c r="AD118">
        <v>2000000</v>
      </c>
      <c r="AE118">
        <v>2000000</v>
      </c>
      <c r="AF118" s="3" t="s">
        <v>640</v>
      </c>
    </row>
    <row r="119" spans="1:32" x14ac:dyDescent="0.35">
      <c r="A119" s="3" t="s">
        <v>608</v>
      </c>
      <c r="B119" s="3" t="s">
        <v>608</v>
      </c>
      <c r="C119" s="3" t="s">
        <v>608</v>
      </c>
      <c r="D119" s="3" t="s">
        <v>608</v>
      </c>
      <c r="E119" s="3" t="s">
        <v>608</v>
      </c>
      <c r="F119" s="3" t="s">
        <v>11</v>
      </c>
      <c r="G119" s="3" t="s">
        <v>12</v>
      </c>
      <c r="H119" s="3" t="s">
        <v>12</v>
      </c>
      <c r="I119" s="3" t="s">
        <v>640</v>
      </c>
      <c r="J119" s="3" t="s">
        <v>4</v>
      </c>
      <c r="K119" s="3" t="s">
        <v>640</v>
      </c>
      <c r="L119" s="3" t="s">
        <v>13</v>
      </c>
      <c r="M119" s="3" t="s">
        <v>14</v>
      </c>
      <c r="N119">
        <v>-14</v>
      </c>
      <c r="O119">
        <v>176.02</v>
      </c>
      <c r="P119">
        <v>-85</v>
      </c>
      <c r="Q119">
        <v>4860</v>
      </c>
      <c r="R119">
        <v>0</v>
      </c>
      <c r="S119" s="3" t="s">
        <v>640</v>
      </c>
      <c r="T119">
        <v>-2091</v>
      </c>
      <c r="U119">
        <v>0</v>
      </c>
      <c r="V119">
        <v>0</v>
      </c>
      <c r="W119">
        <v>0</v>
      </c>
      <c r="X119">
        <v>-13337</v>
      </c>
      <c r="Y119" s="3" t="s">
        <v>15</v>
      </c>
      <c r="Z119">
        <v>176.32</v>
      </c>
      <c r="AA119">
        <v>-14</v>
      </c>
      <c r="AB119" s="3" t="s">
        <v>230</v>
      </c>
      <c r="AC119" s="3" t="s">
        <v>10</v>
      </c>
      <c r="AD119">
        <v>0</v>
      </c>
      <c r="AE119">
        <v>0</v>
      </c>
      <c r="AF119" s="3" t="s">
        <v>640</v>
      </c>
    </row>
    <row r="120" spans="1:32" x14ac:dyDescent="0.35">
      <c r="A120" s="3" t="s">
        <v>608</v>
      </c>
      <c r="B120" s="3" t="s">
        <v>608</v>
      </c>
      <c r="C120" s="3" t="s">
        <v>608</v>
      </c>
      <c r="D120" s="3" t="s">
        <v>608</v>
      </c>
      <c r="E120" s="3" t="s">
        <v>608</v>
      </c>
      <c r="F120" s="3" t="s">
        <v>16</v>
      </c>
      <c r="G120" s="3" t="s">
        <v>17</v>
      </c>
      <c r="H120" s="3" t="s">
        <v>17</v>
      </c>
      <c r="I120" s="3" t="s">
        <v>640</v>
      </c>
      <c r="J120" s="3" t="s">
        <v>4</v>
      </c>
      <c r="K120" s="3" t="s">
        <v>640</v>
      </c>
      <c r="L120" s="3" t="s">
        <v>13</v>
      </c>
      <c r="M120" s="3" t="s">
        <v>14</v>
      </c>
      <c r="N120">
        <v>6</v>
      </c>
      <c r="O120">
        <v>135.80000000000001</v>
      </c>
      <c r="P120">
        <v>-49</v>
      </c>
      <c r="Q120">
        <v>-720</v>
      </c>
      <c r="R120">
        <v>0</v>
      </c>
      <c r="S120" s="3" t="s">
        <v>640</v>
      </c>
      <c r="T120">
        <v>373</v>
      </c>
      <c r="U120">
        <v>0</v>
      </c>
      <c r="V120">
        <v>0</v>
      </c>
      <c r="W120">
        <v>0</v>
      </c>
      <c r="X120">
        <v>2100</v>
      </c>
      <c r="Y120" s="3" t="s">
        <v>15</v>
      </c>
      <c r="Z120">
        <v>135.91999999999999</v>
      </c>
      <c r="AA120">
        <v>6</v>
      </c>
      <c r="AB120" s="3" t="s">
        <v>230</v>
      </c>
      <c r="AC120" s="3" t="s">
        <v>10</v>
      </c>
      <c r="AD120">
        <v>0</v>
      </c>
      <c r="AE120">
        <v>0</v>
      </c>
      <c r="AF120" s="3" t="s">
        <v>640</v>
      </c>
    </row>
    <row r="121" spans="1:32" x14ac:dyDescent="0.35">
      <c r="A121" s="3" t="s">
        <v>608</v>
      </c>
      <c r="B121" s="3" t="s">
        <v>608</v>
      </c>
      <c r="C121" s="3" t="s">
        <v>608</v>
      </c>
      <c r="D121" s="3" t="s">
        <v>608</v>
      </c>
      <c r="E121" s="3" t="s">
        <v>608</v>
      </c>
      <c r="F121" s="3" t="s">
        <v>233</v>
      </c>
      <c r="G121" s="3" t="s">
        <v>233</v>
      </c>
      <c r="H121" s="3" t="s">
        <v>234</v>
      </c>
      <c r="I121" s="3" t="s">
        <v>235</v>
      </c>
      <c r="J121" s="3" t="s">
        <v>4</v>
      </c>
      <c r="K121" s="3" t="s">
        <v>735</v>
      </c>
      <c r="L121" s="3" t="s">
        <v>30</v>
      </c>
      <c r="M121" s="3" t="s">
        <v>14</v>
      </c>
      <c r="N121">
        <v>-1000000</v>
      </c>
      <c r="O121">
        <v>98.736000000000004</v>
      </c>
      <c r="P121">
        <v>115</v>
      </c>
      <c r="Q121">
        <v>-4650</v>
      </c>
      <c r="R121">
        <v>-14</v>
      </c>
      <c r="S121" s="3" t="s">
        <v>7</v>
      </c>
      <c r="T121">
        <v>-599</v>
      </c>
      <c r="U121">
        <v>-605</v>
      </c>
      <c r="V121">
        <v>-697</v>
      </c>
      <c r="W121">
        <v>-2.25</v>
      </c>
      <c r="X121">
        <v>-987360</v>
      </c>
      <c r="Y121" s="3" t="s">
        <v>31</v>
      </c>
      <c r="Z121">
        <v>98.271000000000001</v>
      </c>
      <c r="AA121">
        <v>-1000000</v>
      </c>
      <c r="AB121" s="3" t="s">
        <v>230</v>
      </c>
      <c r="AC121" s="3" t="s">
        <v>10</v>
      </c>
      <c r="AD121">
        <v>-991390</v>
      </c>
      <c r="AE121">
        <v>991390</v>
      </c>
      <c r="AF121" s="3" t="s">
        <v>640</v>
      </c>
    </row>
    <row r="122" spans="1:32" x14ac:dyDescent="0.35">
      <c r="A122" s="3" t="s">
        <v>608</v>
      </c>
      <c r="B122" s="3" t="s">
        <v>608</v>
      </c>
      <c r="C122" s="3" t="s">
        <v>608</v>
      </c>
      <c r="D122" s="3" t="s">
        <v>608</v>
      </c>
      <c r="E122" s="3" t="s">
        <v>608</v>
      </c>
      <c r="F122" s="3" t="s">
        <v>236</v>
      </c>
      <c r="G122" s="3" t="s">
        <v>236</v>
      </c>
      <c r="H122" s="3" t="s">
        <v>237</v>
      </c>
      <c r="I122" s="3" t="s">
        <v>238</v>
      </c>
      <c r="J122" s="3" t="s">
        <v>4</v>
      </c>
      <c r="K122" s="3" t="s">
        <v>736</v>
      </c>
      <c r="L122" s="3" t="s">
        <v>30</v>
      </c>
      <c r="M122" s="3" t="s">
        <v>14</v>
      </c>
      <c r="N122">
        <v>1000000</v>
      </c>
      <c r="O122">
        <v>99.77</v>
      </c>
      <c r="P122">
        <v>91</v>
      </c>
      <c r="Q122">
        <v>4860</v>
      </c>
      <c r="R122">
        <v>17</v>
      </c>
      <c r="S122" s="3" t="s">
        <v>640</v>
      </c>
      <c r="T122">
        <v>991</v>
      </c>
      <c r="U122">
        <v>1004</v>
      </c>
      <c r="V122">
        <v>913</v>
      </c>
      <c r="W122">
        <v>2.95</v>
      </c>
      <c r="X122">
        <v>997700</v>
      </c>
      <c r="Y122" s="3" t="s">
        <v>31</v>
      </c>
      <c r="Z122">
        <v>99.284000000000006</v>
      </c>
      <c r="AA122">
        <v>1000000</v>
      </c>
      <c r="AB122" s="3" t="s">
        <v>230</v>
      </c>
      <c r="AC122" s="3" t="s">
        <v>10</v>
      </c>
      <c r="AD122">
        <v>997939</v>
      </c>
      <c r="AE122">
        <v>997939</v>
      </c>
      <c r="AF122" s="3" t="s">
        <v>640</v>
      </c>
    </row>
    <row r="123" spans="1:32" x14ac:dyDescent="0.35">
      <c r="A123" s="3" t="s">
        <v>608</v>
      </c>
      <c r="B123" s="3" t="s">
        <v>608</v>
      </c>
      <c r="C123" s="3" t="s">
        <v>608</v>
      </c>
      <c r="D123" s="3" t="s">
        <v>608</v>
      </c>
      <c r="E123" s="3" t="s">
        <v>608</v>
      </c>
      <c r="F123" s="3" t="s">
        <v>239</v>
      </c>
      <c r="G123" s="3" t="s">
        <v>239</v>
      </c>
      <c r="H123" s="3" t="s">
        <v>240</v>
      </c>
      <c r="I123" s="3" t="s">
        <v>241</v>
      </c>
      <c r="J123" s="3" t="s">
        <v>4</v>
      </c>
      <c r="K123" s="3" t="s">
        <v>737</v>
      </c>
      <c r="L123" s="3" t="s">
        <v>30</v>
      </c>
      <c r="M123" s="3" t="s">
        <v>14</v>
      </c>
      <c r="N123">
        <v>1000000</v>
      </c>
      <c r="O123">
        <v>108.06399999999999</v>
      </c>
      <c r="P123">
        <v>82</v>
      </c>
      <c r="Q123">
        <v>1930</v>
      </c>
      <c r="R123">
        <v>45</v>
      </c>
      <c r="S123" s="3" t="s">
        <v>7</v>
      </c>
      <c r="T123">
        <v>674</v>
      </c>
      <c r="U123">
        <v>681</v>
      </c>
      <c r="V123">
        <v>555</v>
      </c>
      <c r="W123">
        <v>1.79</v>
      </c>
      <c r="X123">
        <v>1080640</v>
      </c>
      <c r="Y123" s="3" t="s">
        <v>31</v>
      </c>
      <c r="Z123">
        <v>107.871</v>
      </c>
      <c r="AA123">
        <v>1000000</v>
      </c>
      <c r="AB123" s="3" t="s">
        <v>230</v>
      </c>
      <c r="AC123" s="3" t="s">
        <v>10</v>
      </c>
      <c r="AD123">
        <v>1088269</v>
      </c>
      <c r="AE123">
        <v>1088269</v>
      </c>
      <c r="AF123" s="3" t="s">
        <v>640</v>
      </c>
    </row>
    <row r="124" spans="1:32" x14ac:dyDescent="0.35">
      <c r="A124" s="3" t="s">
        <v>608</v>
      </c>
      <c r="B124" s="3" t="s">
        <v>608</v>
      </c>
      <c r="C124" s="3" t="s">
        <v>608</v>
      </c>
      <c r="D124" s="3" t="s">
        <v>608</v>
      </c>
      <c r="E124" s="3" t="s">
        <v>608</v>
      </c>
      <c r="F124" s="3" t="s">
        <v>242</v>
      </c>
      <c r="G124" s="3" t="s">
        <v>243</v>
      </c>
      <c r="H124" s="3" t="s">
        <v>243</v>
      </c>
      <c r="I124" s="3" t="s">
        <v>244</v>
      </c>
      <c r="J124" s="3" t="s">
        <v>4</v>
      </c>
      <c r="K124" s="3" t="s">
        <v>652</v>
      </c>
      <c r="L124" s="3" t="s">
        <v>245</v>
      </c>
      <c r="M124" s="3" t="s">
        <v>6</v>
      </c>
      <c r="N124">
        <v>1750000</v>
      </c>
      <c r="O124">
        <v>-1.2250000000000001</v>
      </c>
      <c r="P124">
        <v>76</v>
      </c>
      <c r="Q124">
        <v>-4045</v>
      </c>
      <c r="R124">
        <v>-49</v>
      </c>
      <c r="S124" s="3" t="s">
        <v>246</v>
      </c>
      <c r="T124">
        <v>-6</v>
      </c>
      <c r="U124">
        <v>-902</v>
      </c>
      <c r="V124">
        <v>-686</v>
      </c>
      <c r="W124">
        <v>-2.21</v>
      </c>
      <c r="X124">
        <v>-21441</v>
      </c>
      <c r="Y124" s="3" t="s">
        <v>640</v>
      </c>
      <c r="Z124">
        <v>-0.99399999999999999</v>
      </c>
      <c r="AA124">
        <v>1750000</v>
      </c>
      <c r="AB124" s="3" t="s">
        <v>230</v>
      </c>
      <c r="AC124" s="3" t="s">
        <v>10</v>
      </c>
      <c r="AD124">
        <v>-1750000</v>
      </c>
      <c r="AE124">
        <v>1750000</v>
      </c>
      <c r="AF124" s="3" t="s">
        <v>640</v>
      </c>
    </row>
    <row r="125" spans="1:32" x14ac:dyDescent="0.35">
      <c r="A125" s="3" t="s">
        <v>608</v>
      </c>
      <c r="B125" s="3" t="s">
        <v>608</v>
      </c>
      <c r="C125" s="3" t="s">
        <v>608</v>
      </c>
      <c r="D125" s="3" t="s">
        <v>608</v>
      </c>
      <c r="E125" s="3" t="s">
        <v>608</v>
      </c>
      <c r="F125" s="3" t="s">
        <v>247</v>
      </c>
      <c r="G125" s="3" t="s">
        <v>247</v>
      </c>
      <c r="H125" s="3" t="s">
        <v>248</v>
      </c>
      <c r="I125" s="3" t="s">
        <v>249</v>
      </c>
      <c r="J125" s="3" t="s">
        <v>4</v>
      </c>
      <c r="K125" s="3" t="s">
        <v>738</v>
      </c>
      <c r="L125" s="3" t="s">
        <v>30</v>
      </c>
      <c r="M125" s="3" t="s">
        <v>14</v>
      </c>
      <c r="N125">
        <v>500000</v>
      </c>
      <c r="O125">
        <v>99.82</v>
      </c>
      <c r="P125">
        <v>193</v>
      </c>
      <c r="Q125">
        <v>3685</v>
      </c>
      <c r="R125">
        <v>22</v>
      </c>
      <c r="S125" s="3" t="s">
        <v>250</v>
      </c>
      <c r="T125">
        <v>456</v>
      </c>
      <c r="U125">
        <v>461</v>
      </c>
      <c r="V125">
        <v>889</v>
      </c>
      <c r="W125">
        <v>2.87</v>
      </c>
      <c r="X125">
        <v>499100</v>
      </c>
      <c r="Y125" s="3" t="s">
        <v>31</v>
      </c>
      <c r="Z125">
        <v>99.082999999999998</v>
      </c>
      <c r="AA125">
        <v>500000</v>
      </c>
      <c r="AB125" s="3" t="s">
        <v>230</v>
      </c>
      <c r="AC125" s="3" t="s">
        <v>10</v>
      </c>
      <c r="AD125">
        <v>499389</v>
      </c>
      <c r="AE125">
        <v>499389</v>
      </c>
      <c r="AF125" s="3" t="s">
        <v>640</v>
      </c>
    </row>
    <row r="126" spans="1:32" x14ac:dyDescent="0.35">
      <c r="A126" s="3" t="s">
        <v>608</v>
      </c>
      <c r="B126" s="3" t="s">
        <v>608</v>
      </c>
      <c r="C126" s="3" t="s">
        <v>608</v>
      </c>
      <c r="D126" s="3" t="s">
        <v>608</v>
      </c>
      <c r="E126" s="3" t="s">
        <v>608</v>
      </c>
      <c r="F126" s="3" t="s">
        <v>251</v>
      </c>
      <c r="G126" s="3" t="s">
        <v>251</v>
      </c>
      <c r="H126" s="3" t="s">
        <v>252</v>
      </c>
      <c r="I126" s="3" t="s">
        <v>253</v>
      </c>
      <c r="J126" s="3" t="s">
        <v>4</v>
      </c>
      <c r="K126" s="3" t="s">
        <v>864</v>
      </c>
      <c r="L126" s="3" t="s">
        <v>30</v>
      </c>
      <c r="M126" s="3" t="s">
        <v>14</v>
      </c>
      <c r="N126">
        <v>500000</v>
      </c>
      <c r="O126">
        <v>99.384</v>
      </c>
      <c r="P126">
        <v>74</v>
      </c>
      <c r="Q126">
        <v>450</v>
      </c>
      <c r="R126">
        <v>0</v>
      </c>
      <c r="S126" s="3" t="s">
        <v>7</v>
      </c>
      <c r="T126">
        <v>343</v>
      </c>
      <c r="U126">
        <v>347</v>
      </c>
      <c r="V126">
        <v>255</v>
      </c>
      <c r="W126">
        <v>0.82</v>
      </c>
      <c r="X126">
        <v>496920</v>
      </c>
      <c r="Y126" s="3" t="s">
        <v>31</v>
      </c>
      <c r="Z126">
        <v>99.293999999999997</v>
      </c>
      <c r="AA126">
        <v>500000</v>
      </c>
      <c r="AB126" s="3" t="s">
        <v>230</v>
      </c>
      <c r="AC126" s="3" t="s">
        <v>10</v>
      </c>
      <c r="AD126">
        <v>496920</v>
      </c>
      <c r="AE126">
        <v>496920</v>
      </c>
      <c r="AF126" s="3" t="s">
        <v>640</v>
      </c>
    </row>
    <row r="127" spans="1:32" x14ac:dyDescent="0.35">
      <c r="A127" s="3" t="s">
        <v>608</v>
      </c>
      <c r="B127" s="3" t="s">
        <v>608</v>
      </c>
      <c r="C127" s="3" t="s">
        <v>608</v>
      </c>
      <c r="D127" s="3" t="s">
        <v>608</v>
      </c>
      <c r="E127" s="3" t="s">
        <v>608</v>
      </c>
      <c r="F127" s="3" t="s">
        <v>254</v>
      </c>
      <c r="G127" s="3" t="s">
        <v>255</v>
      </c>
      <c r="H127" s="3" t="s">
        <v>255</v>
      </c>
      <c r="I127" s="3" t="s">
        <v>640</v>
      </c>
      <c r="J127" s="3" t="s">
        <v>4</v>
      </c>
      <c r="K127" s="3" t="s">
        <v>652</v>
      </c>
      <c r="L127" s="3" t="s">
        <v>5</v>
      </c>
      <c r="M127" s="3" t="s">
        <v>6</v>
      </c>
      <c r="N127">
        <v>8000000</v>
      </c>
      <c r="O127">
        <v>-6.87</v>
      </c>
      <c r="P127">
        <v>349</v>
      </c>
      <c r="Q127">
        <v>-22822</v>
      </c>
      <c r="R127">
        <v>-1111</v>
      </c>
      <c r="S127" s="3" t="s">
        <v>7</v>
      </c>
      <c r="T127">
        <v>141</v>
      </c>
      <c r="U127">
        <v>-3865</v>
      </c>
      <c r="V127">
        <v>-13489</v>
      </c>
      <c r="W127">
        <v>-43.51</v>
      </c>
      <c r="X127">
        <v>-549622</v>
      </c>
      <c r="Y127" s="3" t="s">
        <v>640</v>
      </c>
      <c r="Z127">
        <v>-6.585</v>
      </c>
      <c r="AA127">
        <v>8000000</v>
      </c>
      <c r="AB127" s="3" t="s">
        <v>256</v>
      </c>
      <c r="AC127" s="3" t="s">
        <v>10</v>
      </c>
      <c r="AD127">
        <v>-8000000</v>
      </c>
      <c r="AE127">
        <v>8000000</v>
      </c>
      <c r="AF127" s="3" t="s">
        <v>640</v>
      </c>
    </row>
    <row r="128" spans="1:32" x14ac:dyDescent="0.35">
      <c r="A128" s="3" t="s">
        <v>608</v>
      </c>
      <c r="B128" s="3" t="s">
        <v>608</v>
      </c>
      <c r="C128" s="3" t="s">
        <v>608</v>
      </c>
      <c r="D128" s="3" t="s">
        <v>608</v>
      </c>
      <c r="E128" s="3" t="s">
        <v>608</v>
      </c>
      <c r="F128" s="3" t="s">
        <v>987</v>
      </c>
      <c r="G128" s="3" t="s">
        <v>987</v>
      </c>
      <c r="H128" s="3" t="s">
        <v>988</v>
      </c>
      <c r="I128" s="3" t="s">
        <v>989</v>
      </c>
      <c r="J128" s="3" t="s">
        <v>4</v>
      </c>
      <c r="K128" s="3" t="s">
        <v>990</v>
      </c>
      <c r="L128" s="3" t="s">
        <v>30</v>
      </c>
      <c r="M128" s="3" t="s">
        <v>14</v>
      </c>
      <c r="N128">
        <v>1000000</v>
      </c>
      <c r="O128">
        <v>96.025000000000006</v>
      </c>
      <c r="P128">
        <v>285</v>
      </c>
      <c r="Q128">
        <v>1490</v>
      </c>
      <c r="R128">
        <v>0</v>
      </c>
      <c r="S128" s="3" t="s">
        <v>263</v>
      </c>
      <c r="T128">
        <v>452</v>
      </c>
      <c r="U128">
        <v>456</v>
      </c>
      <c r="V128">
        <v>1299</v>
      </c>
      <c r="W128">
        <v>4.1900000000000004</v>
      </c>
      <c r="X128">
        <v>960250</v>
      </c>
      <c r="Y128" s="3" t="s">
        <v>31</v>
      </c>
      <c r="Z128">
        <v>0</v>
      </c>
      <c r="AA128">
        <v>0</v>
      </c>
      <c r="AB128" s="3" t="s">
        <v>256</v>
      </c>
      <c r="AC128" s="3" t="s">
        <v>10</v>
      </c>
      <c r="AD128">
        <v>972094</v>
      </c>
      <c r="AE128">
        <v>972094</v>
      </c>
      <c r="AF128" s="3" t="s">
        <v>640</v>
      </c>
    </row>
    <row r="129" spans="1:32" x14ac:dyDescent="0.35">
      <c r="A129" s="3" t="s">
        <v>608</v>
      </c>
      <c r="B129" s="3" t="s">
        <v>608</v>
      </c>
      <c r="C129" s="3" t="s">
        <v>608</v>
      </c>
      <c r="D129" s="3" t="s">
        <v>608</v>
      </c>
      <c r="E129" s="3" t="s">
        <v>608</v>
      </c>
      <c r="F129" s="3" t="s">
        <v>257</v>
      </c>
      <c r="G129" s="3" t="s">
        <v>257</v>
      </c>
      <c r="H129" s="3" t="s">
        <v>258</v>
      </c>
      <c r="I129" s="3" t="s">
        <v>259</v>
      </c>
      <c r="J129" s="3" t="s">
        <v>4</v>
      </c>
      <c r="K129" s="3" t="s">
        <v>739</v>
      </c>
      <c r="L129" s="3" t="s">
        <v>30</v>
      </c>
      <c r="M129" s="3" t="s">
        <v>14</v>
      </c>
      <c r="N129">
        <v>645000</v>
      </c>
      <c r="O129">
        <v>103.09399999999999</v>
      </c>
      <c r="P129">
        <v>320</v>
      </c>
      <c r="Q129">
        <v>729</v>
      </c>
      <c r="R129">
        <v>68</v>
      </c>
      <c r="S129" s="3" t="s">
        <v>250</v>
      </c>
      <c r="T129">
        <v>168</v>
      </c>
      <c r="U129">
        <v>169</v>
      </c>
      <c r="V129">
        <v>542</v>
      </c>
      <c r="W129">
        <v>1.75</v>
      </c>
      <c r="X129">
        <v>664956</v>
      </c>
      <c r="Y129" s="3" t="s">
        <v>31</v>
      </c>
      <c r="Z129">
        <v>102.98099999999999</v>
      </c>
      <c r="AA129">
        <v>645000</v>
      </c>
      <c r="AB129" s="3" t="s">
        <v>256</v>
      </c>
      <c r="AC129" s="3" t="s">
        <v>10</v>
      </c>
      <c r="AD129">
        <v>667011</v>
      </c>
      <c r="AE129">
        <v>667011</v>
      </c>
      <c r="AF129" s="3" t="s">
        <v>640</v>
      </c>
    </row>
    <row r="130" spans="1:32" x14ac:dyDescent="0.35">
      <c r="A130" s="3" t="s">
        <v>608</v>
      </c>
      <c r="B130" s="3" t="s">
        <v>608</v>
      </c>
      <c r="C130" s="3" t="s">
        <v>608</v>
      </c>
      <c r="D130" s="3" t="s">
        <v>608</v>
      </c>
      <c r="E130" s="3" t="s">
        <v>608</v>
      </c>
      <c r="F130" s="3" t="s">
        <v>260</v>
      </c>
      <c r="G130" s="3" t="s">
        <v>260</v>
      </c>
      <c r="H130" s="3" t="s">
        <v>261</v>
      </c>
      <c r="I130" s="3" t="s">
        <v>262</v>
      </c>
      <c r="J130" s="3" t="s">
        <v>4</v>
      </c>
      <c r="K130" s="3" t="s">
        <v>740</v>
      </c>
      <c r="L130" s="3" t="s">
        <v>30</v>
      </c>
      <c r="M130" s="3" t="s">
        <v>14</v>
      </c>
      <c r="N130">
        <v>100000</v>
      </c>
      <c r="O130">
        <v>95.486000000000004</v>
      </c>
      <c r="P130">
        <v>458</v>
      </c>
      <c r="Q130">
        <v>41</v>
      </c>
      <c r="R130">
        <v>8</v>
      </c>
      <c r="S130" s="3" t="s">
        <v>263</v>
      </c>
      <c r="T130">
        <v>37</v>
      </c>
      <c r="U130">
        <v>37</v>
      </c>
      <c r="V130">
        <v>170</v>
      </c>
      <c r="W130">
        <v>0.55000000000000004</v>
      </c>
      <c r="X130">
        <v>95486</v>
      </c>
      <c r="Y130" s="3" t="s">
        <v>31</v>
      </c>
      <c r="Z130">
        <v>95.444999999999993</v>
      </c>
      <c r="AA130">
        <v>100000</v>
      </c>
      <c r="AB130" s="3" t="s">
        <v>256</v>
      </c>
      <c r="AC130" s="3" t="s">
        <v>10</v>
      </c>
      <c r="AD130">
        <v>97819</v>
      </c>
      <c r="AE130">
        <v>97819</v>
      </c>
      <c r="AF130" s="3" t="s">
        <v>640</v>
      </c>
    </row>
    <row r="131" spans="1:32" x14ac:dyDescent="0.35">
      <c r="A131" s="3" t="s">
        <v>608</v>
      </c>
      <c r="B131" s="3" t="s">
        <v>608</v>
      </c>
      <c r="C131" s="3" t="s">
        <v>608</v>
      </c>
      <c r="D131" s="3" t="s">
        <v>608</v>
      </c>
      <c r="E131" s="3" t="s">
        <v>608</v>
      </c>
      <c r="F131" s="3" t="s">
        <v>264</v>
      </c>
      <c r="G131" s="3" t="s">
        <v>264</v>
      </c>
      <c r="H131" s="3" t="s">
        <v>265</v>
      </c>
      <c r="I131" s="3" t="s">
        <v>262</v>
      </c>
      <c r="J131" s="3" t="s">
        <v>266</v>
      </c>
      <c r="K131" s="3" t="s">
        <v>741</v>
      </c>
      <c r="L131" s="3" t="s">
        <v>30</v>
      </c>
      <c r="M131" s="3" t="s">
        <v>14</v>
      </c>
      <c r="N131">
        <v>750000</v>
      </c>
      <c r="O131">
        <v>100.26</v>
      </c>
      <c r="P131">
        <v>486</v>
      </c>
      <c r="Q131">
        <v>3229</v>
      </c>
      <c r="R131">
        <v>0</v>
      </c>
      <c r="S131" s="3" t="s">
        <v>263</v>
      </c>
      <c r="T131">
        <v>159</v>
      </c>
      <c r="U131">
        <v>161</v>
      </c>
      <c r="V131">
        <v>783</v>
      </c>
      <c r="W131">
        <v>2.5299999999999998</v>
      </c>
      <c r="X131">
        <v>641158</v>
      </c>
      <c r="Y131" s="3" t="s">
        <v>31</v>
      </c>
      <c r="Z131">
        <v>100.31100000000001</v>
      </c>
      <c r="AA131">
        <v>0</v>
      </c>
      <c r="AB131" s="3" t="s">
        <v>256</v>
      </c>
      <c r="AC131" s="3" t="s">
        <v>10</v>
      </c>
      <c r="AD131">
        <v>652533</v>
      </c>
      <c r="AE131">
        <v>652533</v>
      </c>
      <c r="AF131" s="3" t="s">
        <v>640</v>
      </c>
    </row>
    <row r="132" spans="1:32" x14ac:dyDescent="0.35">
      <c r="A132" s="3" t="s">
        <v>608</v>
      </c>
      <c r="B132" s="3" t="s">
        <v>608</v>
      </c>
      <c r="C132" s="3" t="s">
        <v>608</v>
      </c>
      <c r="D132" s="3" t="s">
        <v>608</v>
      </c>
      <c r="E132" s="3" t="s">
        <v>608</v>
      </c>
      <c r="F132" s="3" t="s">
        <v>267</v>
      </c>
      <c r="G132" s="3" t="s">
        <v>267</v>
      </c>
      <c r="H132" s="3" t="s">
        <v>268</v>
      </c>
      <c r="I132" s="3" t="s">
        <v>269</v>
      </c>
      <c r="J132" s="3" t="s">
        <v>4</v>
      </c>
      <c r="K132" s="3" t="s">
        <v>742</v>
      </c>
      <c r="L132" s="3" t="s">
        <v>30</v>
      </c>
      <c r="M132" s="3" t="s">
        <v>14</v>
      </c>
      <c r="N132">
        <v>177000</v>
      </c>
      <c r="O132">
        <v>98.754000000000005</v>
      </c>
      <c r="P132">
        <v>410</v>
      </c>
      <c r="Q132">
        <v>80</v>
      </c>
      <c r="R132">
        <v>15</v>
      </c>
      <c r="S132" s="3" t="s">
        <v>263</v>
      </c>
      <c r="T132">
        <v>39</v>
      </c>
      <c r="U132">
        <v>39</v>
      </c>
      <c r="V132">
        <v>160</v>
      </c>
      <c r="W132">
        <v>0.52</v>
      </c>
      <c r="X132">
        <v>174795</v>
      </c>
      <c r="Y132" s="3" t="s">
        <v>31</v>
      </c>
      <c r="Z132">
        <v>98.709000000000003</v>
      </c>
      <c r="AA132">
        <v>177000</v>
      </c>
      <c r="AB132" s="3" t="s">
        <v>256</v>
      </c>
      <c r="AC132" s="3" t="s">
        <v>10</v>
      </c>
      <c r="AD132">
        <v>178315</v>
      </c>
      <c r="AE132">
        <v>178315</v>
      </c>
      <c r="AF132" s="3" t="s">
        <v>640</v>
      </c>
    </row>
    <row r="133" spans="1:32" x14ac:dyDescent="0.35">
      <c r="A133" s="3" t="s">
        <v>608</v>
      </c>
      <c r="B133" s="3" t="s">
        <v>608</v>
      </c>
      <c r="C133" s="3" t="s">
        <v>608</v>
      </c>
      <c r="D133" s="3" t="s">
        <v>608</v>
      </c>
      <c r="E133" s="3" t="s">
        <v>608</v>
      </c>
      <c r="F133" s="3" t="s">
        <v>270</v>
      </c>
      <c r="G133" s="3" t="s">
        <v>270</v>
      </c>
      <c r="H133" s="3" t="s">
        <v>271</v>
      </c>
      <c r="I133" s="3" t="s">
        <v>272</v>
      </c>
      <c r="J133" s="3" t="s">
        <v>4</v>
      </c>
      <c r="K133" s="3" t="s">
        <v>743</v>
      </c>
      <c r="L133" s="3" t="s">
        <v>30</v>
      </c>
      <c r="M133" s="3" t="s">
        <v>14</v>
      </c>
      <c r="N133">
        <v>-400000</v>
      </c>
      <c r="O133">
        <v>99.393000000000001</v>
      </c>
      <c r="P133">
        <v>365</v>
      </c>
      <c r="Q133">
        <v>154</v>
      </c>
      <c r="R133">
        <v>-17</v>
      </c>
      <c r="S133" s="3" t="s">
        <v>263</v>
      </c>
      <c r="T133">
        <v>-239</v>
      </c>
      <c r="U133">
        <v>-241</v>
      </c>
      <c r="V133">
        <v>-881</v>
      </c>
      <c r="W133">
        <v>-2.84</v>
      </c>
      <c r="X133">
        <v>-397572</v>
      </c>
      <c r="Y133" s="3" t="s">
        <v>31</v>
      </c>
      <c r="Z133">
        <v>99.253</v>
      </c>
      <c r="AA133">
        <v>-200000</v>
      </c>
      <c r="AB133" s="3" t="s">
        <v>256</v>
      </c>
      <c r="AC133" s="3" t="s">
        <v>10</v>
      </c>
      <c r="AD133">
        <v>-409816</v>
      </c>
      <c r="AE133">
        <v>409816</v>
      </c>
      <c r="AF133" s="3" t="s">
        <v>640</v>
      </c>
    </row>
    <row r="134" spans="1:32" x14ac:dyDescent="0.35">
      <c r="A134" s="3" t="s">
        <v>608</v>
      </c>
      <c r="B134" s="3" t="s">
        <v>608</v>
      </c>
      <c r="C134" s="3" t="s">
        <v>608</v>
      </c>
      <c r="D134" s="3" t="s">
        <v>608</v>
      </c>
      <c r="E134" s="3" t="s">
        <v>608</v>
      </c>
      <c r="F134" s="3" t="s">
        <v>273</v>
      </c>
      <c r="G134" s="3" t="s">
        <v>273</v>
      </c>
      <c r="H134" s="3" t="s">
        <v>274</v>
      </c>
      <c r="I134" s="3" t="s">
        <v>272</v>
      </c>
      <c r="J134" s="3" t="s">
        <v>4</v>
      </c>
      <c r="K134" s="3" t="s">
        <v>744</v>
      </c>
      <c r="L134" s="3" t="s">
        <v>30</v>
      </c>
      <c r="M134" s="3" t="s">
        <v>14</v>
      </c>
      <c r="N134">
        <v>4500000</v>
      </c>
      <c r="O134">
        <v>97.616</v>
      </c>
      <c r="P134">
        <v>349</v>
      </c>
      <c r="Q134">
        <v>35115</v>
      </c>
      <c r="R134">
        <v>98</v>
      </c>
      <c r="S134" s="3" t="s">
        <v>263</v>
      </c>
      <c r="T134">
        <v>1754</v>
      </c>
      <c r="U134">
        <v>1770</v>
      </c>
      <c r="V134">
        <v>6172</v>
      </c>
      <c r="W134">
        <v>19.91</v>
      </c>
      <c r="X134">
        <v>4392720</v>
      </c>
      <c r="Y134" s="3" t="s">
        <v>31</v>
      </c>
      <c r="Z134">
        <v>97.429000000000002</v>
      </c>
      <c r="AA134">
        <v>-500000</v>
      </c>
      <c r="AB134" s="3" t="s">
        <v>256</v>
      </c>
      <c r="AC134" s="3" t="s">
        <v>10</v>
      </c>
      <c r="AD134">
        <v>4444580</v>
      </c>
      <c r="AE134">
        <v>4444580</v>
      </c>
      <c r="AF134" s="3" t="s">
        <v>640</v>
      </c>
    </row>
    <row r="135" spans="1:32" x14ac:dyDescent="0.35">
      <c r="A135" s="3" t="s">
        <v>608</v>
      </c>
      <c r="B135" s="3" t="s">
        <v>608</v>
      </c>
      <c r="C135" s="3" t="s">
        <v>608</v>
      </c>
      <c r="D135" s="3" t="s">
        <v>608</v>
      </c>
      <c r="E135" s="3" t="s">
        <v>608</v>
      </c>
      <c r="F135" s="3" t="s">
        <v>275</v>
      </c>
      <c r="G135" s="3" t="s">
        <v>275</v>
      </c>
      <c r="H135" s="3" t="s">
        <v>276</v>
      </c>
      <c r="I135" s="3" t="s">
        <v>277</v>
      </c>
      <c r="J135" s="3" t="s">
        <v>4</v>
      </c>
      <c r="K135" s="3" t="s">
        <v>745</v>
      </c>
      <c r="L135" s="3" t="s">
        <v>30</v>
      </c>
      <c r="M135" s="3" t="s">
        <v>14</v>
      </c>
      <c r="N135">
        <v>-3200000</v>
      </c>
      <c r="O135">
        <v>101.36799999999999</v>
      </c>
      <c r="P135">
        <v>171</v>
      </c>
      <c r="Q135">
        <v>-8608</v>
      </c>
      <c r="R135">
        <v>-153</v>
      </c>
      <c r="S135" s="3" t="s">
        <v>263</v>
      </c>
      <c r="T135">
        <v>-757</v>
      </c>
      <c r="U135">
        <v>-764</v>
      </c>
      <c r="V135">
        <v>-1304</v>
      </c>
      <c r="W135">
        <v>-4.21</v>
      </c>
      <c r="X135">
        <v>-3243776</v>
      </c>
      <c r="Y135" s="3" t="s">
        <v>31</v>
      </c>
      <c r="Z135">
        <v>101.099</v>
      </c>
      <c r="AA135">
        <v>-3200000</v>
      </c>
      <c r="AB135" s="3" t="s">
        <v>256</v>
      </c>
      <c r="AC135" s="3" t="s">
        <v>10</v>
      </c>
      <c r="AD135">
        <v>-3264335</v>
      </c>
      <c r="AE135">
        <v>3264335</v>
      </c>
      <c r="AF135" s="3" t="s">
        <v>640</v>
      </c>
    </row>
    <row r="136" spans="1:32" x14ac:dyDescent="0.35">
      <c r="A136" s="3" t="s">
        <v>608</v>
      </c>
      <c r="B136" s="3" t="s">
        <v>608</v>
      </c>
      <c r="C136" s="3" t="s">
        <v>608</v>
      </c>
      <c r="D136" s="3" t="s">
        <v>608</v>
      </c>
      <c r="E136" s="3" t="s">
        <v>608</v>
      </c>
      <c r="F136" s="3" t="s">
        <v>596</v>
      </c>
      <c r="G136" s="3" t="s">
        <v>596</v>
      </c>
      <c r="H136" s="3" t="s">
        <v>597</v>
      </c>
      <c r="I136" s="3" t="s">
        <v>45</v>
      </c>
      <c r="J136" s="3" t="s">
        <v>4</v>
      </c>
      <c r="K136" s="3" t="s">
        <v>746</v>
      </c>
      <c r="L136" s="3" t="s">
        <v>30</v>
      </c>
      <c r="M136" s="3" t="s">
        <v>14</v>
      </c>
      <c r="N136">
        <v>0</v>
      </c>
      <c r="O136">
        <v>102.935</v>
      </c>
      <c r="P136">
        <v>359</v>
      </c>
      <c r="Q136">
        <v>0</v>
      </c>
      <c r="R136">
        <v>172</v>
      </c>
      <c r="S136" s="3" t="s">
        <v>263</v>
      </c>
      <c r="T136">
        <v>0</v>
      </c>
      <c r="U136">
        <v>0</v>
      </c>
      <c r="V136">
        <v>0</v>
      </c>
      <c r="W136">
        <v>0</v>
      </c>
      <c r="X136">
        <v>0</v>
      </c>
      <c r="Y136" s="3" t="s">
        <v>31</v>
      </c>
      <c r="Z136">
        <v>102.935</v>
      </c>
      <c r="AA136">
        <v>0</v>
      </c>
      <c r="AB136" s="3" t="s">
        <v>256</v>
      </c>
      <c r="AC136" s="3" t="s">
        <v>10</v>
      </c>
      <c r="AD136">
        <v>0</v>
      </c>
      <c r="AE136">
        <v>0</v>
      </c>
      <c r="AF136" s="3" t="s">
        <v>640</v>
      </c>
    </row>
    <row r="137" spans="1:32" x14ac:dyDescent="0.35">
      <c r="A137" s="3" t="s">
        <v>608</v>
      </c>
      <c r="B137" s="3" t="s">
        <v>608</v>
      </c>
      <c r="C137" s="3" t="s">
        <v>608</v>
      </c>
      <c r="D137" s="3" t="s">
        <v>608</v>
      </c>
      <c r="E137" s="3" t="s">
        <v>608</v>
      </c>
      <c r="F137" s="3" t="s">
        <v>278</v>
      </c>
      <c r="G137" s="3" t="s">
        <v>278</v>
      </c>
      <c r="H137" s="3" t="s">
        <v>279</v>
      </c>
      <c r="I137" s="3" t="s">
        <v>45</v>
      </c>
      <c r="J137" s="3" t="s">
        <v>4</v>
      </c>
      <c r="K137" s="3" t="s">
        <v>747</v>
      </c>
      <c r="L137" s="3" t="s">
        <v>30</v>
      </c>
      <c r="M137" s="3" t="s">
        <v>14</v>
      </c>
      <c r="N137">
        <v>-6900000</v>
      </c>
      <c r="O137">
        <v>103.566</v>
      </c>
      <c r="P137">
        <v>301</v>
      </c>
      <c r="Q137">
        <v>-38916</v>
      </c>
      <c r="R137">
        <v>-712</v>
      </c>
      <c r="S137" s="3" t="s">
        <v>263</v>
      </c>
      <c r="T137">
        <v>-3503</v>
      </c>
      <c r="U137">
        <v>-3539</v>
      </c>
      <c r="V137">
        <v>-10637</v>
      </c>
      <c r="W137">
        <v>-34.31</v>
      </c>
      <c r="X137">
        <v>-7146054</v>
      </c>
      <c r="Y137" s="3" t="s">
        <v>31</v>
      </c>
      <c r="Z137">
        <v>103.002</v>
      </c>
      <c r="AA137">
        <v>-6900000</v>
      </c>
      <c r="AB137" s="3" t="s">
        <v>256</v>
      </c>
      <c r="AC137" s="3" t="s">
        <v>10</v>
      </c>
      <c r="AD137">
        <v>-7228996</v>
      </c>
      <c r="AE137">
        <v>7228996</v>
      </c>
      <c r="AF137" s="3" t="s">
        <v>640</v>
      </c>
    </row>
    <row r="138" spans="1:32" x14ac:dyDescent="0.35">
      <c r="A138" s="3" t="s">
        <v>608</v>
      </c>
      <c r="B138" s="3" t="s">
        <v>608</v>
      </c>
      <c r="C138" s="3" t="s">
        <v>608</v>
      </c>
      <c r="D138" s="3" t="s">
        <v>608</v>
      </c>
      <c r="E138" s="3" t="s">
        <v>608</v>
      </c>
      <c r="F138" s="3" t="s">
        <v>280</v>
      </c>
      <c r="G138" s="3" t="s">
        <v>280</v>
      </c>
      <c r="H138" s="3" t="s">
        <v>281</v>
      </c>
      <c r="I138" s="3" t="s">
        <v>282</v>
      </c>
      <c r="J138" s="3" t="s">
        <v>283</v>
      </c>
      <c r="K138" s="3" t="s">
        <v>748</v>
      </c>
      <c r="L138" s="3" t="s">
        <v>30</v>
      </c>
      <c r="M138" s="3" t="s">
        <v>14</v>
      </c>
      <c r="N138">
        <v>0</v>
      </c>
      <c r="O138">
        <v>105.27200000000001</v>
      </c>
      <c r="P138">
        <v>376</v>
      </c>
      <c r="Q138">
        <v>0</v>
      </c>
      <c r="R138">
        <v>0</v>
      </c>
      <c r="S138" s="3" t="s">
        <v>263</v>
      </c>
      <c r="T138">
        <v>0</v>
      </c>
      <c r="U138">
        <v>0</v>
      </c>
      <c r="V138">
        <v>0</v>
      </c>
      <c r="W138">
        <v>0</v>
      </c>
      <c r="X138">
        <v>0</v>
      </c>
      <c r="Y138" s="3" t="s">
        <v>31</v>
      </c>
      <c r="Z138">
        <v>105.27200000000001</v>
      </c>
      <c r="AA138">
        <v>0</v>
      </c>
      <c r="AB138" s="3" t="s">
        <v>256</v>
      </c>
      <c r="AC138" s="3" t="s">
        <v>10</v>
      </c>
      <c r="AD138">
        <v>0</v>
      </c>
      <c r="AE138">
        <v>0</v>
      </c>
      <c r="AF138" s="3" t="s">
        <v>640</v>
      </c>
    </row>
    <row r="139" spans="1:32" x14ac:dyDescent="0.35">
      <c r="A139" s="3" t="s">
        <v>608</v>
      </c>
      <c r="B139" s="3" t="s">
        <v>608</v>
      </c>
      <c r="C139" s="3" t="s">
        <v>608</v>
      </c>
      <c r="D139" s="3" t="s">
        <v>608</v>
      </c>
      <c r="E139" s="3" t="s">
        <v>608</v>
      </c>
      <c r="F139" s="3" t="s">
        <v>284</v>
      </c>
      <c r="G139" s="3" t="s">
        <v>284</v>
      </c>
      <c r="H139" s="3" t="s">
        <v>285</v>
      </c>
      <c r="I139" s="3" t="s">
        <v>282</v>
      </c>
      <c r="J139" s="3" t="s">
        <v>4</v>
      </c>
      <c r="K139" s="3" t="s">
        <v>749</v>
      </c>
      <c r="L139" s="3" t="s">
        <v>30</v>
      </c>
      <c r="M139" s="3" t="s">
        <v>14</v>
      </c>
      <c r="N139">
        <v>16558000</v>
      </c>
      <c r="O139">
        <v>100.154</v>
      </c>
      <c r="P139">
        <v>310</v>
      </c>
      <c r="Q139">
        <v>11094</v>
      </c>
      <c r="R139">
        <v>1361</v>
      </c>
      <c r="S139" s="3" t="s">
        <v>263</v>
      </c>
      <c r="T139">
        <v>713</v>
      </c>
      <c r="U139">
        <v>718</v>
      </c>
      <c r="V139">
        <v>2224</v>
      </c>
      <c r="W139">
        <v>7.17</v>
      </c>
      <c r="X139">
        <v>16583499</v>
      </c>
      <c r="Y139" s="3" t="s">
        <v>31</v>
      </c>
      <c r="Z139">
        <v>100.087</v>
      </c>
      <c r="AA139">
        <v>16558000</v>
      </c>
      <c r="AB139" s="3" t="s">
        <v>256</v>
      </c>
      <c r="AC139" s="3" t="s">
        <v>10</v>
      </c>
      <c r="AD139">
        <v>16866573</v>
      </c>
      <c r="AE139">
        <v>16866573</v>
      </c>
      <c r="AF139" s="3" t="s">
        <v>640</v>
      </c>
    </row>
    <row r="140" spans="1:32" x14ac:dyDescent="0.35">
      <c r="A140" s="3" t="s">
        <v>608</v>
      </c>
      <c r="B140" s="3" t="s">
        <v>608</v>
      </c>
      <c r="C140" s="3" t="s">
        <v>608</v>
      </c>
      <c r="D140" s="3" t="s">
        <v>608</v>
      </c>
      <c r="E140" s="3" t="s">
        <v>608</v>
      </c>
      <c r="F140" s="3" t="s">
        <v>598</v>
      </c>
      <c r="G140" s="3" t="s">
        <v>598</v>
      </c>
      <c r="H140" s="3" t="s">
        <v>599</v>
      </c>
      <c r="I140" s="3" t="s">
        <v>600</v>
      </c>
      <c r="J140" s="3" t="s">
        <v>4</v>
      </c>
      <c r="K140" s="3" t="s">
        <v>750</v>
      </c>
      <c r="L140" s="3" t="s">
        <v>30</v>
      </c>
      <c r="M140" s="3" t="s">
        <v>14</v>
      </c>
      <c r="N140">
        <v>4769000</v>
      </c>
      <c r="O140">
        <v>95.265000000000001</v>
      </c>
      <c r="P140">
        <v>632</v>
      </c>
      <c r="Q140">
        <v>11398</v>
      </c>
      <c r="R140">
        <v>635</v>
      </c>
      <c r="S140" s="3" t="s">
        <v>250</v>
      </c>
      <c r="T140">
        <v>2217</v>
      </c>
      <c r="U140">
        <v>2239</v>
      </c>
      <c r="V140">
        <v>14158</v>
      </c>
      <c r="W140">
        <v>45.67</v>
      </c>
      <c r="X140">
        <v>4543188</v>
      </c>
      <c r="Y140" s="3" t="s">
        <v>31</v>
      </c>
      <c r="Z140">
        <v>95.025999999999996</v>
      </c>
      <c r="AA140">
        <v>4769000</v>
      </c>
      <c r="AB140" s="3" t="s">
        <v>256</v>
      </c>
      <c r="AC140" s="3" t="s">
        <v>10</v>
      </c>
      <c r="AD140">
        <v>4574313</v>
      </c>
      <c r="AE140">
        <v>4574313</v>
      </c>
      <c r="AF140" s="3" t="s">
        <v>640</v>
      </c>
    </row>
    <row r="141" spans="1:32" x14ac:dyDescent="0.35">
      <c r="A141" s="3" t="s">
        <v>608</v>
      </c>
      <c r="B141" s="3" t="s">
        <v>608</v>
      </c>
      <c r="C141" s="3" t="s">
        <v>608</v>
      </c>
      <c r="D141" s="3" t="s">
        <v>608</v>
      </c>
      <c r="E141" s="3" t="s">
        <v>608</v>
      </c>
      <c r="F141" s="3" t="s">
        <v>601</v>
      </c>
      <c r="G141" s="3" t="s">
        <v>601</v>
      </c>
      <c r="H141" s="3" t="s">
        <v>599</v>
      </c>
      <c r="I141" s="3" t="s">
        <v>600</v>
      </c>
      <c r="J141" s="3" t="s">
        <v>4</v>
      </c>
      <c r="K141" s="3" t="s">
        <v>751</v>
      </c>
      <c r="L141" s="3" t="s">
        <v>30</v>
      </c>
      <c r="M141" s="3" t="s">
        <v>14</v>
      </c>
      <c r="N141">
        <v>-4006000</v>
      </c>
      <c r="O141">
        <v>97.025999999999996</v>
      </c>
      <c r="P141">
        <v>611</v>
      </c>
      <c r="Q141">
        <v>-8693</v>
      </c>
      <c r="R141">
        <v>-535</v>
      </c>
      <c r="S141" s="3" t="s">
        <v>250</v>
      </c>
      <c r="T141">
        <v>-1582</v>
      </c>
      <c r="U141">
        <v>-1597</v>
      </c>
      <c r="V141">
        <v>-9765</v>
      </c>
      <c r="W141">
        <v>-31.5</v>
      </c>
      <c r="X141">
        <v>-3886862</v>
      </c>
      <c r="Y141" s="3" t="s">
        <v>31</v>
      </c>
      <c r="Z141">
        <v>96.808999999999997</v>
      </c>
      <c r="AA141">
        <v>-4006000</v>
      </c>
      <c r="AB141" s="3" t="s">
        <v>256</v>
      </c>
      <c r="AC141" s="3" t="s">
        <v>10</v>
      </c>
      <c r="AD141">
        <v>-3897027</v>
      </c>
      <c r="AE141">
        <v>3897027</v>
      </c>
      <c r="AF141" s="3" t="s">
        <v>640</v>
      </c>
    </row>
    <row r="142" spans="1:32" x14ac:dyDescent="0.35">
      <c r="A142" s="3" t="s">
        <v>608</v>
      </c>
      <c r="B142" s="3" t="s">
        <v>608</v>
      </c>
      <c r="C142" s="3" t="s">
        <v>608</v>
      </c>
      <c r="D142" s="3" t="s">
        <v>608</v>
      </c>
      <c r="E142" s="3" t="s">
        <v>608</v>
      </c>
      <c r="F142" s="3" t="s">
        <v>286</v>
      </c>
      <c r="G142" s="3" t="s">
        <v>286</v>
      </c>
      <c r="H142" s="3" t="s">
        <v>287</v>
      </c>
      <c r="I142" s="3" t="s">
        <v>288</v>
      </c>
      <c r="J142" s="3" t="s">
        <v>4</v>
      </c>
      <c r="K142" s="3" t="s">
        <v>752</v>
      </c>
      <c r="L142" s="3" t="s">
        <v>30</v>
      </c>
      <c r="M142" s="3" t="s">
        <v>14</v>
      </c>
      <c r="N142">
        <v>-200000</v>
      </c>
      <c r="O142">
        <v>100.092</v>
      </c>
      <c r="P142">
        <v>193</v>
      </c>
      <c r="Q142">
        <v>-386</v>
      </c>
      <c r="R142">
        <v>-9</v>
      </c>
      <c r="S142" s="3" t="s">
        <v>263</v>
      </c>
      <c r="T142">
        <v>-161</v>
      </c>
      <c r="U142">
        <v>-163</v>
      </c>
      <c r="V142">
        <v>-315</v>
      </c>
      <c r="W142">
        <v>-1.01</v>
      </c>
      <c r="X142">
        <v>-200184</v>
      </c>
      <c r="Y142" s="3" t="s">
        <v>31</v>
      </c>
      <c r="Z142">
        <v>99.899000000000001</v>
      </c>
      <c r="AA142">
        <v>-200000</v>
      </c>
      <c r="AB142" s="3" t="s">
        <v>256</v>
      </c>
      <c r="AC142" s="3" t="s">
        <v>10</v>
      </c>
      <c r="AD142">
        <v>-200333</v>
      </c>
      <c r="AE142">
        <v>200333</v>
      </c>
      <c r="AF142" s="3" t="s">
        <v>640</v>
      </c>
    </row>
    <row r="143" spans="1:32" x14ac:dyDescent="0.35">
      <c r="A143" s="3" t="s">
        <v>608</v>
      </c>
      <c r="B143" s="3" t="s">
        <v>608</v>
      </c>
      <c r="C143" s="3" t="s">
        <v>608</v>
      </c>
      <c r="D143" s="3" t="s">
        <v>608</v>
      </c>
      <c r="E143" s="3" t="s">
        <v>608</v>
      </c>
      <c r="F143" s="3" t="s">
        <v>289</v>
      </c>
      <c r="G143" s="3" t="s">
        <v>289</v>
      </c>
      <c r="H143" s="3" t="s">
        <v>290</v>
      </c>
      <c r="I143" s="3" t="s">
        <v>291</v>
      </c>
      <c r="J143" s="3" t="s">
        <v>4</v>
      </c>
      <c r="K143" s="3" t="s">
        <v>753</v>
      </c>
      <c r="L143" s="3" t="s">
        <v>30</v>
      </c>
      <c r="M143" s="3" t="s">
        <v>14</v>
      </c>
      <c r="N143">
        <v>-14200000</v>
      </c>
      <c r="O143">
        <v>100.709</v>
      </c>
      <c r="P143">
        <v>157</v>
      </c>
      <c r="Q143">
        <v>-16046</v>
      </c>
      <c r="R143">
        <v>-486</v>
      </c>
      <c r="S143" s="3" t="s">
        <v>250</v>
      </c>
      <c r="T143">
        <v>-8701</v>
      </c>
      <c r="U143">
        <v>-8790</v>
      </c>
      <c r="V143">
        <v>-13803</v>
      </c>
      <c r="W143">
        <v>-44.53</v>
      </c>
      <c r="X143">
        <v>-14300678</v>
      </c>
      <c r="Y143" s="3" t="s">
        <v>31</v>
      </c>
      <c r="Z143">
        <v>100.596</v>
      </c>
      <c r="AA143">
        <v>-14200000</v>
      </c>
      <c r="AB143" s="3" t="s">
        <v>256</v>
      </c>
      <c r="AC143" s="3" t="s">
        <v>10</v>
      </c>
      <c r="AD143">
        <v>-14369246</v>
      </c>
      <c r="AE143">
        <v>14369246</v>
      </c>
      <c r="AF143" s="3" t="s">
        <v>640</v>
      </c>
    </row>
    <row r="144" spans="1:32" x14ac:dyDescent="0.35">
      <c r="A144" s="3" t="s">
        <v>608</v>
      </c>
      <c r="B144" s="3" t="s">
        <v>608</v>
      </c>
      <c r="C144" s="3" t="s">
        <v>608</v>
      </c>
      <c r="D144" s="3" t="s">
        <v>608</v>
      </c>
      <c r="E144" s="3" t="s">
        <v>608</v>
      </c>
      <c r="F144" s="3" t="s">
        <v>292</v>
      </c>
      <c r="G144" s="3" t="s">
        <v>292</v>
      </c>
      <c r="H144" s="3" t="s">
        <v>293</v>
      </c>
      <c r="I144" s="3" t="s">
        <v>294</v>
      </c>
      <c r="J144" s="3" t="s">
        <v>4</v>
      </c>
      <c r="K144" s="3" t="s">
        <v>754</v>
      </c>
      <c r="L144" s="3" t="s">
        <v>30</v>
      </c>
      <c r="M144" s="3" t="s">
        <v>14</v>
      </c>
      <c r="N144">
        <v>1600000</v>
      </c>
      <c r="O144">
        <v>99.119</v>
      </c>
      <c r="P144">
        <v>379</v>
      </c>
      <c r="Q144">
        <v>1824</v>
      </c>
      <c r="R144">
        <v>-148</v>
      </c>
      <c r="S144" s="3" t="s">
        <v>263</v>
      </c>
      <c r="T144">
        <v>1281</v>
      </c>
      <c r="U144">
        <v>1295</v>
      </c>
      <c r="V144">
        <v>4912</v>
      </c>
      <c r="W144">
        <v>15.85</v>
      </c>
      <c r="X144">
        <v>1585904</v>
      </c>
      <c r="Y144" s="3" t="s">
        <v>31</v>
      </c>
      <c r="Z144">
        <v>98.503</v>
      </c>
      <c r="AA144">
        <v>0</v>
      </c>
      <c r="AB144" s="3" t="s">
        <v>256</v>
      </c>
      <c r="AC144" s="3" t="s">
        <v>10</v>
      </c>
      <c r="AD144">
        <v>1593449</v>
      </c>
      <c r="AE144">
        <v>1593449</v>
      </c>
      <c r="AF144" s="3" t="s">
        <v>640</v>
      </c>
    </row>
    <row r="145" spans="1:32" x14ac:dyDescent="0.35">
      <c r="A145" s="3" t="s">
        <v>608</v>
      </c>
      <c r="B145" s="3" t="s">
        <v>608</v>
      </c>
      <c r="C145" s="3" t="s">
        <v>608</v>
      </c>
      <c r="D145" s="3" t="s">
        <v>608</v>
      </c>
      <c r="E145" s="3" t="s">
        <v>608</v>
      </c>
      <c r="F145" s="3" t="s">
        <v>606</v>
      </c>
      <c r="G145" s="3" t="s">
        <v>606</v>
      </c>
      <c r="H145" s="3" t="s">
        <v>607</v>
      </c>
      <c r="I145" s="3" t="s">
        <v>294</v>
      </c>
      <c r="J145" s="3" t="s">
        <v>283</v>
      </c>
      <c r="K145" s="3" t="s">
        <v>755</v>
      </c>
      <c r="L145" s="3" t="s">
        <v>30</v>
      </c>
      <c r="M145" s="3" t="s">
        <v>14</v>
      </c>
      <c r="N145">
        <v>3700000</v>
      </c>
      <c r="O145">
        <v>108.857</v>
      </c>
      <c r="P145">
        <v>419</v>
      </c>
      <c r="Q145">
        <v>10974</v>
      </c>
      <c r="R145">
        <v>533</v>
      </c>
      <c r="S145" s="3" t="s">
        <v>263</v>
      </c>
      <c r="T145">
        <v>2940</v>
      </c>
      <c r="U145">
        <v>2987</v>
      </c>
      <c r="V145">
        <v>12505</v>
      </c>
      <c r="W145">
        <v>40.340000000000003</v>
      </c>
      <c r="X145">
        <v>4481806</v>
      </c>
      <c r="Y145" s="3" t="s">
        <v>31</v>
      </c>
      <c r="Z145">
        <v>108.64</v>
      </c>
      <c r="AA145">
        <v>3000000</v>
      </c>
      <c r="AB145" s="3" t="s">
        <v>256</v>
      </c>
      <c r="AC145" s="3" t="s">
        <v>10</v>
      </c>
      <c r="AD145">
        <v>4543940</v>
      </c>
      <c r="AE145">
        <v>4543940</v>
      </c>
      <c r="AF145" s="3" t="s">
        <v>640</v>
      </c>
    </row>
    <row r="146" spans="1:32" x14ac:dyDescent="0.35">
      <c r="A146" s="3" t="s">
        <v>608</v>
      </c>
      <c r="B146" s="3" t="s">
        <v>608</v>
      </c>
      <c r="C146" s="3" t="s">
        <v>608</v>
      </c>
      <c r="D146" s="3" t="s">
        <v>608</v>
      </c>
      <c r="E146" s="3" t="s">
        <v>608</v>
      </c>
      <c r="F146" s="3" t="s">
        <v>295</v>
      </c>
      <c r="G146" s="3" t="s">
        <v>295</v>
      </c>
      <c r="H146" s="3" t="s">
        <v>296</v>
      </c>
      <c r="I146" s="3" t="s">
        <v>294</v>
      </c>
      <c r="J146" s="3" t="s">
        <v>4</v>
      </c>
      <c r="K146" s="3" t="s">
        <v>756</v>
      </c>
      <c r="L146" s="3" t="s">
        <v>30</v>
      </c>
      <c r="M146" s="3" t="s">
        <v>14</v>
      </c>
      <c r="N146">
        <v>-1800000</v>
      </c>
      <c r="O146">
        <v>98.933999999999997</v>
      </c>
      <c r="P146">
        <v>360</v>
      </c>
      <c r="Q146">
        <v>-7326</v>
      </c>
      <c r="R146">
        <v>-148</v>
      </c>
      <c r="S146" s="3" t="s">
        <v>263</v>
      </c>
      <c r="T146">
        <v>-1083</v>
      </c>
      <c r="U146">
        <v>-1094</v>
      </c>
      <c r="V146">
        <v>-3935</v>
      </c>
      <c r="W146">
        <v>-12.69</v>
      </c>
      <c r="X146">
        <v>-1780812</v>
      </c>
      <c r="Y146" s="3" t="s">
        <v>31</v>
      </c>
      <c r="Z146">
        <v>98.527000000000001</v>
      </c>
      <c r="AA146">
        <v>-1800000</v>
      </c>
      <c r="AB146" s="3" t="s">
        <v>256</v>
      </c>
      <c r="AC146" s="3" t="s">
        <v>10</v>
      </c>
      <c r="AD146">
        <v>-1830533</v>
      </c>
      <c r="AE146">
        <v>1830533</v>
      </c>
      <c r="AF146" s="3" t="s">
        <v>640</v>
      </c>
    </row>
    <row r="147" spans="1:32" x14ac:dyDescent="0.35">
      <c r="A147" s="3" t="s">
        <v>608</v>
      </c>
      <c r="B147" s="3" t="s">
        <v>608</v>
      </c>
      <c r="C147" s="3" t="s">
        <v>608</v>
      </c>
      <c r="D147" s="3" t="s">
        <v>608</v>
      </c>
      <c r="E147" s="3" t="s">
        <v>608</v>
      </c>
      <c r="F147" s="3" t="s">
        <v>297</v>
      </c>
      <c r="G147" s="3" t="s">
        <v>297</v>
      </c>
      <c r="H147" s="3" t="s">
        <v>298</v>
      </c>
      <c r="I147" s="3" t="s">
        <v>294</v>
      </c>
      <c r="J147" s="3" t="s">
        <v>4</v>
      </c>
      <c r="K147" s="3" t="s">
        <v>757</v>
      </c>
      <c r="L147" s="3" t="s">
        <v>30</v>
      </c>
      <c r="M147" s="3" t="s">
        <v>14</v>
      </c>
      <c r="N147">
        <v>0</v>
      </c>
      <c r="O147">
        <v>97.93</v>
      </c>
      <c r="P147">
        <v>371</v>
      </c>
      <c r="Q147">
        <v>0</v>
      </c>
      <c r="R147">
        <v>-47</v>
      </c>
      <c r="S147" s="3" t="s">
        <v>263</v>
      </c>
      <c r="T147">
        <v>0</v>
      </c>
      <c r="U147">
        <v>0</v>
      </c>
      <c r="V147">
        <v>0</v>
      </c>
      <c r="W147">
        <v>0</v>
      </c>
      <c r="X147">
        <v>0</v>
      </c>
      <c r="Y147" s="3" t="s">
        <v>31</v>
      </c>
      <c r="Z147">
        <v>97.93</v>
      </c>
      <c r="AA147">
        <v>0</v>
      </c>
      <c r="AB147" s="3" t="s">
        <v>256</v>
      </c>
      <c r="AC147" s="3" t="s">
        <v>10</v>
      </c>
      <c r="AD147">
        <v>0</v>
      </c>
      <c r="AE147">
        <v>0</v>
      </c>
      <c r="AF147" s="3" t="s">
        <v>640</v>
      </c>
    </row>
    <row r="148" spans="1:32" x14ac:dyDescent="0.35">
      <c r="A148" s="3" t="s">
        <v>608</v>
      </c>
      <c r="B148" s="3" t="s">
        <v>608</v>
      </c>
      <c r="C148" s="3" t="s">
        <v>608</v>
      </c>
      <c r="D148" s="3" t="s">
        <v>608</v>
      </c>
      <c r="E148" s="3" t="s">
        <v>608</v>
      </c>
      <c r="F148" s="3" t="s">
        <v>299</v>
      </c>
      <c r="G148" s="3" t="s">
        <v>299</v>
      </c>
      <c r="H148" s="3" t="s">
        <v>300</v>
      </c>
      <c r="I148" s="3" t="s">
        <v>294</v>
      </c>
      <c r="J148" s="3" t="s">
        <v>283</v>
      </c>
      <c r="K148" s="3" t="s">
        <v>758</v>
      </c>
      <c r="L148" s="3" t="s">
        <v>30</v>
      </c>
      <c r="M148" s="3" t="s">
        <v>14</v>
      </c>
      <c r="N148">
        <v>-3200000</v>
      </c>
      <c r="O148">
        <v>108.863</v>
      </c>
      <c r="P148">
        <v>386</v>
      </c>
      <c r="Q148">
        <v>-8137</v>
      </c>
      <c r="R148">
        <v>-581</v>
      </c>
      <c r="S148" s="3" t="s">
        <v>263</v>
      </c>
      <c r="T148">
        <v>-1748</v>
      </c>
      <c r="U148">
        <v>-1776</v>
      </c>
      <c r="V148">
        <v>-6859</v>
      </c>
      <c r="W148">
        <v>-22.13</v>
      </c>
      <c r="X148">
        <v>-3876370</v>
      </c>
      <c r="Y148" s="3" t="s">
        <v>31</v>
      </c>
      <c r="Z148">
        <v>108.633</v>
      </c>
      <c r="AA148">
        <v>-3200000</v>
      </c>
      <c r="AB148" s="3" t="s">
        <v>256</v>
      </c>
      <c r="AC148" s="3" t="s">
        <v>10</v>
      </c>
      <c r="AD148">
        <v>-3927500</v>
      </c>
      <c r="AE148">
        <v>3927500</v>
      </c>
      <c r="AF148" s="3" t="s">
        <v>640</v>
      </c>
    </row>
    <row r="149" spans="1:32" x14ac:dyDescent="0.35">
      <c r="A149" s="3" t="s">
        <v>608</v>
      </c>
      <c r="B149" s="3" t="s">
        <v>608</v>
      </c>
      <c r="C149" s="3" t="s">
        <v>608</v>
      </c>
      <c r="D149" s="3" t="s">
        <v>608</v>
      </c>
      <c r="E149" s="3" t="s">
        <v>608</v>
      </c>
      <c r="F149" s="3" t="s">
        <v>301</v>
      </c>
      <c r="G149" s="3" t="s">
        <v>301</v>
      </c>
      <c r="H149" s="3" t="s">
        <v>302</v>
      </c>
      <c r="I149" s="3" t="s">
        <v>294</v>
      </c>
      <c r="J149" s="3" t="s">
        <v>4</v>
      </c>
      <c r="K149" s="3" t="s">
        <v>759</v>
      </c>
      <c r="L149" s="3" t="s">
        <v>30</v>
      </c>
      <c r="M149" s="3" t="s">
        <v>14</v>
      </c>
      <c r="N149">
        <v>-2000000</v>
      </c>
      <c r="O149">
        <v>110.285</v>
      </c>
      <c r="P149">
        <v>327</v>
      </c>
      <c r="Q149">
        <v>-6560</v>
      </c>
      <c r="R149">
        <v>-294</v>
      </c>
      <c r="S149" s="3" t="s">
        <v>263</v>
      </c>
      <c r="T149">
        <v>-841</v>
      </c>
      <c r="U149">
        <v>-849</v>
      </c>
      <c r="V149">
        <v>-2782</v>
      </c>
      <c r="W149">
        <v>-8.9700000000000006</v>
      </c>
      <c r="X149">
        <v>-2205700</v>
      </c>
      <c r="Y149" s="3" t="s">
        <v>31</v>
      </c>
      <c r="Z149">
        <v>109.95699999999999</v>
      </c>
      <c r="AA149">
        <v>-2000000</v>
      </c>
      <c r="AB149" s="3" t="s">
        <v>256</v>
      </c>
      <c r="AC149" s="3" t="s">
        <v>10</v>
      </c>
      <c r="AD149">
        <v>-2287940</v>
      </c>
      <c r="AE149">
        <v>2287940</v>
      </c>
      <c r="AF149" s="3" t="s">
        <v>640</v>
      </c>
    </row>
    <row r="150" spans="1:32" x14ac:dyDescent="0.35">
      <c r="A150" s="3" t="s">
        <v>608</v>
      </c>
      <c r="B150" s="3" t="s">
        <v>608</v>
      </c>
      <c r="C150" s="3" t="s">
        <v>608</v>
      </c>
      <c r="D150" s="3" t="s">
        <v>608</v>
      </c>
      <c r="E150" s="3" t="s">
        <v>608</v>
      </c>
      <c r="F150" s="3" t="s">
        <v>303</v>
      </c>
      <c r="G150" s="3" t="s">
        <v>303</v>
      </c>
      <c r="H150" s="3" t="s">
        <v>304</v>
      </c>
      <c r="I150" s="3" t="s">
        <v>294</v>
      </c>
      <c r="J150" s="3" t="s">
        <v>4</v>
      </c>
      <c r="K150" s="3" t="s">
        <v>760</v>
      </c>
      <c r="L150" s="3" t="s">
        <v>30</v>
      </c>
      <c r="M150" s="3" t="s">
        <v>14</v>
      </c>
      <c r="N150">
        <v>0</v>
      </c>
      <c r="O150">
        <v>104.17</v>
      </c>
      <c r="P150">
        <v>331</v>
      </c>
      <c r="Q150">
        <v>0</v>
      </c>
      <c r="R150">
        <v>11</v>
      </c>
      <c r="S150" s="3" t="s">
        <v>263</v>
      </c>
      <c r="T150">
        <v>0</v>
      </c>
      <c r="U150">
        <v>0</v>
      </c>
      <c r="V150">
        <v>0</v>
      </c>
      <c r="W150">
        <v>0</v>
      </c>
      <c r="X150">
        <v>0</v>
      </c>
      <c r="Y150" s="3" t="s">
        <v>31</v>
      </c>
      <c r="Z150">
        <v>104.17</v>
      </c>
      <c r="AA150">
        <v>0</v>
      </c>
      <c r="AB150" s="3" t="s">
        <v>256</v>
      </c>
      <c r="AC150" s="3" t="s">
        <v>10</v>
      </c>
      <c r="AD150">
        <v>0</v>
      </c>
      <c r="AE150">
        <v>0</v>
      </c>
      <c r="AF150" s="3" t="s">
        <v>640</v>
      </c>
    </row>
    <row r="151" spans="1:32" x14ac:dyDescent="0.35">
      <c r="A151" s="3" t="s">
        <v>608</v>
      </c>
      <c r="B151" s="3" t="s">
        <v>608</v>
      </c>
      <c r="C151" s="3" t="s">
        <v>608</v>
      </c>
      <c r="D151" s="3" t="s">
        <v>608</v>
      </c>
      <c r="E151" s="3" t="s">
        <v>608</v>
      </c>
      <c r="F151" s="3" t="s">
        <v>948</v>
      </c>
      <c r="G151" s="3" t="s">
        <v>948</v>
      </c>
      <c r="H151" s="3" t="s">
        <v>949</v>
      </c>
      <c r="I151" s="3" t="s">
        <v>294</v>
      </c>
      <c r="J151" s="3" t="s">
        <v>266</v>
      </c>
      <c r="K151" s="3" t="s">
        <v>950</v>
      </c>
      <c r="L151" s="3" t="s">
        <v>30</v>
      </c>
      <c r="M151" s="3" t="s">
        <v>14</v>
      </c>
      <c r="N151">
        <v>-675000</v>
      </c>
      <c r="O151">
        <v>103.89</v>
      </c>
      <c r="P151">
        <v>316</v>
      </c>
      <c r="Q151">
        <v>-317</v>
      </c>
      <c r="R151">
        <v>-109</v>
      </c>
      <c r="S151" s="3" t="s">
        <v>263</v>
      </c>
      <c r="T151">
        <v>-126</v>
      </c>
      <c r="U151">
        <v>-128</v>
      </c>
      <c r="V151">
        <v>-404</v>
      </c>
      <c r="W151">
        <v>-1.3</v>
      </c>
      <c r="X151">
        <v>-597934</v>
      </c>
      <c r="Y151" s="3" t="s">
        <v>31</v>
      </c>
      <c r="Z151">
        <v>103.77200000000001</v>
      </c>
      <c r="AA151">
        <v>-875000</v>
      </c>
      <c r="AB151" s="3" t="s">
        <v>256</v>
      </c>
      <c r="AC151" s="3" t="s">
        <v>10</v>
      </c>
      <c r="AD151">
        <v>-607257</v>
      </c>
      <c r="AE151">
        <v>607257</v>
      </c>
      <c r="AF151" s="3" t="s">
        <v>640</v>
      </c>
    </row>
    <row r="152" spans="1:32" x14ac:dyDescent="0.35">
      <c r="A152" s="3" t="s">
        <v>608</v>
      </c>
      <c r="B152" s="3" t="s">
        <v>608</v>
      </c>
      <c r="C152" s="3" t="s">
        <v>608</v>
      </c>
      <c r="D152" s="3" t="s">
        <v>608</v>
      </c>
      <c r="E152" s="3" t="s">
        <v>608</v>
      </c>
      <c r="F152" s="3" t="s">
        <v>859</v>
      </c>
      <c r="G152" s="3" t="s">
        <v>859</v>
      </c>
      <c r="H152" s="3" t="s">
        <v>860</v>
      </c>
      <c r="I152" s="3" t="s">
        <v>294</v>
      </c>
      <c r="J152" s="3" t="s">
        <v>4</v>
      </c>
      <c r="K152" s="3" t="s">
        <v>861</v>
      </c>
      <c r="L152" s="3" t="s">
        <v>30</v>
      </c>
      <c r="M152" s="3" t="s">
        <v>14</v>
      </c>
      <c r="N152">
        <v>2500000</v>
      </c>
      <c r="O152">
        <v>103.611</v>
      </c>
      <c r="P152">
        <v>162</v>
      </c>
      <c r="Q152">
        <v>400</v>
      </c>
      <c r="R152">
        <v>282</v>
      </c>
      <c r="S152" s="3" t="s">
        <v>263</v>
      </c>
      <c r="T152">
        <v>310</v>
      </c>
      <c r="U152">
        <v>315</v>
      </c>
      <c r="V152">
        <v>508</v>
      </c>
      <c r="W152">
        <v>1.64</v>
      </c>
      <c r="X152">
        <v>2590275</v>
      </c>
      <c r="Y152" s="3" t="s">
        <v>31</v>
      </c>
      <c r="Z152">
        <v>103.595</v>
      </c>
      <c r="AA152">
        <v>2500000</v>
      </c>
      <c r="AB152" s="3" t="s">
        <v>256</v>
      </c>
      <c r="AC152" s="3" t="s">
        <v>10</v>
      </c>
      <c r="AD152">
        <v>2671141</v>
      </c>
      <c r="AE152">
        <v>2671141</v>
      </c>
      <c r="AF152" s="3" t="s">
        <v>640</v>
      </c>
    </row>
    <row r="153" spans="1:32" x14ac:dyDescent="0.35">
      <c r="A153" s="3" t="s">
        <v>608</v>
      </c>
      <c r="B153" s="3" t="s">
        <v>608</v>
      </c>
      <c r="C153" s="3" t="s">
        <v>608</v>
      </c>
      <c r="D153" s="3" t="s">
        <v>608</v>
      </c>
      <c r="E153" s="3" t="s">
        <v>608</v>
      </c>
      <c r="F153" s="3" t="s">
        <v>305</v>
      </c>
      <c r="G153" s="3" t="s">
        <v>305</v>
      </c>
      <c r="H153" s="3" t="s">
        <v>306</v>
      </c>
      <c r="I153" s="3" t="s">
        <v>53</v>
      </c>
      <c r="J153" s="3" t="s">
        <v>4</v>
      </c>
      <c r="K153" s="3" t="s">
        <v>761</v>
      </c>
      <c r="L153" s="3" t="s">
        <v>30</v>
      </c>
      <c r="M153" s="3" t="s">
        <v>14</v>
      </c>
      <c r="N153">
        <v>400000</v>
      </c>
      <c r="O153">
        <v>97.197000000000003</v>
      </c>
      <c r="P153">
        <v>287</v>
      </c>
      <c r="Q153">
        <v>792</v>
      </c>
      <c r="R153">
        <v>19</v>
      </c>
      <c r="S153" s="3" t="s">
        <v>263</v>
      </c>
      <c r="T153">
        <v>164</v>
      </c>
      <c r="U153">
        <v>166</v>
      </c>
      <c r="V153">
        <v>477</v>
      </c>
      <c r="W153">
        <v>1.54</v>
      </c>
      <c r="X153">
        <v>388788</v>
      </c>
      <c r="Y153" s="3" t="s">
        <v>31</v>
      </c>
      <c r="Z153">
        <v>96.998999999999995</v>
      </c>
      <c r="AA153">
        <v>400000</v>
      </c>
      <c r="AB153" s="3" t="s">
        <v>256</v>
      </c>
      <c r="AC153" s="3" t="s">
        <v>10</v>
      </c>
      <c r="AD153">
        <v>390781</v>
      </c>
      <c r="AE153">
        <v>390781</v>
      </c>
      <c r="AF153" s="3" t="s">
        <v>640</v>
      </c>
    </row>
    <row r="154" spans="1:32" x14ac:dyDescent="0.35">
      <c r="A154" s="3" t="s">
        <v>608</v>
      </c>
      <c r="B154" s="3" t="s">
        <v>608</v>
      </c>
      <c r="C154" s="3" t="s">
        <v>608</v>
      </c>
      <c r="D154" s="3" t="s">
        <v>608</v>
      </c>
      <c r="E154" s="3" t="s">
        <v>608</v>
      </c>
      <c r="F154" s="3" t="s">
        <v>307</v>
      </c>
      <c r="G154" s="3" t="s">
        <v>307</v>
      </c>
      <c r="H154" s="3" t="s">
        <v>308</v>
      </c>
      <c r="I154" s="3" t="s">
        <v>53</v>
      </c>
      <c r="J154" s="3" t="s">
        <v>4</v>
      </c>
      <c r="K154" s="3" t="s">
        <v>762</v>
      </c>
      <c r="L154" s="3" t="s">
        <v>30</v>
      </c>
      <c r="M154" s="3" t="s">
        <v>14</v>
      </c>
      <c r="N154">
        <v>4800000</v>
      </c>
      <c r="O154">
        <v>108.274</v>
      </c>
      <c r="P154">
        <v>237</v>
      </c>
      <c r="Q154">
        <v>14216</v>
      </c>
      <c r="R154">
        <v>813</v>
      </c>
      <c r="S154" s="3" t="s">
        <v>263</v>
      </c>
      <c r="T154">
        <v>1577</v>
      </c>
      <c r="U154">
        <v>1591</v>
      </c>
      <c r="V154">
        <v>3771</v>
      </c>
      <c r="W154">
        <v>12.17</v>
      </c>
      <c r="X154">
        <v>5197152</v>
      </c>
      <c r="Y154" s="3" t="s">
        <v>31</v>
      </c>
      <c r="Z154">
        <v>108.042</v>
      </c>
      <c r="AA154">
        <v>5800000</v>
      </c>
      <c r="AB154" s="3" t="s">
        <v>256</v>
      </c>
      <c r="AC154" s="3" t="s">
        <v>10</v>
      </c>
      <c r="AD154">
        <v>5308185</v>
      </c>
      <c r="AE154">
        <v>5308185</v>
      </c>
      <c r="AF154" s="3" t="s">
        <v>640</v>
      </c>
    </row>
    <row r="155" spans="1:32" x14ac:dyDescent="0.35">
      <c r="A155" s="3" t="s">
        <v>608</v>
      </c>
      <c r="B155" s="3" t="s">
        <v>608</v>
      </c>
      <c r="C155" s="3" t="s">
        <v>608</v>
      </c>
      <c r="D155" s="3" t="s">
        <v>608</v>
      </c>
      <c r="E155" s="3" t="s">
        <v>608</v>
      </c>
      <c r="F155" s="3" t="s">
        <v>309</v>
      </c>
      <c r="G155" s="3" t="s">
        <v>309</v>
      </c>
      <c r="H155" s="3" t="s">
        <v>310</v>
      </c>
      <c r="I155" s="3" t="s">
        <v>63</v>
      </c>
      <c r="J155" s="3" t="s">
        <v>4</v>
      </c>
      <c r="K155" s="3" t="s">
        <v>763</v>
      </c>
      <c r="L155" s="3" t="s">
        <v>30</v>
      </c>
      <c r="M155" s="3" t="s">
        <v>14</v>
      </c>
      <c r="N155">
        <v>1000000</v>
      </c>
      <c r="O155">
        <v>98.210999999999999</v>
      </c>
      <c r="P155">
        <v>214</v>
      </c>
      <c r="Q155">
        <v>440</v>
      </c>
      <c r="R155">
        <v>0</v>
      </c>
      <c r="S155" s="3" t="s">
        <v>263</v>
      </c>
      <c r="T155">
        <v>357</v>
      </c>
      <c r="U155">
        <v>360</v>
      </c>
      <c r="V155">
        <v>772</v>
      </c>
      <c r="W155">
        <v>2.4900000000000002</v>
      </c>
      <c r="X155">
        <v>982110</v>
      </c>
      <c r="Y155" s="3" t="s">
        <v>31</v>
      </c>
      <c r="Z155">
        <v>98.167000000000002</v>
      </c>
      <c r="AA155">
        <v>1000000</v>
      </c>
      <c r="AB155" s="3" t="s">
        <v>256</v>
      </c>
      <c r="AC155" s="3" t="s">
        <v>10</v>
      </c>
      <c r="AD155">
        <v>993329</v>
      </c>
      <c r="AE155">
        <v>993329</v>
      </c>
      <c r="AF155" s="3" t="s">
        <v>640</v>
      </c>
    </row>
    <row r="156" spans="1:32" x14ac:dyDescent="0.35">
      <c r="A156" s="3" t="s">
        <v>608</v>
      </c>
      <c r="B156" s="3" t="s">
        <v>608</v>
      </c>
      <c r="C156" s="3" t="s">
        <v>608</v>
      </c>
      <c r="D156" s="3" t="s">
        <v>608</v>
      </c>
      <c r="E156" s="3" t="s">
        <v>608</v>
      </c>
      <c r="F156" s="3" t="s">
        <v>311</v>
      </c>
      <c r="G156" s="3" t="s">
        <v>311</v>
      </c>
      <c r="H156" s="3" t="s">
        <v>312</v>
      </c>
      <c r="I156" s="3" t="s">
        <v>63</v>
      </c>
      <c r="J156" s="3" t="s">
        <v>266</v>
      </c>
      <c r="K156" s="3" t="s">
        <v>764</v>
      </c>
      <c r="L156" s="3" t="s">
        <v>30</v>
      </c>
      <c r="M156" s="3" t="s">
        <v>14</v>
      </c>
      <c r="N156">
        <v>900000</v>
      </c>
      <c r="O156">
        <v>104.164</v>
      </c>
      <c r="P156">
        <v>127</v>
      </c>
      <c r="Q156">
        <v>-521</v>
      </c>
      <c r="R156">
        <v>109</v>
      </c>
      <c r="S156" s="3" t="s">
        <v>263</v>
      </c>
      <c r="T156">
        <v>92</v>
      </c>
      <c r="U156">
        <v>93</v>
      </c>
      <c r="V156">
        <v>119</v>
      </c>
      <c r="W156">
        <v>0.38</v>
      </c>
      <c r="X156">
        <v>799349</v>
      </c>
      <c r="Y156" s="3" t="s">
        <v>31</v>
      </c>
      <c r="Z156">
        <v>104.23</v>
      </c>
      <c r="AA156">
        <v>900000</v>
      </c>
      <c r="AB156" s="3" t="s">
        <v>256</v>
      </c>
      <c r="AC156" s="3" t="s">
        <v>10</v>
      </c>
      <c r="AD156">
        <v>826127</v>
      </c>
      <c r="AE156">
        <v>826127</v>
      </c>
      <c r="AF156" s="3" t="s">
        <v>640</v>
      </c>
    </row>
    <row r="157" spans="1:32" x14ac:dyDescent="0.35">
      <c r="A157" s="3" t="s">
        <v>608</v>
      </c>
      <c r="B157" s="3" t="s">
        <v>608</v>
      </c>
      <c r="C157" s="3" t="s">
        <v>608</v>
      </c>
      <c r="D157" s="3" t="s">
        <v>608</v>
      </c>
      <c r="E157" s="3" t="s">
        <v>608</v>
      </c>
      <c r="F157" s="3" t="s">
        <v>313</v>
      </c>
      <c r="G157" s="3" t="s">
        <v>313</v>
      </c>
      <c r="H157" s="3" t="s">
        <v>314</v>
      </c>
      <c r="I157" s="3" t="s">
        <v>63</v>
      </c>
      <c r="J157" s="3" t="s">
        <v>4</v>
      </c>
      <c r="K157" s="3" t="s">
        <v>765</v>
      </c>
      <c r="L157" s="3" t="s">
        <v>30</v>
      </c>
      <c r="M157" s="3" t="s">
        <v>14</v>
      </c>
      <c r="N157">
        <v>1154000</v>
      </c>
      <c r="O157">
        <v>101.23</v>
      </c>
      <c r="P157">
        <v>109</v>
      </c>
      <c r="Q157">
        <v>-23</v>
      </c>
      <c r="R157">
        <v>115</v>
      </c>
      <c r="S157" s="3" t="s">
        <v>263</v>
      </c>
      <c r="T157">
        <v>48</v>
      </c>
      <c r="U157">
        <v>49</v>
      </c>
      <c r="V157">
        <v>53</v>
      </c>
      <c r="W157">
        <v>0.17</v>
      </c>
      <c r="X157">
        <v>1168194</v>
      </c>
      <c r="Y157" s="3" t="s">
        <v>31</v>
      </c>
      <c r="Z157">
        <v>101.232</v>
      </c>
      <c r="AA157">
        <v>1154000</v>
      </c>
      <c r="AB157" s="3" t="s">
        <v>256</v>
      </c>
      <c r="AC157" s="3" t="s">
        <v>10</v>
      </c>
      <c r="AD157">
        <v>1192950</v>
      </c>
      <c r="AE157">
        <v>1192950</v>
      </c>
      <c r="AF157" s="3" t="s">
        <v>640</v>
      </c>
    </row>
    <row r="158" spans="1:32" x14ac:dyDescent="0.35">
      <c r="A158" s="3" t="s">
        <v>608</v>
      </c>
      <c r="B158" s="3" t="s">
        <v>608</v>
      </c>
      <c r="C158" s="3" t="s">
        <v>608</v>
      </c>
      <c r="D158" s="3" t="s">
        <v>608</v>
      </c>
      <c r="E158" s="3" t="s">
        <v>608</v>
      </c>
      <c r="F158" s="3" t="s">
        <v>315</v>
      </c>
      <c r="G158" s="3" t="s">
        <v>315</v>
      </c>
      <c r="H158" s="3" t="s">
        <v>316</v>
      </c>
      <c r="I158" s="3" t="s">
        <v>68</v>
      </c>
      <c r="J158" s="3" t="s">
        <v>4</v>
      </c>
      <c r="K158" s="3" t="s">
        <v>766</v>
      </c>
      <c r="L158" s="3" t="s">
        <v>30</v>
      </c>
      <c r="M158" s="3" t="s">
        <v>14</v>
      </c>
      <c r="N158">
        <v>-1050000</v>
      </c>
      <c r="O158">
        <v>100.113</v>
      </c>
      <c r="P158">
        <v>268</v>
      </c>
      <c r="Q158">
        <v>-584</v>
      </c>
      <c r="R158">
        <v>-31</v>
      </c>
      <c r="S158" s="3" t="s">
        <v>263</v>
      </c>
      <c r="T158">
        <v>-592</v>
      </c>
      <c r="U158">
        <v>-598</v>
      </c>
      <c r="V158">
        <v>-1604</v>
      </c>
      <c r="W158">
        <v>-5.17</v>
      </c>
      <c r="X158">
        <v>-1051187</v>
      </c>
      <c r="Y158" s="3" t="s">
        <v>31</v>
      </c>
      <c r="Z158">
        <v>99.796000000000006</v>
      </c>
      <c r="AA158">
        <v>-500000</v>
      </c>
      <c r="AB158" s="3" t="s">
        <v>256</v>
      </c>
      <c r="AC158" s="3" t="s">
        <v>10</v>
      </c>
      <c r="AD158">
        <v>-1054780</v>
      </c>
      <c r="AE158">
        <v>1054780</v>
      </c>
      <c r="AF158" s="3" t="s">
        <v>640</v>
      </c>
    </row>
    <row r="159" spans="1:32" x14ac:dyDescent="0.35">
      <c r="A159" s="3" t="s">
        <v>608</v>
      </c>
      <c r="B159" s="3" t="s">
        <v>608</v>
      </c>
      <c r="C159" s="3" t="s">
        <v>608</v>
      </c>
      <c r="D159" s="3" t="s">
        <v>608</v>
      </c>
      <c r="E159" s="3" t="s">
        <v>608</v>
      </c>
      <c r="F159" s="3" t="s">
        <v>929</v>
      </c>
      <c r="G159" s="3" t="s">
        <v>929</v>
      </c>
      <c r="H159" s="3" t="s">
        <v>930</v>
      </c>
      <c r="I159" s="3" t="s">
        <v>68</v>
      </c>
      <c r="J159" s="3" t="s">
        <v>4</v>
      </c>
      <c r="K159" s="3" t="s">
        <v>931</v>
      </c>
      <c r="L159" s="3" t="s">
        <v>30</v>
      </c>
      <c r="M159" s="3" t="s">
        <v>14</v>
      </c>
      <c r="N159">
        <v>-500000</v>
      </c>
      <c r="O159">
        <v>106.998</v>
      </c>
      <c r="P159">
        <v>254</v>
      </c>
      <c r="Q159">
        <v>-1705</v>
      </c>
      <c r="R159">
        <v>0</v>
      </c>
      <c r="S159" s="3" t="s">
        <v>263</v>
      </c>
      <c r="T159">
        <v>-282</v>
      </c>
      <c r="U159">
        <v>-285</v>
      </c>
      <c r="V159">
        <v>-724</v>
      </c>
      <c r="W159">
        <v>-2.34</v>
      </c>
      <c r="X159">
        <v>-534990</v>
      </c>
      <c r="Y159" s="3" t="s">
        <v>31</v>
      </c>
      <c r="Z159">
        <v>106.657</v>
      </c>
      <c r="AA159">
        <v>-500000</v>
      </c>
      <c r="AB159" s="3" t="s">
        <v>256</v>
      </c>
      <c r="AC159" s="3" t="s">
        <v>10</v>
      </c>
      <c r="AD159">
        <v>-550943</v>
      </c>
      <c r="AE159">
        <v>550943</v>
      </c>
      <c r="AF159" s="3" t="s">
        <v>640</v>
      </c>
    </row>
    <row r="160" spans="1:32" x14ac:dyDescent="0.35">
      <c r="A160" s="3" t="s">
        <v>608</v>
      </c>
      <c r="B160" s="3" t="s">
        <v>608</v>
      </c>
      <c r="C160" s="3" t="s">
        <v>608</v>
      </c>
      <c r="D160" s="3" t="s">
        <v>608</v>
      </c>
      <c r="E160" s="3" t="s">
        <v>608</v>
      </c>
      <c r="F160" s="3" t="s">
        <v>317</v>
      </c>
      <c r="G160" s="3" t="s">
        <v>317</v>
      </c>
      <c r="H160" s="3" t="s">
        <v>318</v>
      </c>
      <c r="I160" s="3" t="s">
        <v>68</v>
      </c>
      <c r="J160" s="3" t="s">
        <v>4</v>
      </c>
      <c r="K160" s="3" t="s">
        <v>767</v>
      </c>
      <c r="L160" s="3" t="s">
        <v>30</v>
      </c>
      <c r="M160" s="3" t="s">
        <v>14</v>
      </c>
      <c r="N160">
        <v>1419000</v>
      </c>
      <c r="O160">
        <v>111.405</v>
      </c>
      <c r="P160">
        <v>227</v>
      </c>
      <c r="Q160">
        <v>4073</v>
      </c>
      <c r="R160">
        <v>211</v>
      </c>
      <c r="S160" s="3" t="s">
        <v>263</v>
      </c>
      <c r="T160">
        <v>469</v>
      </c>
      <c r="U160">
        <v>473</v>
      </c>
      <c r="V160">
        <v>1073</v>
      </c>
      <c r="W160">
        <v>3.46</v>
      </c>
      <c r="X160">
        <v>1580837</v>
      </c>
      <c r="Y160" s="3" t="s">
        <v>31</v>
      </c>
      <c r="Z160">
        <v>111.11799999999999</v>
      </c>
      <c r="AA160">
        <v>1419000</v>
      </c>
      <c r="AB160" s="3" t="s">
        <v>256</v>
      </c>
      <c r="AC160" s="3" t="s">
        <v>10</v>
      </c>
      <c r="AD160">
        <v>1644027</v>
      </c>
      <c r="AE160">
        <v>1644027</v>
      </c>
      <c r="AF160" s="3" t="s">
        <v>640</v>
      </c>
    </row>
    <row r="161" spans="1:32" x14ac:dyDescent="0.35">
      <c r="A161" s="3" t="s">
        <v>608</v>
      </c>
      <c r="B161" s="3" t="s">
        <v>608</v>
      </c>
      <c r="C161" s="3" t="s">
        <v>608</v>
      </c>
      <c r="D161" s="3" t="s">
        <v>608</v>
      </c>
      <c r="E161" s="3" t="s">
        <v>608</v>
      </c>
      <c r="F161" s="3" t="s">
        <v>319</v>
      </c>
      <c r="G161" s="3" t="s">
        <v>319</v>
      </c>
      <c r="H161" s="3" t="s">
        <v>320</v>
      </c>
      <c r="I161" s="3" t="s">
        <v>68</v>
      </c>
      <c r="J161" s="3" t="s">
        <v>283</v>
      </c>
      <c r="K161" s="3" t="s">
        <v>768</v>
      </c>
      <c r="L161" s="3" t="s">
        <v>30</v>
      </c>
      <c r="M161" s="3" t="s">
        <v>14</v>
      </c>
      <c r="N161">
        <v>1515000</v>
      </c>
      <c r="O161">
        <v>104.377</v>
      </c>
      <c r="P161">
        <v>144</v>
      </c>
      <c r="Q161">
        <v>615</v>
      </c>
      <c r="R161">
        <v>306</v>
      </c>
      <c r="S161" s="3" t="s">
        <v>263</v>
      </c>
      <c r="T161">
        <v>151</v>
      </c>
      <c r="U161">
        <v>153</v>
      </c>
      <c r="V161">
        <v>219</v>
      </c>
      <c r="W161">
        <v>0.71</v>
      </c>
      <c r="X161">
        <v>1759594</v>
      </c>
      <c r="Y161" s="3" t="s">
        <v>31</v>
      </c>
      <c r="Z161">
        <v>104.34</v>
      </c>
      <c r="AA161">
        <v>1515000</v>
      </c>
      <c r="AB161" s="3" t="s">
        <v>256</v>
      </c>
      <c r="AC161" s="3" t="s">
        <v>10</v>
      </c>
      <c r="AD161">
        <v>1773343</v>
      </c>
      <c r="AE161">
        <v>1773343</v>
      </c>
      <c r="AF161" s="3" t="s">
        <v>640</v>
      </c>
    </row>
    <row r="162" spans="1:32" x14ac:dyDescent="0.35">
      <c r="A162" s="3" t="s">
        <v>608</v>
      </c>
      <c r="B162" s="3" t="s">
        <v>608</v>
      </c>
      <c r="C162" s="3" t="s">
        <v>608</v>
      </c>
      <c r="D162" s="3" t="s">
        <v>608</v>
      </c>
      <c r="E162" s="3" t="s">
        <v>608</v>
      </c>
      <c r="F162" s="3" t="s">
        <v>321</v>
      </c>
      <c r="G162" s="3" t="s">
        <v>321</v>
      </c>
      <c r="H162" s="3" t="s">
        <v>322</v>
      </c>
      <c r="I162" s="3" t="s">
        <v>74</v>
      </c>
      <c r="J162" s="3" t="s">
        <v>4</v>
      </c>
      <c r="K162" s="3" t="s">
        <v>769</v>
      </c>
      <c r="L162" s="3" t="s">
        <v>30</v>
      </c>
      <c r="M162" s="3" t="s">
        <v>14</v>
      </c>
      <c r="N162">
        <v>4400000</v>
      </c>
      <c r="O162">
        <v>100.149</v>
      </c>
      <c r="P162">
        <v>209</v>
      </c>
      <c r="Q162">
        <v>2904</v>
      </c>
      <c r="R162">
        <v>196</v>
      </c>
      <c r="S162" s="3" t="s">
        <v>263</v>
      </c>
      <c r="T162">
        <v>1867</v>
      </c>
      <c r="U162">
        <v>1885</v>
      </c>
      <c r="V162">
        <v>3946</v>
      </c>
      <c r="W162">
        <v>12.73</v>
      </c>
      <c r="X162">
        <v>4406556</v>
      </c>
      <c r="Y162" s="3" t="s">
        <v>31</v>
      </c>
      <c r="Z162">
        <v>100.083</v>
      </c>
      <c r="AA162">
        <v>4400000</v>
      </c>
      <c r="AB162" s="3" t="s">
        <v>256</v>
      </c>
      <c r="AC162" s="3" t="s">
        <v>10</v>
      </c>
      <c r="AD162">
        <v>4429867</v>
      </c>
      <c r="AE162">
        <v>4429867</v>
      </c>
      <c r="AF162" s="3" t="s">
        <v>640</v>
      </c>
    </row>
    <row r="163" spans="1:32" x14ac:dyDescent="0.35">
      <c r="A163" s="3" t="s">
        <v>608</v>
      </c>
      <c r="B163" s="3" t="s">
        <v>608</v>
      </c>
      <c r="C163" s="3" t="s">
        <v>608</v>
      </c>
      <c r="D163" s="3" t="s">
        <v>608</v>
      </c>
      <c r="E163" s="3" t="s">
        <v>608</v>
      </c>
      <c r="F163" s="3" t="s">
        <v>323</v>
      </c>
      <c r="G163" s="3" t="s">
        <v>323</v>
      </c>
      <c r="H163" s="3" t="s">
        <v>324</v>
      </c>
      <c r="I163" s="3" t="s">
        <v>74</v>
      </c>
      <c r="J163" s="3" t="s">
        <v>4</v>
      </c>
      <c r="K163" s="3" t="s">
        <v>770</v>
      </c>
      <c r="L163" s="3" t="s">
        <v>30</v>
      </c>
      <c r="M163" s="3" t="s">
        <v>14</v>
      </c>
      <c r="N163">
        <v>500000</v>
      </c>
      <c r="O163">
        <v>107.419</v>
      </c>
      <c r="P163">
        <v>188</v>
      </c>
      <c r="Q163">
        <v>3480</v>
      </c>
      <c r="R163">
        <v>133</v>
      </c>
      <c r="S163" s="3" t="s">
        <v>263</v>
      </c>
      <c r="T163">
        <v>206</v>
      </c>
      <c r="U163">
        <v>208</v>
      </c>
      <c r="V163">
        <v>390</v>
      </c>
      <c r="W163">
        <v>1.26</v>
      </c>
      <c r="X163">
        <v>537095</v>
      </c>
      <c r="Y163" s="3" t="s">
        <v>31</v>
      </c>
      <c r="Z163">
        <v>107.321</v>
      </c>
      <c r="AA163">
        <v>1500000</v>
      </c>
      <c r="AB163" s="3" t="s">
        <v>256</v>
      </c>
      <c r="AC163" s="3" t="s">
        <v>10</v>
      </c>
      <c r="AD163">
        <v>548106</v>
      </c>
      <c r="AE163">
        <v>548106</v>
      </c>
      <c r="AF163" s="3" t="s">
        <v>640</v>
      </c>
    </row>
    <row r="164" spans="1:32" x14ac:dyDescent="0.35">
      <c r="A164" s="3" t="s">
        <v>608</v>
      </c>
      <c r="B164" s="3" t="s">
        <v>608</v>
      </c>
      <c r="C164" s="3" t="s">
        <v>608</v>
      </c>
      <c r="D164" s="3" t="s">
        <v>608</v>
      </c>
      <c r="E164" s="3" t="s">
        <v>608</v>
      </c>
      <c r="F164" s="3" t="s">
        <v>325</v>
      </c>
      <c r="G164" s="3" t="s">
        <v>325</v>
      </c>
      <c r="H164" s="3" t="s">
        <v>326</v>
      </c>
      <c r="I164" s="3" t="s">
        <v>74</v>
      </c>
      <c r="J164" s="3" t="s">
        <v>4</v>
      </c>
      <c r="K164" s="3" t="s">
        <v>771</v>
      </c>
      <c r="L164" s="3" t="s">
        <v>30</v>
      </c>
      <c r="M164" s="3" t="s">
        <v>14</v>
      </c>
      <c r="N164">
        <v>-1000000</v>
      </c>
      <c r="O164">
        <v>100.035</v>
      </c>
      <c r="P164">
        <v>190</v>
      </c>
      <c r="Q164">
        <v>-840</v>
      </c>
      <c r="R164">
        <v>-38</v>
      </c>
      <c r="S164" s="3" t="s">
        <v>263</v>
      </c>
      <c r="T164">
        <v>-215</v>
      </c>
      <c r="U164">
        <v>-217</v>
      </c>
      <c r="V164">
        <v>-413</v>
      </c>
      <c r="W164">
        <v>-1.33</v>
      </c>
      <c r="X164">
        <v>-1000350</v>
      </c>
      <c r="Y164" s="3" t="s">
        <v>31</v>
      </c>
      <c r="Z164">
        <v>99.950999999999993</v>
      </c>
      <c r="AA164">
        <v>-1000000</v>
      </c>
      <c r="AB164" s="3" t="s">
        <v>256</v>
      </c>
      <c r="AC164" s="3" t="s">
        <v>10</v>
      </c>
      <c r="AD164">
        <v>-1007960</v>
      </c>
      <c r="AE164">
        <v>1007960</v>
      </c>
      <c r="AF164" s="3" t="s">
        <v>640</v>
      </c>
    </row>
    <row r="165" spans="1:32" x14ac:dyDescent="0.35">
      <c r="A165" s="3" t="s">
        <v>608</v>
      </c>
      <c r="B165" s="3" t="s">
        <v>608</v>
      </c>
      <c r="C165" s="3" t="s">
        <v>608</v>
      </c>
      <c r="D165" s="3" t="s">
        <v>608</v>
      </c>
      <c r="E165" s="3" t="s">
        <v>608</v>
      </c>
      <c r="F165" s="3" t="s">
        <v>327</v>
      </c>
      <c r="G165" s="3" t="s">
        <v>327</v>
      </c>
      <c r="H165" s="3" t="s">
        <v>328</v>
      </c>
      <c r="I165" s="3" t="s">
        <v>90</v>
      </c>
      <c r="J165" s="3" t="s">
        <v>4</v>
      </c>
      <c r="K165" s="3" t="s">
        <v>772</v>
      </c>
      <c r="L165" s="3" t="s">
        <v>30</v>
      </c>
      <c r="M165" s="3" t="s">
        <v>14</v>
      </c>
      <c r="N165">
        <v>11426000</v>
      </c>
      <c r="O165">
        <v>99.647000000000006</v>
      </c>
      <c r="P165">
        <v>377</v>
      </c>
      <c r="Q165">
        <v>52217</v>
      </c>
      <c r="R165">
        <v>1063</v>
      </c>
      <c r="S165" s="3" t="s">
        <v>263</v>
      </c>
      <c r="T165">
        <v>8440</v>
      </c>
      <c r="U165">
        <v>8531</v>
      </c>
      <c r="V165">
        <v>32173</v>
      </c>
      <c r="W165">
        <v>103.78</v>
      </c>
      <c r="X165">
        <v>11385666</v>
      </c>
      <c r="Y165" s="3" t="s">
        <v>8</v>
      </c>
      <c r="Z165">
        <v>99.19</v>
      </c>
      <c r="AA165">
        <v>11426000</v>
      </c>
      <c r="AB165" s="3" t="s">
        <v>256</v>
      </c>
      <c r="AC165" s="3" t="s">
        <v>10</v>
      </c>
      <c r="AD165">
        <v>11408910</v>
      </c>
      <c r="AE165">
        <v>11408910</v>
      </c>
      <c r="AF165" s="3" t="s">
        <v>640</v>
      </c>
    </row>
    <row r="166" spans="1:32" x14ac:dyDescent="0.35">
      <c r="A166" s="3" t="s">
        <v>608</v>
      </c>
      <c r="B166" s="3" t="s">
        <v>608</v>
      </c>
      <c r="C166" s="3" t="s">
        <v>608</v>
      </c>
      <c r="D166" s="3" t="s">
        <v>608</v>
      </c>
      <c r="E166" s="3" t="s">
        <v>608</v>
      </c>
      <c r="F166" s="3" t="s">
        <v>329</v>
      </c>
      <c r="G166" s="3" t="s">
        <v>329</v>
      </c>
      <c r="H166" s="3" t="s">
        <v>330</v>
      </c>
      <c r="I166" s="3" t="s">
        <v>90</v>
      </c>
      <c r="J166" s="3" t="s">
        <v>4</v>
      </c>
      <c r="K166" s="3" t="s">
        <v>773</v>
      </c>
      <c r="L166" s="3" t="s">
        <v>30</v>
      </c>
      <c r="M166" s="3" t="s">
        <v>14</v>
      </c>
      <c r="N166">
        <v>-17971000</v>
      </c>
      <c r="O166">
        <v>99.804000000000002</v>
      </c>
      <c r="P166">
        <v>316</v>
      </c>
      <c r="Q166">
        <v>-89316</v>
      </c>
      <c r="R166">
        <v>-1289</v>
      </c>
      <c r="S166" s="3" t="s">
        <v>263</v>
      </c>
      <c r="T166">
        <v>-8193</v>
      </c>
      <c r="U166">
        <v>-8273</v>
      </c>
      <c r="V166">
        <v>-26151</v>
      </c>
      <c r="W166">
        <v>-84.36</v>
      </c>
      <c r="X166">
        <v>-17935777</v>
      </c>
      <c r="Y166" s="3" t="s">
        <v>8</v>
      </c>
      <c r="Z166">
        <v>99.307000000000002</v>
      </c>
      <c r="AA166">
        <v>-17971000</v>
      </c>
      <c r="AB166" s="3" t="s">
        <v>256</v>
      </c>
      <c r="AC166" s="3" t="s">
        <v>10</v>
      </c>
      <c r="AD166">
        <v>-17964133</v>
      </c>
      <c r="AE166">
        <v>17964133</v>
      </c>
      <c r="AF166" s="3" t="s">
        <v>640</v>
      </c>
    </row>
    <row r="167" spans="1:32" x14ac:dyDescent="0.35">
      <c r="A167" s="3" t="s">
        <v>608</v>
      </c>
      <c r="B167" s="3" t="s">
        <v>608</v>
      </c>
      <c r="C167" s="3" t="s">
        <v>608</v>
      </c>
      <c r="D167" s="3" t="s">
        <v>608</v>
      </c>
      <c r="E167" s="3" t="s">
        <v>608</v>
      </c>
      <c r="F167" s="3" t="s">
        <v>939</v>
      </c>
      <c r="G167" s="3" t="s">
        <v>939</v>
      </c>
      <c r="H167" s="3" t="s">
        <v>940</v>
      </c>
      <c r="I167" s="3" t="s">
        <v>941</v>
      </c>
      <c r="J167" s="3" t="s">
        <v>4</v>
      </c>
      <c r="K167" s="3" t="s">
        <v>942</v>
      </c>
      <c r="L167" s="3" t="s">
        <v>30</v>
      </c>
      <c r="M167" s="3" t="s">
        <v>14</v>
      </c>
      <c r="N167">
        <v>-2500000</v>
      </c>
      <c r="O167">
        <v>100.996</v>
      </c>
      <c r="P167">
        <v>283</v>
      </c>
      <c r="Q167">
        <v>-3350</v>
      </c>
      <c r="R167">
        <v>0</v>
      </c>
      <c r="S167" s="3" t="s">
        <v>263</v>
      </c>
      <c r="T167">
        <v>-432</v>
      </c>
      <c r="U167">
        <v>-435</v>
      </c>
      <c r="V167">
        <v>-1230</v>
      </c>
      <c r="W167">
        <v>-3.97</v>
      </c>
      <c r="X167">
        <v>-2524900</v>
      </c>
      <c r="Y167" s="3" t="s">
        <v>31</v>
      </c>
      <c r="Z167">
        <v>100.86199999999999</v>
      </c>
      <c r="AA167">
        <v>-2500000</v>
      </c>
      <c r="AB167" s="3" t="s">
        <v>256</v>
      </c>
      <c r="AC167" s="3" t="s">
        <v>10</v>
      </c>
      <c r="AD167">
        <v>-2535534</v>
      </c>
      <c r="AE167">
        <v>2535534</v>
      </c>
      <c r="AF167" s="3" t="s">
        <v>640</v>
      </c>
    </row>
    <row r="168" spans="1:32" x14ac:dyDescent="0.35">
      <c r="A168" s="3" t="s">
        <v>608</v>
      </c>
      <c r="B168" s="3" t="s">
        <v>608</v>
      </c>
      <c r="C168" s="3" t="s">
        <v>608</v>
      </c>
      <c r="D168" s="3" t="s">
        <v>608</v>
      </c>
      <c r="E168" s="3" t="s">
        <v>608</v>
      </c>
      <c r="F168" s="3" t="s">
        <v>331</v>
      </c>
      <c r="G168" s="3" t="s">
        <v>331</v>
      </c>
      <c r="H168" s="3" t="s">
        <v>332</v>
      </c>
      <c r="I168" s="3" t="s">
        <v>333</v>
      </c>
      <c r="J168" s="3" t="s">
        <v>4</v>
      </c>
      <c r="K168" s="3" t="s">
        <v>758</v>
      </c>
      <c r="L168" s="3" t="s">
        <v>30</v>
      </c>
      <c r="M168" s="3" t="s">
        <v>14</v>
      </c>
      <c r="N168">
        <v>11600000</v>
      </c>
      <c r="O168">
        <v>104.69499999999999</v>
      </c>
      <c r="P168">
        <v>261</v>
      </c>
      <c r="Q168">
        <v>30972</v>
      </c>
      <c r="R168">
        <v>990</v>
      </c>
      <c r="S168" s="3" t="s">
        <v>263</v>
      </c>
      <c r="T168">
        <v>5586</v>
      </c>
      <c r="U168">
        <v>5641</v>
      </c>
      <c r="V168">
        <v>14732</v>
      </c>
      <c r="W168">
        <v>47.52</v>
      </c>
      <c r="X168">
        <v>12144620</v>
      </c>
      <c r="Y168" s="3" t="s">
        <v>31</v>
      </c>
      <c r="Z168">
        <v>104.428</v>
      </c>
      <c r="AA168">
        <v>11600000</v>
      </c>
      <c r="AB168" s="3" t="s">
        <v>256</v>
      </c>
      <c r="AC168" s="3" t="s">
        <v>10</v>
      </c>
      <c r="AD168">
        <v>12421942</v>
      </c>
      <c r="AE168">
        <v>12421942</v>
      </c>
      <c r="AF168" s="3" t="s">
        <v>640</v>
      </c>
    </row>
    <row r="169" spans="1:32" x14ac:dyDescent="0.35">
      <c r="A169" s="3" t="s">
        <v>608</v>
      </c>
      <c r="B169" s="3" t="s">
        <v>608</v>
      </c>
      <c r="C169" s="3" t="s">
        <v>608</v>
      </c>
      <c r="D169" s="3" t="s">
        <v>608</v>
      </c>
      <c r="E169" s="3" t="s">
        <v>608</v>
      </c>
      <c r="F169" s="3" t="s">
        <v>334</v>
      </c>
      <c r="G169" s="3" t="s">
        <v>334</v>
      </c>
      <c r="H169" s="3" t="s">
        <v>335</v>
      </c>
      <c r="I169" s="3" t="s">
        <v>336</v>
      </c>
      <c r="J169" s="3" t="s">
        <v>4</v>
      </c>
      <c r="K169" s="3" t="s">
        <v>774</v>
      </c>
      <c r="L169" s="3" t="s">
        <v>30</v>
      </c>
      <c r="M169" s="3" t="s">
        <v>14</v>
      </c>
      <c r="N169">
        <v>200000</v>
      </c>
      <c r="O169">
        <v>97.790999999999997</v>
      </c>
      <c r="P169">
        <v>434</v>
      </c>
      <c r="Q169">
        <v>474</v>
      </c>
      <c r="R169">
        <v>18</v>
      </c>
      <c r="S169" s="3" t="s">
        <v>263</v>
      </c>
      <c r="T169">
        <v>91</v>
      </c>
      <c r="U169">
        <v>92</v>
      </c>
      <c r="V169">
        <v>399</v>
      </c>
      <c r="W169">
        <v>1.29</v>
      </c>
      <c r="X169">
        <v>195582</v>
      </c>
      <c r="Y169" s="3" t="s">
        <v>31</v>
      </c>
      <c r="Z169">
        <v>97.554000000000002</v>
      </c>
      <c r="AA169">
        <v>200000</v>
      </c>
      <c r="AB169" s="3" t="s">
        <v>256</v>
      </c>
      <c r="AC169" s="3" t="s">
        <v>10</v>
      </c>
      <c r="AD169">
        <v>195952</v>
      </c>
      <c r="AE169">
        <v>195952</v>
      </c>
      <c r="AF169" s="3" t="s">
        <v>640</v>
      </c>
    </row>
    <row r="170" spans="1:32" x14ac:dyDescent="0.35">
      <c r="A170" s="3" t="s">
        <v>608</v>
      </c>
      <c r="B170" s="3" t="s">
        <v>608</v>
      </c>
      <c r="C170" s="3" t="s">
        <v>608</v>
      </c>
      <c r="D170" s="3" t="s">
        <v>608</v>
      </c>
      <c r="E170" s="3" t="s">
        <v>608</v>
      </c>
      <c r="F170" s="3" t="s">
        <v>337</v>
      </c>
      <c r="G170" s="3" t="s">
        <v>337</v>
      </c>
      <c r="H170" s="3" t="s">
        <v>338</v>
      </c>
      <c r="I170" s="3" t="s">
        <v>118</v>
      </c>
      <c r="J170" s="3" t="s">
        <v>4</v>
      </c>
      <c r="K170" s="3" t="s">
        <v>775</v>
      </c>
      <c r="L170" s="3" t="s">
        <v>30</v>
      </c>
      <c r="M170" s="3" t="s">
        <v>14</v>
      </c>
      <c r="N170">
        <v>-2700000</v>
      </c>
      <c r="O170">
        <v>100.742</v>
      </c>
      <c r="P170">
        <v>251</v>
      </c>
      <c r="Q170">
        <v>-15444</v>
      </c>
      <c r="R170">
        <v>-166</v>
      </c>
      <c r="S170" s="3" t="s">
        <v>263</v>
      </c>
      <c r="T170">
        <v>-2024</v>
      </c>
      <c r="U170">
        <v>-2047</v>
      </c>
      <c r="V170">
        <v>-5145</v>
      </c>
      <c r="W170">
        <v>-16.600000000000001</v>
      </c>
      <c r="X170">
        <v>-2720034</v>
      </c>
      <c r="Y170" s="3" t="s">
        <v>31</v>
      </c>
      <c r="Z170">
        <v>100.17</v>
      </c>
      <c r="AA170">
        <v>-2700000</v>
      </c>
      <c r="AB170" s="3" t="s">
        <v>256</v>
      </c>
      <c r="AC170" s="3" t="s">
        <v>10</v>
      </c>
      <c r="AD170">
        <v>-2721199</v>
      </c>
      <c r="AE170">
        <v>2721199</v>
      </c>
      <c r="AF170" s="3" t="s">
        <v>640</v>
      </c>
    </row>
    <row r="171" spans="1:32" x14ac:dyDescent="0.35">
      <c r="A171" s="3" t="s">
        <v>608</v>
      </c>
      <c r="B171" s="3" t="s">
        <v>608</v>
      </c>
      <c r="C171" s="3" t="s">
        <v>608</v>
      </c>
      <c r="D171" s="3" t="s">
        <v>608</v>
      </c>
      <c r="E171" s="3" t="s">
        <v>608</v>
      </c>
      <c r="F171" s="3" t="s">
        <v>339</v>
      </c>
      <c r="G171" s="3" t="s">
        <v>339</v>
      </c>
      <c r="H171" s="3" t="s">
        <v>340</v>
      </c>
      <c r="I171" s="3" t="s">
        <v>118</v>
      </c>
      <c r="J171" s="3" t="s">
        <v>4</v>
      </c>
      <c r="K171" s="3" t="s">
        <v>776</v>
      </c>
      <c r="L171" s="3" t="s">
        <v>30</v>
      </c>
      <c r="M171" s="3" t="s">
        <v>14</v>
      </c>
      <c r="N171">
        <v>9700000</v>
      </c>
      <c r="O171">
        <v>104.13</v>
      </c>
      <c r="P171">
        <v>190</v>
      </c>
      <c r="Q171">
        <v>13677</v>
      </c>
      <c r="R171">
        <v>698</v>
      </c>
      <c r="S171" s="3" t="s">
        <v>263</v>
      </c>
      <c r="T171">
        <v>3278</v>
      </c>
      <c r="U171">
        <v>3309</v>
      </c>
      <c r="V171">
        <v>6279</v>
      </c>
      <c r="W171">
        <v>20.260000000000002</v>
      </c>
      <c r="X171">
        <v>10100610</v>
      </c>
      <c r="Y171" s="3" t="s">
        <v>31</v>
      </c>
      <c r="Z171">
        <v>103.989</v>
      </c>
      <c r="AA171">
        <v>9700000</v>
      </c>
      <c r="AB171" s="3" t="s">
        <v>256</v>
      </c>
      <c r="AC171" s="3" t="s">
        <v>10</v>
      </c>
      <c r="AD171">
        <v>10256175</v>
      </c>
      <c r="AE171">
        <v>10256175</v>
      </c>
      <c r="AF171" s="3" t="s">
        <v>640</v>
      </c>
    </row>
    <row r="172" spans="1:32" x14ac:dyDescent="0.35">
      <c r="A172" s="3" t="s">
        <v>608</v>
      </c>
      <c r="B172" s="3" t="s">
        <v>608</v>
      </c>
      <c r="C172" s="3" t="s">
        <v>608</v>
      </c>
      <c r="D172" s="3" t="s">
        <v>608</v>
      </c>
      <c r="E172" s="3" t="s">
        <v>608</v>
      </c>
      <c r="F172" s="3" t="s">
        <v>341</v>
      </c>
      <c r="G172" s="3" t="s">
        <v>341</v>
      </c>
      <c r="H172" s="3" t="s">
        <v>342</v>
      </c>
      <c r="I172" s="3" t="s">
        <v>343</v>
      </c>
      <c r="J172" s="3" t="s">
        <v>4</v>
      </c>
      <c r="K172" s="3" t="s">
        <v>777</v>
      </c>
      <c r="L172" s="3" t="s">
        <v>30</v>
      </c>
      <c r="M172" s="3" t="s">
        <v>14</v>
      </c>
      <c r="N172">
        <v>0</v>
      </c>
      <c r="O172">
        <v>99.662999999999997</v>
      </c>
      <c r="P172">
        <v>347</v>
      </c>
      <c r="Q172">
        <v>21774</v>
      </c>
      <c r="R172">
        <v>299</v>
      </c>
      <c r="S172" s="3" t="s">
        <v>263</v>
      </c>
      <c r="T172">
        <v>0</v>
      </c>
      <c r="U172">
        <v>0</v>
      </c>
      <c r="V172">
        <v>0</v>
      </c>
      <c r="W172">
        <v>0</v>
      </c>
      <c r="X172">
        <v>0</v>
      </c>
      <c r="Y172" s="3" t="s">
        <v>31</v>
      </c>
      <c r="Z172">
        <v>99.412000000000006</v>
      </c>
      <c r="AA172">
        <v>3800000</v>
      </c>
      <c r="AB172" s="3" t="s">
        <v>256</v>
      </c>
      <c r="AC172" s="3" t="s">
        <v>10</v>
      </c>
      <c r="AD172">
        <v>-299</v>
      </c>
      <c r="AE172">
        <v>299</v>
      </c>
      <c r="AF172" s="3" t="s">
        <v>640</v>
      </c>
    </row>
    <row r="173" spans="1:32" x14ac:dyDescent="0.35">
      <c r="A173" s="3" t="s">
        <v>608</v>
      </c>
      <c r="B173" s="3" t="s">
        <v>608</v>
      </c>
      <c r="C173" s="3" t="s">
        <v>608</v>
      </c>
      <c r="D173" s="3" t="s">
        <v>608</v>
      </c>
      <c r="E173" s="3" t="s">
        <v>608</v>
      </c>
      <c r="F173" s="3" t="s">
        <v>344</v>
      </c>
      <c r="G173" s="3" t="s">
        <v>344</v>
      </c>
      <c r="H173" s="3" t="s">
        <v>345</v>
      </c>
      <c r="I173" s="3" t="s">
        <v>346</v>
      </c>
      <c r="J173" s="3" t="s">
        <v>4</v>
      </c>
      <c r="K173" s="3" t="s">
        <v>778</v>
      </c>
      <c r="L173" s="3" t="s">
        <v>30</v>
      </c>
      <c r="M173" s="3" t="s">
        <v>14</v>
      </c>
      <c r="N173">
        <v>-1425000</v>
      </c>
      <c r="O173">
        <v>106.953</v>
      </c>
      <c r="P173">
        <v>230</v>
      </c>
      <c r="Q173">
        <v>-3721</v>
      </c>
      <c r="R173">
        <v>-190</v>
      </c>
      <c r="S173" s="3" t="s">
        <v>250</v>
      </c>
      <c r="T173">
        <v>-1080</v>
      </c>
      <c r="U173">
        <v>-1092</v>
      </c>
      <c r="V173">
        <v>-2509</v>
      </c>
      <c r="W173">
        <v>-8.09</v>
      </c>
      <c r="X173">
        <v>-1524080</v>
      </c>
      <c r="Y173" s="3" t="s">
        <v>31</v>
      </c>
      <c r="Z173">
        <v>106.854</v>
      </c>
      <c r="AA173">
        <v>-2425000</v>
      </c>
      <c r="AB173" s="3" t="s">
        <v>256</v>
      </c>
      <c r="AC173" s="3" t="s">
        <v>10</v>
      </c>
      <c r="AD173">
        <v>-1527136</v>
      </c>
      <c r="AE173">
        <v>1527136</v>
      </c>
      <c r="AF173" s="3" t="s">
        <v>640</v>
      </c>
    </row>
    <row r="174" spans="1:32" x14ac:dyDescent="0.35">
      <c r="A174" s="3" t="s">
        <v>608</v>
      </c>
      <c r="B174" s="3" t="s">
        <v>608</v>
      </c>
      <c r="C174" s="3" t="s">
        <v>608</v>
      </c>
      <c r="D174" s="3" t="s">
        <v>608</v>
      </c>
      <c r="E174" s="3" t="s">
        <v>608</v>
      </c>
      <c r="F174" s="3" t="s">
        <v>837</v>
      </c>
      <c r="G174" s="3" t="s">
        <v>837</v>
      </c>
      <c r="H174" s="3" t="s">
        <v>838</v>
      </c>
      <c r="I174" s="3" t="s">
        <v>839</v>
      </c>
      <c r="J174" s="3" t="s">
        <v>4</v>
      </c>
      <c r="K174" s="3" t="s">
        <v>840</v>
      </c>
      <c r="L174" s="3" t="s">
        <v>30</v>
      </c>
      <c r="M174" s="3" t="s">
        <v>14</v>
      </c>
      <c r="N174">
        <v>-7100000</v>
      </c>
      <c r="O174">
        <v>97.896000000000001</v>
      </c>
      <c r="P174">
        <v>308</v>
      </c>
      <c r="Q174">
        <v>-16898</v>
      </c>
      <c r="R174">
        <v>-388</v>
      </c>
      <c r="S174" s="3" t="s">
        <v>250</v>
      </c>
      <c r="T174">
        <v>-2637</v>
      </c>
      <c r="U174">
        <v>-2662</v>
      </c>
      <c r="V174">
        <v>-8191</v>
      </c>
      <c r="W174">
        <v>-26.42</v>
      </c>
      <c r="X174">
        <v>-6950616</v>
      </c>
      <c r="Y174" s="3" t="s">
        <v>31</v>
      </c>
      <c r="Z174">
        <v>97.658000000000001</v>
      </c>
      <c r="AA174">
        <v>-7100000</v>
      </c>
      <c r="AB174" s="3" t="s">
        <v>256</v>
      </c>
      <c r="AC174" s="3" t="s">
        <v>10</v>
      </c>
      <c r="AD174">
        <v>-7055370</v>
      </c>
      <c r="AE174">
        <v>7055370</v>
      </c>
      <c r="AF174" s="3" t="s">
        <v>640</v>
      </c>
    </row>
    <row r="175" spans="1:32" x14ac:dyDescent="0.35">
      <c r="A175" s="3" t="s">
        <v>608</v>
      </c>
      <c r="B175" s="3" t="s">
        <v>608</v>
      </c>
      <c r="C175" s="3" t="s">
        <v>608</v>
      </c>
      <c r="D175" s="3" t="s">
        <v>608</v>
      </c>
      <c r="E175" s="3" t="s">
        <v>608</v>
      </c>
      <c r="F175" s="3" t="s">
        <v>347</v>
      </c>
      <c r="G175" s="3" t="s">
        <v>347</v>
      </c>
      <c r="H175" s="3" t="s">
        <v>348</v>
      </c>
      <c r="I175" s="3" t="s">
        <v>349</v>
      </c>
      <c r="J175" s="3" t="s">
        <v>4</v>
      </c>
      <c r="K175" s="3" t="s">
        <v>779</v>
      </c>
      <c r="L175" s="3" t="s">
        <v>30</v>
      </c>
      <c r="M175" s="3" t="s">
        <v>14</v>
      </c>
      <c r="N175">
        <v>538000</v>
      </c>
      <c r="O175">
        <v>105.747</v>
      </c>
      <c r="P175">
        <v>272</v>
      </c>
      <c r="Q175">
        <v>280</v>
      </c>
      <c r="R175">
        <v>66</v>
      </c>
      <c r="S175" s="3" t="s">
        <v>263</v>
      </c>
      <c r="T175">
        <v>139</v>
      </c>
      <c r="U175">
        <v>141</v>
      </c>
      <c r="V175">
        <v>383</v>
      </c>
      <c r="W175">
        <v>1.24</v>
      </c>
      <c r="X175">
        <v>568919</v>
      </c>
      <c r="Y175" s="3" t="s">
        <v>31</v>
      </c>
      <c r="Z175">
        <v>105.69499999999999</v>
      </c>
      <c r="AA175">
        <v>538000</v>
      </c>
      <c r="AB175" s="3" t="s">
        <v>256</v>
      </c>
      <c r="AC175" s="3" t="s">
        <v>10</v>
      </c>
      <c r="AD175">
        <v>578935</v>
      </c>
      <c r="AE175">
        <v>578935</v>
      </c>
      <c r="AF175" s="3" t="s">
        <v>640</v>
      </c>
    </row>
    <row r="176" spans="1:32" x14ac:dyDescent="0.35">
      <c r="A176" s="3" t="s">
        <v>608</v>
      </c>
      <c r="B176" s="3" t="s">
        <v>608</v>
      </c>
      <c r="C176" s="3" t="s">
        <v>608</v>
      </c>
      <c r="D176" s="3" t="s">
        <v>608</v>
      </c>
      <c r="E176" s="3" t="s">
        <v>608</v>
      </c>
      <c r="F176" s="3" t="s">
        <v>351</v>
      </c>
      <c r="G176" s="3" t="s">
        <v>351</v>
      </c>
      <c r="H176" s="3" t="s">
        <v>352</v>
      </c>
      <c r="I176" s="3" t="s">
        <v>350</v>
      </c>
      <c r="J176" s="3" t="s">
        <v>4</v>
      </c>
      <c r="K176" s="3" t="s">
        <v>780</v>
      </c>
      <c r="L176" s="3" t="s">
        <v>30</v>
      </c>
      <c r="M176" s="3" t="s">
        <v>14</v>
      </c>
      <c r="N176">
        <v>-2000000</v>
      </c>
      <c r="O176">
        <v>108.518</v>
      </c>
      <c r="P176">
        <v>175</v>
      </c>
      <c r="Q176">
        <v>-800</v>
      </c>
      <c r="R176">
        <v>-184</v>
      </c>
      <c r="S176" s="3" t="s">
        <v>263</v>
      </c>
      <c r="T176">
        <v>-838</v>
      </c>
      <c r="U176">
        <v>-846</v>
      </c>
      <c r="V176">
        <v>-1478</v>
      </c>
      <c r="W176">
        <v>-4.7699999999999996</v>
      </c>
      <c r="X176">
        <v>-2170360</v>
      </c>
      <c r="Y176" s="3" t="s">
        <v>31</v>
      </c>
      <c r="Z176">
        <v>108.47799999999999</v>
      </c>
      <c r="AA176">
        <v>-2000000</v>
      </c>
      <c r="AB176" s="3" t="s">
        <v>256</v>
      </c>
      <c r="AC176" s="3" t="s">
        <v>10</v>
      </c>
      <c r="AD176">
        <v>-2230852</v>
      </c>
      <c r="AE176">
        <v>2230852</v>
      </c>
      <c r="AF176" s="3" t="s">
        <v>640</v>
      </c>
    </row>
    <row r="177" spans="1:32" x14ac:dyDescent="0.35">
      <c r="A177" s="3" t="s">
        <v>608</v>
      </c>
      <c r="B177" s="3" t="s">
        <v>608</v>
      </c>
      <c r="C177" s="3" t="s">
        <v>608</v>
      </c>
      <c r="D177" s="3" t="s">
        <v>608</v>
      </c>
      <c r="E177" s="3" t="s">
        <v>608</v>
      </c>
      <c r="F177" s="3" t="s">
        <v>353</v>
      </c>
      <c r="G177" s="3" t="s">
        <v>353</v>
      </c>
      <c r="H177" s="3" t="s">
        <v>354</v>
      </c>
      <c r="I177" s="3" t="s">
        <v>355</v>
      </c>
      <c r="J177" s="3" t="s">
        <v>4</v>
      </c>
      <c r="K177" s="3" t="s">
        <v>781</v>
      </c>
      <c r="L177" s="3" t="s">
        <v>30</v>
      </c>
      <c r="M177" s="3" t="s">
        <v>14</v>
      </c>
      <c r="N177">
        <v>-4831000</v>
      </c>
      <c r="O177">
        <v>99.44</v>
      </c>
      <c r="P177">
        <v>264</v>
      </c>
      <c r="Q177">
        <v>-12029</v>
      </c>
      <c r="R177">
        <v>-293</v>
      </c>
      <c r="S177" s="3" t="s">
        <v>263</v>
      </c>
      <c r="T177">
        <v>-2920</v>
      </c>
      <c r="U177">
        <v>-2952</v>
      </c>
      <c r="V177">
        <v>-7804</v>
      </c>
      <c r="W177">
        <v>-25.18</v>
      </c>
      <c r="X177">
        <v>-4803946</v>
      </c>
      <c r="Y177" s="3" t="s">
        <v>31</v>
      </c>
      <c r="Z177">
        <v>99.191000000000003</v>
      </c>
      <c r="AA177">
        <v>-4831000</v>
      </c>
      <c r="AB177" s="3" t="s">
        <v>256</v>
      </c>
      <c r="AC177" s="3" t="s">
        <v>10</v>
      </c>
      <c r="AD177">
        <v>-4820822</v>
      </c>
      <c r="AE177">
        <v>4820822</v>
      </c>
      <c r="AF177" s="3" t="s">
        <v>640</v>
      </c>
    </row>
    <row r="178" spans="1:32" x14ac:dyDescent="0.35">
      <c r="A178" s="3" t="s">
        <v>608</v>
      </c>
      <c r="B178" s="3" t="s">
        <v>608</v>
      </c>
      <c r="C178" s="3" t="s">
        <v>608</v>
      </c>
      <c r="D178" s="3" t="s">
        <v>608</v>
      </c>
      <c r="E178" s="3" t="s">
        <v>608</v>
      </c>
      <c r="F178" s="3" t="s">
        <v>356</v>
      </c>
      <c r="G178" s="3" t="s">
        <v>356</v>
      </c>
      <c r="H178" s="3" t="s">
        <v>357</v>
      </c>
      <c r="I178" s="3" t="s">
        <v>355</v>
      </c>
      <c r="J178" s="3" t="s">
        <v>283</v>
      </c>
      <c r="K178" s="3" t="s">
        <v>782</v>
      </c>
      <c r="L178" s="3" t="s">
        <v>30</v>
      </c>
      <c r="M178" s="3" t="s">
        <v>14</v>
      </c>
      <c r="N178">
        <v>-630000</v>
      </c>
      <c r="O178">
        <v>113.05500000000001</v>
      </c>
      <c r="P178">
        <v>238</v>
      </c>
      <c r="Q178">
        <v>-1275</v>
      </c>
      <c r="R178">
        <v>-273</v>
      </c>
      <c r="S178" s="3" t="s">
        <v>263</v>
      </c>
      <c r="T178">
        <v>-327</v>
      </c>
      <c r="U178">
        <v>-332</v>
      </c>
      <c r="V178">
        <v>-791</v>
      </c>
      <c r="W178">
        <v>-2.5499999999999998</v>
      </c>
      <c r="X178">
        <v>-792547</v>
      </c>
      <c r="Y178" s="3" t="s">
        <v>31</v>
      </c>
      <c r="Z178">
        <v>112.958</v>
      </c>
      <c r="AA178">
        <v>-1590000</v>
      </c>
      <c r="AB178" s="3" t="s">
        <v>256</v>
      </c>
      <c r="AC178" s="3" t="s">
        <v>10</v>
      </c>
      <c r="AD178">
        <v>-805895</v>
      </c>
      <c r="AE178">
        <v>805895</v>
      </c>
      <c r="AF178" s="3" t="s">
        <v>640</v>
      </c>
    </row>
    <row r="179" spans="1:32" x14ac:dyDescent="0.35">
      <c r="A179" s="3" t="s">
        <v>608</v>
      </c>
      <c r="B179" s="3" t="s">
        <v>608</v>
      </c>
      <c r="C179" s="3" t="s">
        <v>608</v>
      </c>
      <c r="D179" s="3" t="s">
        <v>608</v>
      </c>
      <c r="E179" s="3" t="s">
        <v>608</v>
      </c>
      <c r="F179" s="3" t="s">
        <v>907</v>
      </c>
      <c r="G179" s="3" t="s">
        <v>907</v>
      </c>
      <c r="H179" s="3" t="s">
        <v>908</v>
      </c>
      <c r="I179" s="3" t="s">
        <v>355</v>
      </c>
      <c r="J179" s="3" t="s">
        <v>4</v>
      </c>
      <c r="K179" s="3" t="s">
        <v>909</v>
      </c>
      <c r="L179" s="3" t="s">
        <v>30</v>
      </c>
      <c r="M179" s="3" t="s">
        <v>14</v>
      </c>
      <c r="N179">
        <v>0</v>
      </c>
      <c r="O179">
        <v>98.885000000000005</v>
      </c>
      <c r="P179">
        <v>245</v>
      </c>
      <c r="Q179">
        <v>0</v>
      </c>
      <c r="R179">
        <v>-200</v>
      </c>
      <c r="S179" s="3" t="s">
        <v>263</v>
      </c>
      <c r="T179">
        <v>0</v>
      </c>
      <c r="U179">
        <v>0</v>
      </c>
      <c r="V179">
        <v>0</v>
      </c>
      <c r="W179">
        <v>0</v>
      </c>
      <c r="X179">
        <v>0</v>
      </c>
      <c r="Y179" s="3" t="s">
        <v>31</v>
      </c>
      <c r="Z179">
        <v>98.885000000000005</v>
      </c>
      <c r="AA179">
        <v>0</v>
      </c>
      <c r="AB179" s="3" t="s">
        <v>256</v>
      </c>
      <c r="AC179" s="3" t="s">
        <v>10</v>
      </c>
      <c r="AD179">
        <v>0</v>
      </c>
      <c r="AE179">
        <v>0</v>
      </c>
      <c r="AF179" s="3" t="s">
        <v>640</v>
      </c>
    </row>
    <row r="180" spans="1:32" x14ac:dyDescent="0.35">
      <c r="A180" s="3" t="s">
        <v>608</v>
      </c>
      <c r="B180" s="3" t="s">
        <v>608</v>
      </c>
      <c r="C180" s="3" t="s">
        <v>608</v>
      </c>
      <c r="D180" s="3" t="s">
        <v>608</v>
      </c>
      <c r="E180" s="3" t="s">
        <v>608</v>
      </c>
      <c r="F180" s="3" t="s">
        <v>841</v>
      </c>
      <c r="G180" s="3" t="s">
        <v>841</v>
      </c>
      <c r="H180" s="3" t="s">
        <v>842</v>
      </c>
      <c r="I180" s="3" t="s">
        <v>135</v>
      </c>
      <c r="J180" s="3" t="s">
        <v>4</v>
      </c>
      <c r="K180" s="3" t="s">
        <v>843</v>
      </c>
      <c r="L180" s="3" t="s">
        <v>30</v>
      </c>
      <c r="M180" s="3" t="s">
        <v>14</v>
      </c>
      <c r="N180">
        <v>3000000</v>
      </c>
      <c r="O180">
        <v>103.182</v>
      </c>
      <c r="P180">
        <v>293</v>
      </c>
      <c r="Q180">
        <v>3990</v>
      </c>
      <c r="R180">
        <v>277</v>
      </c>
      <c r="S180" s="3" t="s">
        <v>263</v>
      </c>
      <c r="T180">
        <v>1008</v>
      </c>
      <c r="U180">
        <v>1018</v>
      </c>
      <c r="V180">
        <v>2985</v>
      </c>
      <c r="W180">
        <v>9.6300000000000008</v>
      </c>
      <c r="X180">
        <v>3095460</v>
      </c>
      <c r="Y180" s="3" t="s">
        <v>31</v>
      </c>
      <c r="Z180">
        <v>103.04900000000001</v>
      </c>
      <c r="AA180">
        <v>3000000</v>
      </c>
      <c r="AB180" s="3" t="s">
        <v>256</v>
      </c>
      <c r="AC180" s="3" t="s">
        <v>10</v>
      </c>
      <c r="AD180">
        <v>3149275</v>
      </c>
      <c r="AE180">
        <v>3149275</v>
      </c>
      <c r="AF180" s="3" t="s">
        <v>640</v>
      </c>
    </row>
    <row r="181" spans="1:32" x14ac:dyDescent="0.35">
      <c r="A181" s="3" t="s">
        <v>608</v>
      </c>
      <c r="B181" s="3" t="s">
        <v>608</v>
      </c>
      <c r="C181" s="3" t="s">
        <v>608</v>
      </c>
      <c r="D181" s="3" t="s">
        <v>608</v>
      </c>
      <c r="E181" s="3" t="s">
        <v>608</v>
      </c>
      <c r="F181" s="3" t="s">
        <v>358</v>
      </c>
      <c r="G181" s="3" t="s">
        <v>358</v>
      </c>
      <c r="H181" s="3" t="s">
        <v>359</v>
      </c>
      <c r="I181" s="3" t="s">
        <v>135</v>
      </c>
      <c r="J181" s="3" t="s">
        <v>4</v>
      </c>
      <c r="K181" s="3" t="s">
        <v>783</v>
      </c>
      <c r="L181" s="3" t="s">
        <v>30</v>
      </c>
      <c r="M181" s="3" t="s">
        <v>14</v>
      </c>
      <c r="N181">
        <v>-1000000</v>
      </c>
      <c r="O181">
        <v>104.342</v>
      </c>
      <c r="P181">
        <v>247</v>
      </c>
      <c r="Q181">
        <v>-1450</v>
      </c>
      <c r="R181">
        <v>-113</v>
      </c>
      <c r="S181" s="3" t="s">
        <v>263</v>
      </c>
      <c r="T181">
        <v>-204</v>
      </c>
      <c r="U181">
        <v>-206</v>
      </c>
      <c r="V181">
        <v>-509</v>
      </c>
      <c r="W181">
        <v>-1.64</v>
      </c>
      <c r="X181">
        <v>-1043420</v>
      </c>
      <c r="Y181" s="3" t="s">
        <v>31</v>
      </c>
      <c r="Z181">
        <v>104.197</v>
      </c>
      <c r="AA181">
        <v>-1000000</v>
      </c>
      <c r="AB181" s="3" t="s">
        <v>256</v>
      </c>
      <c r="AC181" s="3" t="s">
        <v>10</v>
      </c>
      <c r="AD181">
        <v>-1083092</v>
      </c>
      <c r="AE181">
        <v>1083092</v>
      </c>
      <c r="AF181" s="3" t="s">
        <v>640</v>
      </c>
    </row>
    <row r="182" spans="1:32" x14ac:dyDescent="0.35">
      <c r="A182" s="3" t="s">
        <v>608</v>
      </c>
      <c r="B182" s="3" t="s">
        <v>608</v>
      </c>
      <c r="C182" s="3" t="s">
        <v>608</v>
      </c>
      <c r="D182" s="3" t="s">
        <v>608</v>
      </c>
      <c r="E182" s="3" t="s">
        <v>608</v>
      </c>
      <c r="F182" s="3" t="s">
        <v>587</v>
      </c>
      <c r="G182" s="3" t="s">
        <v>587</v>
      </c>
      <c r="H182" s="3" t="s">
        <v>361</v>
      </c>
      <c r="I182" s="3" t="s">
        <v>140</v>
      </c>
      <c r="J182" s="3" t="s">
        <v>4</v>
      </c>
      <c r="K182" s="3" t="s">
        <v>784</v>
      </c>
      <c r="L182" s="3" t="s">
        <v>30</v>
      </c>
      <c r="M182" s="3" t="s">
        <v>14</v>
      </c>
      <c r="N182">
        <v>800000</v>
      </c>
      <c r="O182">
        <v>98.652000000000001</v>
      </c>
      <c r="P182">
        <v>341</v>
      </c>
      <c r="Q182">
        <v>2560</v>
      </c>
      <c r="R182">
        <v>63</v>
      </c>
      <c r="S182" s="3" t="s">
        <v>263</v>
      </c>
      <c r="T182">
        <v>590</v>
      </c>
      <c r="U182">
        <v>597</v>
      </c>
      <c r="V182">
        <v>2033</v>
      </c>
      <c r="W182">
        <v>6.56</v>
      </c>
      <c r="X182">
        <v>789216</v>
      </c>
      <c r="Y182" s="3" t="s">
        <v>31</v>
      </c>
      <c r="Z182">
        <v>98.331999999999994</v>
      </c>
      <c r="AA182">
        <v>800000</v>
      </c>
      <c r="AB182" s="3" t="s">
        <v>256</v>
      </c>
      <c r="AC182" s="3" t="s">
        <v>10</v>
      </c>
      <c r="AD182">
        <v>793249</v>
      </c>
      <c r="AE182">
        <v>793249</v>
      </c>
      <c r="AF182" s="3" t="s">
        <v>640</v>
      </c>
    </row>
    <row r="183" spans="1:32" x14ac:dyDescent="0.35">
      <c r="A183" s="3" t="s">
        <v>608</v>
      </c>
      <c r="B183" s="3" t="s">
        <v>608</v>
      </c>
      <c r="C183" s="3" t="s">
        <v>608</v>
      </c>
      <c r="D183" s="3" t="s">
        <v>608</v>
      </c>
      <c r="E183" s="3" t="s">
        <v>608</v>
      </c>
      <c r="F183" s="3" t="s">
        <v>991</v>
      </c>
      <c r="G183" s="3" t="s">
        <v>991</v>
      </c>
      <c r="H183" s="3" t="s">
        <v>992</v>
      </c>
      <c r="I183" s="3" t="s">
        <v>140</v>
      </c>
      <c r="J183" s="3" t="s">
        <v>4</v>
      </c>
      <c r="K183" s="3" t="s">
        <v>993</v>
      </c>
      <c r="L183" s="3" t="s">
        <v>30</v>
      </c>
      <c r="M183" s="3" t="s">
        <v>14</v>
      </c>
      <c r="N183">
        <v>-800000</v>
      </c>
      <c r="O183">
        <v>118.202</v>
      </c>
      <c r="P183">
        <v>290</v>
      </c>
      <c r="Q183">
        <v>1944</v>
      </c>
      <c r="R183">
        <v>0</v>
      </c>
      <c r="S183" s="3" t="s">
        <v>263</v>
      </c>
      <c r="T183">
        <v>-422</v>
      </c>
      <c r="U183">
        <v>-426</v>
      </c>
      <c r="V183">
        <v>-1234</v>
      </c>
      <c r="W183">
        <v>-3.98</v>
      </c>
      <c r="X183">
        <v>-945616</v>
      </c>
      <c r="Y183" s="3" t="s">
        <v>31</v>
      </c>
      <c r="Z183">
        <v>118.97</v>
      </c>
      <c r="AA183">
        <v>0</v>
      </c>
      <c r="AB183" s="3" t="s">
        <v>256</v>
      </c>
      <c r="AC183" s="3" t="s">
        <v>10</v>
      </c>
      <c r="AD183">
        <v>-990971</v>
      </c>
      <c r="AE183">
        <v>990971</v>
      </c>
      <c r="AF183" s="3" t="s">
        <v>640</v>
      </c>
    </row>
    <row r="184" spans="1:32" x14ac:dyDescent="0.35">
      <c r="A184" s="3" t="s">
        <v>608</v>
      </c>
      <c r="B184" s="3" t="s">
        <v>608</v>
      </c>
      <c r="C184" s="3" t="s">
        <v>608</v>
      </c>
      <c r="D184" s="3" t="s">
        <v>608</v>
      </c>
      <c r="E184" s="3" t="s">
        <v>608</v>
      </c>
      <c r="F184" s="3" t="s">
        <v>360</v>
      </c>
      <c r="G184" s="3" t="s">
        <v>360</v>
      </c>
      <c r="H184" s="3" t="s">
        <v>361</v>
      </c>
      <c r="I184" s="3" t="s">
        <v>140</v>
      </c>
      <c r="J184" s="3" t="s">
        <v>4</v>
      </c>
      <c r="K184" s="3" t="s">
        <v>785</v>
      </c>
      <c r="L184" s="3" t="s">
        <v>30</v>
      </c>
      <c r="M184" s="3" t="s">
        <v>14</v>
      </c>
      <c r="N184">
        <v>3500000</v>
      </c>
      <c r="O184">
        <v>101.895</v>
      </c>
      <c r="P184">
        <v>281</v>
      </c>
      <c r="Q184">
        <v>6545</v>
      </c>
      <c r="R184">
        <v>276</v>
      </c>
      <c r="S184" s="3" t="s">
        <v>263</v>
      </c>
      <c r="T184">
        <v>1137</v>
      </c>
      <c r="U184">
        <v>1148</v>
      </c>
      <c r="V184">
        <v>3228</v>
      </c>
      <c r="W184">
        <v>10.41</v>
      </c>
      <c r="X184">
        <v>3566325</v>
      </c>
      <c r="Y184" s="3" t="s">
        <v>31</v>
      </c>
      <c r="Z184">
        <v>101.708</v>
      </c>
      <c r="AA184">
        <v>3500000</v>
      </c>
      <c r="AB184" s="3" t="s">
        <v>256</v>
      </c>
      <c r="AC184" s="3" t="s">
        <v>10</v>
      </c>
      <c r="AD184">
        <v>3604370</v>
      </c>
      <c r="AE184">
        <v>3604370</v>
      </c>
      <c r="AF184" s="3" t="s">
        <v>640</v>
      </c>
    </row>
    <row r="185" spans="1:32" x14ac:dyDescent="0.35">
      <c r="A185" s="3" t="s">
        <v>608</v>
      </c>
      <c r="B185" s="3" t="s">
        <v>608</v>
      </c>
      <c r="C185" s="3" t="s">
        <v>608</v>
      </c>
      <c r="D185" s="3" t="s">
        <v>608</v>
      </c>
      <c r="E185" s="3" t="s">
        <v>608</v>
      </c>
      <c r="F185" s="3" t="s">
        <v>362</v>
      </c>
      <c r="G185" s="3" t="s">
        <v>362</v>
      </c>
      <c r="H185" s="3" t="s">
        <v>363</v>
      </c>
      <c r="I185" s="3" t="s">
        <v>364</v>
      </c>
      <c r="J185" s="3" t="s">
        <v>4</v>
      </c>
      <c r="K185" s="3" t="s">
        <v>786</v>
      </c>
      <c r="L185" s="3" t="s">
        <v>30</v>
      </c>
      <c r="M185" s="3" t="s">
        <v>14</v>
      </c>
      <c r="N185">
        <v>0</v>
      </c>
      <c r="O185">
        <v>99.57</v>
      </c>
      <c r="P185">
        <v>220</v>
      </c>
      <c r="Q185">
        <v>0</v>
      </c>
      <c r="R185">
        <v>62</v>
      </c>
      <c r="S185" s="3" t="s">
        <v>263</v>
      </c>
      <c r="T185">
        <v>0</v>
      </c>
      <c r="U185">
        <v>0</v>
      </c>
      <c r="V185">
        <v>0</v>
      </c>
      <c r="W185">
        <v>0</v>
      </c>
      <c r="X185">
        <v>0</v>
      </c>
      <c r="Y185" s="3" t="s">
        <v>31</v>
      </c>
      <c r="Z185">
        <v>99.57</v>
      </c>
      <c r="AA185">
        <v>0</v>
      </c>
      <c r="AB185" s="3" t="s">
        <v>256</v>
      </c>
      <c r="AC185" s="3" t="s">
        <v>10</v>
      </c>
      <c r="AD185">
        <v>0</v>
      </c>
      <c r="AE185">
        <v>0</v>
      </c>
      <c r="AF185" s="3" t="s">
        <v>640</v>
      </c>
    </row>
    <row r="186" spans="1:32" x14ac:dyDescent="0.35">
      <c r="A186" s="3" t="s">
        <v>608</v>
      </c>
      <c r="B186" s="3" t="s">
        <v>608</v>
      </c>
      <c r="C186" s="3" t="s">
        <v>608</v>
      </c>
      <c r="D186" s="3" t="s">
        <v>608</v>
      </c>
      <c r="E186" s="3" t="s">
        <v>608</v>
      </c>
      <c r="F186" s="3" t="s">
        <v>365</v>
      </c>
      <c r="G186" s="3" t="s">
        <v>365</v>
      </c>
      <c r="H186" s="3" t="s">
        <v>366</v>
      </c>
      <c r="I186" s="3" t="s">
        <v>364</v>
      </c>
      <c r="J186" s="3" t="s">
        <v>4</v>
      </c>
      <c r="K186" s="3" t="s">
        <v>788</v>
      </c>
      <c r="L186" s="3" t="s">
        <v>30</v>
      </c>
      <c r="M186" s="3" t="s">
        <v>14</v>
      </c>
      <c r="N186">
        <v>0</v>
      </c>
      <c r="O186">
        <v>118.375</v>
      </c>
      <c r="P186">
        <v>217</v>
      </c>
      <c r="Q186">
        <v>0</v>
      </c>
      <c r="R186">
        <v>16</v>
      </c>
      <c r="S186" s="3" t="s">
        <v>263</v>
      </c>
      <c r="T186">
        <v>0</v>
      </c>
      <c r="U186">
        <v>0</v>
      </c>
      <c r="V186">
        <v>0</v>
      </c>
      <c r="W186">
        <v>0</v>
      </c>
      <c r="X186">
        <v>0</v>
      </c>
      <c r="Y186" s="3" t="s">
        <v>31</v>
      </c>
      <c r="Z186">
        <v>118.375</v>
      </c>
      <c r="AA186">
        <v>0</v>
      </c>
      <c r="AB186" s="3" t="s">
        <v>256</v>
      </c>
      <c r="AC186" s="3" t="s">
        <v>10</v>
      </c>
      <c r="AD186">
        <v>0</v>
      </c>
      <c r="AE186">
        <v>0</v>
      </c>
      <c r="AF186" s="3" t="s">
        <v>640</v>
      </c>
    </row>
    <row r="187" spans="1:32" x14ac:dyDescent="0.35">
      <c r="A187" s="3" t="s">
        <v>608</v>
      </c>
      <c r="B187" s="3" t="s">
        <v>608</v>
      </c>
      <c r="C187" s="3" t="s">
        <v>608</v>
      </c>
      <c r="D187" s="3" t="s">
        <v>608</v>
      </c>
      <c r="E187" s="3" t="s">
        <v>608</v>
      </c>
      <c r="F187" s="3" t="s">
        <v>367</v>
      </c>
      <c r="G187" s="3" t="s">
        <v>367</v>
      </c>
      <c r="H187" s="3" t="s">
        <v>368</v>
      </c>
      <c r="I187" s="3" t="s">
        <v>364</v>
      </c>
      <c r="J187" s="3" t="s">
        <v>4</v>
      </c>
      <c r="K187" s="3" t="s">
        <v>789</v>
      </c>
      <c r="L187" s="3" t="s">
        <v>30</v>
      </c>
      <c r="M187" s="3" t="s">
        <v>14</v>
      </c>
      <c r="N187">
        <v>-136000</v>
      </c>
      <c r="O187">
        <v>112.637</v>
      </c>
      <c r="P187">
        <v>180</v>
      </c>
      <c r="Q187">
        <v>2709</v>
      </c>
      <c r="R187">
        <v>95</v>
      </c>
      <c r="S187" s="3" t="s">
        <v>263</v>
      </c>
      <c r="T187">
        <v>-47</v>
      </c>
      <c r="U187">
        <v>-47</v>
      </c>
      <c r="V187">
        <v>-85</v>
      </c>
      <c r="W187">
        <v>-0.27</v>
      </c>
      <c r="X187">
        <v>-153186</v>
      </c>
      <c r="Y187" s="3" t="s">
        <v>31</v>
      </c>
      <c r="Z187">
        <v>112.33499999999999</v>
      </c>
      <c r="AA187">
        <v>664000</v>
      </c>
      <c r="AB187" s="3" t="s">
        <v>256</v>
      </c>
      <c r="AC187" s="3" t="s">
        <v>10</v>
      </c>
      <c r="AD187">
        <v>-158588</v>
      </c>
      <c r="AE187">
        <v>158588</v>
      </c>
      <c r="AF187" s="3" t="s">
        <v>640</v>
      </c>
    </row>
    <row r="188" spans="1:32" x14ac:dyDescent="0.35">
      <c r="A188" s="3" t="s">
        <v>608</v>
      </c>
      <c r="B188" s="3" t="s">
        <v>608</v>
      </c>
      <c r="C188" s="3" t="s">
        <v>608</v>
      </c>
      <c r="D188" s="3" t="s">
        <v>608</v>
      </c>
      <c r="E188" s="3" t="s">
        <v>608</v>
      </c>
      <c r="F188" s="3" t="s">
        <v>369</v>
      </c>
      <c r="G188" s="3" t="s">
        <v>369</v>
      </c>
      <c r="H188" s="3" t="s">
        <v>370</v>
      </c>
      <c r="I188" s="3" t="s">
        <v>371</v>
      </c>
      <c r="J188" s="3" t="s">
        <v>4</v>
      </c>
      <c r="K188" s="3" t="s">
        <v>790</v>
      </c>
      <c r="L188" s="3" t="s">
        <v>30</v>
      </c>
      <c r="M188" s="3" t="s">
        <v>14</v>
      </c>
      <c r="N188">
        <v>0</v>
      </c>
      <c r="O188">
        <v>100.124</v>
      </c>
      <c r="P188">
        <v>215</v>
      </c>
      <c r="Q188">
        <v>0</v>
      </c>
      <c r="R188">
        <v>0</v>
      </c>
      <c r="S188" s="3" t="s">
        <v>263</v>
      </c>
      <c r="T188">
        <v>0</v>
      </c>
      <c r="U188">
        <v>0</v>
      </c>
      <c r="V188">
        <v>0</v>
      </c>
      <c r="W188">
        <v>0</v>
      </c>
      <c r="X188">
        <v>0</v>
      </c>
      <c r="Y188" s="3" t="s">
        <v>31</v>
      </c>
      <c r="Z188">
        <v>100.124</v>
      </c>
      <c r="AA188">
        <v>0</v>
      </c>
      <c r="AB188" s="3" t="s">
        <v>256</v>
      </c>
      <c r="AC188" s="3" t="s">
        <v>10</v>
      </c>
      <c r="AD188">
        <v>0</v>
      </c>
      <c r="AE188">
        <v>0</v>
      </c>
      <c r="AF188" s="3" t="s">
        <v>640</v>
      </c>
    </row>
    <row r="189" spans="1:32" x14ac:dyDescent="0.35">
      <c r="A189" s="3" t="s">
        <v>608</v>
      </c>
      <c r="B189" s="3" t="s">
        <v>608</v>
      </c>
      <c r="C189" s="3" t="s">
        <v>608</v>
      </c>
      <c r="D189" s="3" t="s">
        <v>608</v>
      </c>
      <c r="E189" s="3" t="s">
        <v>608</v>
      </c>
      <c r="F189" s="3" t="s">
        <v>372</v>
      </c>
      <c r="G189" s="3" t="s">
        <v>372</v>
      </c>
      <c r="H189" s="3" t="s">
        <v>373</v>
      </c>
      <c r="I189" s="3" t="s">
        <v>152</v>
      </c>
      <c r="J189" s="3" t="s">
        <v>4</v>
      </c>
      <c r="K189" s="3" t="s">
        <v>791</v>
      </c>
      <c r="L189" s="3" t="s">
        <v>30</v>
      </c>
      <c r="M189" s="3" t="s">
        <v>14</v>
      </c>
      <c r="N189">
        <v>-3200000</v>
      </c>
      <c r="O189">
        <v>102.143</v>
      </c>
      <c r="P189">
        <v>431</v>
      </c>
      <c r="Q189">
        <v>-11776</v>
      </c>
      <c r="R189">
        <v>0</v>
      </c>
      <c r="S189" s="3" t="s">
        <v>263</v>
      </c>
      <c r="T189">
        <v>-2153</v>
      </c>
      <c r="U189">
        <v>-2176</v>
      </c>
      <c r="V189">
        <v>-9382</v>
      </c>
      <c r="W189">
        <v>-30.27</v>
      </c>
      <c r="X189">
        <v>-3268576</v>
      </c>
      <c r="Y189" s="3" t="s">
        <v>31</v>
      </c>
      <c r="Z189">
        <v>101.643</v>
      </c>
      <c r="AA189">
        <v>0</v>
      </c>
      <c r="AB189" s="3" t="s">
        <v>256</v>
      </c>
      <c r="AC189" s="3" t="s">
        <v>10</v>
      </c>
      <c r="AD189">
        <v>-3323160</v>
      </c>
      <c r="AE189">
        <v>3323160</v>
      </c>
      <c r="AF189" s="3" t="s">
        <v>640</v>
      </c>
    </row>
    <row r="190" spans="1:32" x14ac:dyDescent="0.35">
      <c r="A190" s="3" t="s">
        <v>608</v>
      </c>
      <c r="B190" s="3" t="s">
        <v>608</v>
      </c>
      <c r="C190" s="3" t="s">
        <v>608</v>
      </c>
      <c r="D190" s="3" t="s">
        <v>608</v>
      </c>
      <c r="E190" s="3" t="s">
        <v>608</v>
      </c>
      <c r="F190" s="3" t="s">
        <v>916</v>
      </c>
      <c r="G190" s="3" t="s">
        <v>916</v>
      </c>
      <c r="H190" s="3" t="s">
        <v>917</v>
      </c>
      <c r="I190" s="3" t="s">
        <v>152</v>
      </c>
      <c r="J190" s="3" t="s">
        <v>4</v>
      </c>
      <c r="K190" s="3" t="s">
        <v>918</v>
      </c>
      <c r="L190" s="3" t="s">
        <v>30</v>
      </c>
      <c r="M190" s="3" t="s">
        <v>14</v>
      </c>
      <c r="N190">
        <v>6000000</v>
      </c>
      <c r="O190">
        <v>100.88</v>
      </c>
      <c r="P190">
        <v>404</v>
      </c>
      <c r="Q190">
        <v>25920</v>
      </c>
      <c r="R190">
        <v>0</v>
      </c>
      <c r="S190" s="3" t="s">
        <v>263</v>
      </c>
      <c r="T190">
        <v>2890</v>
      </c>
      <c r="U190">
        <v>2918</v>
      </c>
      <c r="V190">
        <v>11798</v>
      </c>
      <c r="W190">
        <v>38.06</v>
      </c>
      <c r="X190">
        <v>6052800</v>
      </c>
      <c r="Y190" s="3" t="s">
        <v>31</v>
      </c>
      <c r="Z190">
        <v>100.44799999999999</v>
      </c>
      <c r="AA190">
        <v>6000000</v>
      </c>
      <c r="AB190" s="3" t="s">
        <v>256</v>
      </c>
      <c r="AC190" s="3" t="s">
        <v>10</v>
      </c>
      <c r="AD190">
        <v>6142800</v>
      </c>
      <c r="AE190">
        <v>6142800</v>
      </c>
      <c r="AF190" s="3" t="s">
        <v>640</v>
      </c>
    </row>
    <row r="191" spans="1:32" x14ac:dyDescent="0.35">
      <c r="A191" s="3" t="s">
        <v>608</v>
      </c>
      <c r="B191" s="3" t="s">
        <v>608</v>
      </c>
      <c r="C191" s="3" t="s">
        <v>608</v>
      </c>
      <c r="D191" s="3" t="s">
        <v>608</v>
      </c>
      <c r="E191" s="3" t="s">
        <v>608</v>
      </c>
      <c r="F191" s="3" t="s">
        <v>374</v>
      </c>
      <c r="G191" s="3" t="s">
        <v>374</v>
      </c>
      <c r="H191" s="3" t="s">
        <v>375</v>
      </c>
      <c r="I191" s="3" t="s">
        <v>152</v>
      </c>
      <c r="J191" s="3" t="s">
        <v>4</v>
      </c>
      <c r="K191" s="3" t="s">
        <v>792</v>
      </c>
      <c r="L191" s="3" t="s">
        <v>30</v>
      </c>
      <c r="M191" s="3" t="s">
        <v>14</v>
      </c>
      <c r="N191">
        <v>1550000</v>
      </c>
      <c r="O191">
        <v>104.124</v>
      </c>
      <c r="P191">
        <v>397</v>
      </c>
      <c r="Q191">
        <v>7130</v>
      </c>
      <c r="R191">
        <v>191</v>
      </c>
      <c r="S191" s="3" t="s">
        <v>263</v>
      </c>
      <c r="T191">
        <v>638</v>
      </c>
      <c r="U191">
        <v>644</v>
      </c>
      <c r="V191">
        <v>2557</v>
      </c>
      <c r="W191">
        <v>8.25</v>
      </c>
      <c r="X191">
        <v>1613922</v>
      </c>
      <c r="Y191" s="3" t="s">
        <v>31</v>
      </c>
      <c r="Z191">
        <v>103.664</v>
      </c>
      <c r="AA191">
        <v>1550000</v>
      </c>
      <c r="AB191" s="3" t="s">
        <v>256</v>
      </c>
      <c r="AC191" s="3" t="s">
        <v>10</v>
      </c>
      <c r="AD191">
        <v>1656727</v>
      </c>
      <c r="AE191">
        <v>1656727</v>
      </c>
      <c r="AF191" s="3" t="s">
        <v>640</v>
      </c>
    </row>
    <row r="192" spans="1:32" x14ac:dyDescent="0.35">
      <c r="A192" s="3" t="s">
        <v>608</v>
      </c>
      <c r="B192" s="3" t="s">
        <v>608</v>
      </c>
      <c r="C192" s="3" t="s">
        <v>608</v>
      </c>
      <c r="D192" s="3" t="s">
        <v>608</v>
      </c>
      <c r="E192" s="3" t="s">
        <v>608</v>
      </c>
      <c r="F192" s="3" t="s">
        <v>376</v>
      </c>
      <c r="G192" s="3" t="s">
        <v>376</v>
      </c>
      <c r="H192" s="3" t="s">
        <v>377</v>
      </c>
      <c r="I192" s="3" t="s">
        <v>378</v>
      </c>
      <c r="J192" s="3" t="s">
        <v>4</v>
      </c>
      <c r="K192" s="3" t="s">
        <v>793</v>
      </c>
      <c r="L192" s="3" t="s">
        <v>30</v>
      </c>
      <c r="M192" s="3" t="s">
        <v>14</v>
      </c>
      <c r="N192">
        <v>3398000</v>
      </c>
      <c r="O192">
        <v>107.41500000000001</v>
      </c>
      <c r="P192">
        <v>226</v>
      </c>
      <c r="Q192">
        <v>2379</v>
      </c>
      <c r="R192">
        <v>326</v>
      </c>
      <c r="S192" s="3" t="s">
        <v>263</v>
      </c>
      <c r="T192">
        <v>1513</v>
      </c>
      <c r="U192">
        <v>1528</v>
      </c>
      <c r="V192">
        <v>3450</v>
      </c>
      <c r="W192">
        <v>11.13</v>
      </c>
      <c r="X192">
        <v>3649962</v>
      </c>
      <c r="Y192" s="3" t="s">
        <v>31</v>
      </c>
      <c r="Z192">
        <v>107.345</v>
      </c>
      <c r="AA192">
        <v>3398000</v>
      </c>
      <c r="AB192" s="3" t="s">
        <v>256</v>
      </c>
      <c r="AC192" s="3" t="s">
        <v>10</v>
      </c>
      <c r="AD192">
        <v>3714151</v>
      </c>
      <c r="AE192">
        <v>3714151</v>
      </c>
      <c r="AF192" s="3" t="s">
        <v>640</v>
      </c>
    </row>
    <row r="193" spans="1:32" x14ac:dyDescent="0.35">
      <c r="A193" s="3" t="s">
        <v>608</v>
      </c>
      <c r="B193" s="3" t="s">
        <v>608</v>
      </c>
      <c r="C193" s="3" t="s">
        <v>608</v>
      </c>
      <c r="D193" s="3" t="s">
        <v>608</v>
      </c>
      <c r="E193" s="3" t="s">
        <v>608</v>
      </c>
      <c r="F193" s="3" t="s">
        <v>379</v>
      </c>
      <c r="G193" s="3" t="s">
        <v>379</v>
      </c>
      <c r="H193" s="3" t="s">
        <v>380</v>
      </c>
      <c r="I193" s="3" t="s">
        <v>381</v>
      </c>
      <c r="J193" s="3" t="s">
        <v>266</v>
      </c>
      <c r="K193" s="3" t="s">
        <v>794</v>
      </c>
      <c r="L193" s="3" t="s">
        <v>30</v>
      </c>
      <c r="M193" s="3" t="s">
        <v>14</v>
      </c>
      <c r="N193">
        <v>5520000</v>
      </c>
      <c r="O193">
        <v>98.593999999999994</v>
      </c>
      <c r="P193">
        <v>451</v>
      </c>
      <c r="Q193">
        <v>-12559</v>
      </c>
      <c r="R193">
        <v>621</v>
      </c>
      <c r="S193" s="3" t="s">
        <v>250</v>
      </c>
      <c r="T193">
        <v>2265</v>
      </c>
      <c r="U193">
        <v>2302</v>
      </c>
      <c r="V193">
        <v>10381</v>
      </c>
      <c r="W193">
        <v>33.49</v>
      </c>
      <c r="X193">
        <v>4640509</v>
      </c>
      <c r="Y193" s="3" t="s">
        <v>31</v>
      </c>
      <c r="Z193">
        <v>98.861999999999995</v>
      </c>
      <c r="AA193">
        <v>5520000</v>
      </c>
      <c r="AB193" s="3" t="s">
        <v>256</v>
      </c>
      <c r="AC193" s="3" t="s">
        <v>10</v>
      </c>
      <c r="AD193">
        <v>4669642</v>
      </c>
      <c r="AE193">
        <v>4669642</v>
      </c>
      <c r="AF193" s="3" t="s">
        <v>640</v>
      </c>
    </row>
    <row r="194" spans="1:32" x14ac:dyDescent="0.35">
      <c r="A194" s="3" t="s">
        <v>608</v>
      </c>
      <c r="B194" s="3" t="s">
        <v>608</v>
      </c>
      <c r="C194" s="3" t="s">
        <v>608</v>
      </c>
      <c r="D194" s="3" t="s">
        <v>608</v>
      </c>
      <c r="E194" s="3" t="s">
        <v>608</v>
      </c>
      <c r="F194" s="3" t="s">
        <v>382</v>
      </c>
      <c r="G194" s="3" t="s">
        <v>382</v>
      </c>
      <c r="H194" s="3" t="s">
        <v>383</v>
      </c>
      <c r="I194" s="3" t="s">
        <v>162</v>
      </c>
      <c r="J194" s="3" t="s">
        <v>4</v>
      </c>
      <c r="K194" s="3" t="s">
        <v>795</v>
      </c>
      <c r="L194" s="3" t="s">
        <v>30</v>
      </c>
      <c r="M194" s="3" t="s">
        <v>14</v>
      </c>
      <c r="N194">
        <v>-1500000</v>
      </c>
      <c r="O194">
        <v>106.654</v>
      </c>
      <c r="P194">
        <v>394</v>
      </c>
      <c r="Q194">
        <v>-1485</v>
      </c>
      <c r="R194">
        <v>-231</v>
      </c>
      <c r="S194" s="3" t="s">
        <v>263</v>
      </c>
      <c r="T194">
        <v>-473</v>
      </c>
      <c r="U194">
        <v>-477</v>
      </c>
      <c r="V194">
        <v>-1881</v>
      </c>
      <c r="W194">
        <v>-6.07</v>
      </c>
      <c r="X194">
        <v>-1599810</v>
      </c>
      <c r="Y194" s="3" t="s">
        <v>31</v>
      </c>
      <c r="Z194">
        <v>106.55500000000001</v>
      </c>
      <c r="AA194">
        <v>-1500000</v>
      </c>
      <c r="AB194" s="3" t="s">
        <v>256</v>
      </c>
      <c r="AC194" s="3" t="s">
        <v>10</v>
      </c>
      <c r="AD194">
        <v>-1664359</v>
      </c>
      <c r="AE194">
        <v>1664359</v>
      </c>
      <c r="AF194" s="3" t="s">
        <v>640</v>
      </c>
    </row>
    <row r="195" spans="1:32" x14ac:dyDescent="0.35">
      <c r="A195" s="3" t="s">
        <v>608</v>
      </c>
      <c r="B195" s="3" t="s">
        <v>608</v>
      </c>
      <c r="C195" s="3" t="s">
        <v>608</v>
      </c>
      <c r="D195" s="3" t="s">
        <v>608</v>
      </c>
      <c r="E195" s="3" t="s">
        <v>608</v>
      </c>
      <c r="F195" s="3" t="s">
        <v>384</v>
      </c>
      <c r="G195" s="3" t="s">
        <v>384</v>
      </c>
      <c r="H195" s="3" t="s">
        <v>385</v>
      </c>
      <c r="I195" s="3" t="s">
        <v>165</v>
      </c>
      <c r="J195" s="3" t="s">
        <v>4</v>
      </c>
      <c r="K195" s="3" t="s">
        <v>796</v>
      </c>
      <c r="L195" s="3" t="s">
        <v>30</v>
      </c>
      <c r="M195" s="3" t="s">
        <v>14</v>
      </c>
      <c r="N195">
        <v>-3300000</v>
      </c>
      <c r="O195">
        <v>102.57</v>
      </c>
      <c r="P195">
        <v>257</v>
      </c>
      <c r="Q195">
        <v>-5940</v>
      </c>
      <c r="R195">
        <v>-260</v>
      </c>
      <c r="S195" s="3" t="s">
        <v>263</v>
      </c>
      <c r="T195">
        <v>-1032</v>
      </c>
      <c r="U195">
        <v>-1041</v>
      </c>
      <c r="V195">
        <v>-2678</v>
      </c>
      <c r="W195">
        <v>-8.64</v>
      </c>
      <c r="X195">
        <v>-3384810</v>
      </c>
      <c r="Y195" s="3" t="s">
        <v>31</v>
      </c>
      <c r="Z195">
        <v>102.39</v>
      </c>
      <c r="AA195">
        <v>-3300000</v>
      </c>
      <c r="AB195" s="3" t="s">
        <v>256</v>
      </c>
      <c r="AC195" s="3" t="s">
        <v>10</v>
      </c>
      <c r="AD195">
        <v>-3436536</v>
      </c>
      <c r="AE195">
        <v>3436536</v>
      </c>
      <c r="AF195" s="3" t="s">
        <v>640</v>
      </c>
    </row>
    <row r="196" spans="1:32" x14ac:dyDescent="0.35">
      <c r="A196" s="3" t="s">
        <v>608</v>
      </c>
      <c r="B196" s="3" t="s">
        <v>608</v>
      </c>
      <c r="C196" s="3" t="s">
        <v>608</v>
      </c>
      <c r="D196" s="3" t="s">
        <v>608</v>
      </c>
      <c r="E196" s="3" t="s">
        <v>608</v>
      </c>
      <c r="F196" s="3" t="s">
        <v>996</v>
      </c>
      <c r="G196" s="3" t="s">
        <v>996</v>
      </c>
      <c r="H196" s="3" t="s">
        <v>997</v>
      </c>
      <c r="I196" s="3" t="s">
        <v>388</v>
      </c>
      <c r="J196" s="3" t="s">
        <v>4</v>
      </c>
      <c r="K196" s="3" t="s">
        <v>998</v>
      </c>
      <c r="L196" s="3" t="s">
        <v>30</v>
      </c>
      <c r="M196" s="3" t="s">
        <v>14</v>
      </c>
      <c r="N196">
        <v>-3500000</v>
      </c>
      <c r="O196">
        <v>103.003</v>
      </c>
      <c r="P196">
        <v>305</v>
      </c>
      <c r="Q196">
        <v>16695</v>
      </c>
      <c r="R196">
        <v>0</v>
      </c>
      <c r="S196" s="3" t="s">
        <v>250</v>
      </c>
      <c r="T196">
        <v>-2087</v>
      </c>
      <c r="U196">
        <v>-2108</v>
      </c>
      <c r="V196">
        <v>-6427</v>
      </c>
      <c r="W196">
        <v>-20.73</v>
      </c>
      <c r="X196">
        <v>-3605105</v>
      </c>
      <c r="Y196" s="3" t="s">
        <v>31</v>
      </c>
      <c r="Z196">
        <v>103.401</v>
      </c>
      <c r="AA196">
        <v>0</v>
      </c>
      <c r="AB196" s="3" t="s">
        <v>256</v>
      </c>
      <c r="AC196" s="3" t="s">
        <v>10</v>
      </c>
      <c r="AD196">
        <v>-3639266</v>
      </c>
      <c r="AE196">
        <v>3639266</v>
      </c>
      <c r="AF196" s="3" t="s">
        <v>640</v>
      </c>
    </row>
    <row r="197" spans="1:32" x14ac:dyDescent="0.35">
      <c r="A197" s="3" t="s">
        <v>608</v>
      </c>
      <c r="B197" s="3" t="s">
        <v>608</v>
      </c>
      <c r="C197" s="3" t="s">
        <v>608</v>
      </c>
      <c r="D197" s="3" t="s">
        <v>608</v>
      </c>
      <c r="E197" s="3" t="s">
        <v>608</v>
      </c>
      <c r="F197" s="3" t="s">
        <v>386</v>
      </c>
      <c r="G197" s="3" t="s">
        <v>386</v>
      </c>
      <c r="H197" s="3" t="s">
        <v>387</v>
      </c>
      <c r="I197" s="3" t="s">
        <v>388</v>
      </c>
      <c r="J197" s="3" t="s">
        <v>266</v>
      </c>
      <c r="K197" s="3" t="s">
        <v>797</v>
      </c>
      <c r="L197" s="3" t="s">
        <v>30</v>
      </c>
      <c r="M197" s="3" t="s">
        <v>14</v>
      </c>
      <c r="N197">
        <v>615000</v>
      </c>
      <c r="O197">
        <v>103.60599999999999</v>
      </c>
      <c r="P197">
        <v>222</v>
      </c>
      <c r="Q197">
        <v>537</v>
      </c>
      <c r="R197">
        <v>-11</v>
      </c>
      <c r="S197" s="3" t="s">
        <v>263</v>
      </c>
      <c r="T197">
        <v>85</v>
      </c>
      <c r="U197">
        <v>86</v>
      </c>
      <c r="V197">
        <v>190</v>
      </c>
      <c r="W197">
        <v>0.61</v>
      </c>
      <c r="X197">
        <v>543295</v>
      </c>
      <c r="Y197" s="3" t="s">
        <v>31</v>
      </c>
      <c r="Z197">
        <v>103.54300000000001</v>
      </c>
      <c r="AA197">
        <v>-100000</v>
      </c>
      <c r="AB197" s="3" t="s">
        <v>256</v>
      </c>
      <c r="AC197" s="3" t="s">
        <v>10</v>
      </c>
      <c r="AD197">
        <v>547285</v>
      </c>
      <c r="AE197">
        <v>547285</v>
      </c>
      <c r="AF197" s="3" t="s">
        <v>640</v>
      </c>
    </row>
    <row r="198" spans="1:32" x14ac:dyDescent="0.35">
      <c r="A198" s="3" t="s">
        <v>608</v>
      </c>
      <c r="B198" s="3" t="s">
        <v>608</v>
      </c>
      <c r="C198" s="3" t="s">
        <v>608</v>
      </c>
      <c r="D198" s="3" t="s">
        <v>608</v>
      </c>
      <c r="E198" s="3" t="s">
        <v>608</v>
      </c>
      <c r="F198" s="3" t="s">
        <v>389</v>
      </c>
      <c r="G198" s="3" t="s">
        <v>389</v>
      </c>
      <c r="H198" s="3" t="s">
        <v>390</v>
      </c>
      <c r="I198" s="3" t="s">
        <v>388</v>
      </c>
      <c r="J198" s="3" t="s">
        <v>283</v>
      </c>
      <c r="K198" s="3" t="s">
        <v>797</v>
      </c>
      <c r="L198" s="3" t="s">
        <v>30</v>
      </c>
      <c r="M198" s="3" t="s">
        <v>14</v>
      </c>
      <c r="N198">
        <v>1650000</v>
      </c>
      <c r="O198">
        <v>102.56</v>
      </c>
      <c r="P198">
        <v>197</v>
      </c>
      <c r="Q198">
        <v>-436</v>
      </c>
      <c r="R198">
        <v>182</v>
      </c>
      <c r="S198" s="3" t="s">
        <v>263</v>
      </c>
      <c r="T198">
        <v>294</v>
      </c>
      <c r="U198">
        <v>298</v>
      </c>
      <c r="V198">
        <v>588</v>
      </c>
      <c r="W198">
        <v>1.9</v>
      </c>
      <c r="X198">
        <v>1883028</v>
      </c>
      <c r="Y198" s="3" t="s">
        <v>31</v>
      </c>
      <c r="Z198">
        <v>102.584</v>
      </c>
      <c r="AA198">
        <v>1650000</v>
      </c>
      <c r="AB198" s="3" t="s">
        <v>256</v>
      </c>
      <c r="AC198" s="3" t="s">
        <v>10</v>
      </c>
      <c r="AD198">
        <v>1891058</v>
      </c>
      <c r="AE198">
        <v>1891058</v>
      </c>
      <c r="AF198" s="3" t="s">
        <v>640</v>
      </c>
    </row>
    <row r="199" spans="1:32" x14ac:dyDescent="0.35">
      <c r="A199" s="3" t="s">
        <v>608</v>
      </c>
      <c r="B199" s="3" t="s">
        <v>608</v>
      </c>
      <c r="C199" s="3" t="s">
        <v>608</v>
      </c>
      <c r="D199" s="3" t="s">
        <v>608</v>
      </c>
      <c r="E199" s="3" t="s">
        <v>608</v>
      </c>
      <c r="F199" s="3" t="s">
        <v>391</v>
      </c>
      <c r="G199" s="3" t="s">
        <v>391</v>
      </c>
      <c r="H199" s="3" t="s">
        <v>392</v>
      </c>
      <c r="I199" s="3" t="s">
        <v>388</v>
      </c>
      <c r="J199" s="3" t="s">
        <v>4</v>
      </c>
      <c r="K199" s="3" t="s">
        <v>798</v>
      </c>
      <c r="L199" s="3" t="s">
        <v>30</v>
      </c>
      <c r="M199" s="3" t="s">
        <v>14</v>
      </c>
      <c r="N199">
        <v>-1050000</v>
      </c>
      <c r="O199">
        <v>100.498</v>
      </c>
      <c r="P199">
        <v>164</v>
      </c>
      <c r="Q199">
        <v>-21</v>
      </c>
      <c r="R199">
        <v>-68</v>
      </c>
      <c r="S199" s="3" t="s">
        <v>263</v>
      </c>
      <c r="T199">
        <v>-43</v>
      </c>
      <c r="U199">
        <v>-43</v>
      </c>
      <c r="V199">
        <v>-71</v>
      </c>
      <c r="W199">
        <v>-0.23</v>
      </c>
      <c r="X199">
        <v>-1055229</v>
      </c>
      <c r="Y199" s="3" t="s">
        <v>31</v>
      </c>
      <c r="Z199">
        <v>100.496</v>
      </c>
      <c r="AA199">
        <v>-1050000</v>
      </c>
      <c r="AB199" s="3" t="s">
        <v>256</v>
      </c>
      <c r="AC199" s="3" t="s">
        <v>10</v>
      </c>
      <c r="AD199">
        <v>-1070055</v>
      </c>
      <c r="AE199">
        <v>1070055</v>
      </c>
      <c r="AF199" s="3" t="s">
        <v>640</v>
      </c>
    </row>
    <row r="200" spans="1:32" x14ac:dyDescent="0.35">
      <c r="A200" s="3" t="s">
        <v>608</v>
      </c>
      <c r="B200" s="3" t="s">
        <v>608</v>
      </c>
      <c r="C200" s="3" t="s">
        <v>608</v>
      </c>
      <c r="D200" s="3" t="s">
        <v>608</v>
      </c>
      <c r="E200" s="3" t="s">
        <v>608</v>
      </c>
      <c r="F200" s="3" t="s">
        <v>393</v>
      </c>
      <c r="G200" s="3" t="s">
        <v>393</v>
      </c>
      <c r="H200" s="3" t="s">
        <v>394</v>
      </c>
      <c r="I200" s="3" t="s">
        <v>395</v>
      </c>
      <c r="J200" s="3" t="s">
        <v>4</v>
      </c>
      <c r="K200" s="3" t="s">
        <v>799</v>
      </c>
      <c r="L200" s="3" t="s">
        <v>30</v>
      </c>
      <c r="M200" s="3" t="s">
        <v>14</v>
      </c>
      <c r="N200">
        <v>0</v>
      </c>
      <c r="O200">
        <v>95.501999999999995</v>
      </c>
      <c r="P200">
        <v>408</v>
      </c>
      <c r="Q200">
        <v>-58</v>
      </c>
      <c r="R200">
        <v>-126</v>
      </c>
      <c r="S200" s="3" t="s">
        <v>263</v>
      </c>
      <c r="T200">
        <v>0</v>
      </c>
      <c r="U200">
        <v>0</v>
      </c>
      <c r="V200">
        <v>0</v>
      </c>
      <c r="W200">
        <v>0</v>
      </c>
      <c r="X200">
        <v>0</v>
      </c>
      <c r="Y200" s="3" t="s">
        <v>31</v>
      </c>
      <c r="Z200">
        <v>95.051000000000002</v>
      </c>
      <c r="AA200">
        <v>-200000</v>
      </c>
      <c r="AB200" s="3" t="s">
        <v>256</v>
      </c>
      <c r="AC200" s="3" t="s">
        <v>10</v>
      </c>
      <c r="AD200">
        <v>16</v>
      </c>
      <c r="AE200">
        <v>16</v>
      </c>
      <c r="AF200" s="3" t="s">
        <v>640</v>
      </c>
    </row>
    <row r="201" spans="1:32" x14ac:dyDescent="0.35">
      <c r="A201" s="3" t="s">
        <v>608</v>
      </c>
      <c r="B201" s="3" t="s">
        <v>608</v>
      </c>
      <c r="C201" s="3" t="s">
        <v>608</v>
      </c>
      <c r="D201" s="3" t="s">
        <v>608</v>
      </c>
      <c r="E201" s="3" t="s">
        <v>608</v>
      </c>
      <c r="F201" s="3" t="s">
        <v>396</v>
      </c>
      <c r="G201" s="3" t="s">
        <v>396</v>
      </c>
      <c r="H201" s="3" t="s">
        <v>397</v>
      </c>
      <c r="I201" s="3" t="s">
        <v>395</v>
      </c>
      <c r="J201" s="3" t="s">
        <v>4</v>
      </c>
      <c r="K201" s="3" t="s">
        <v>800</v>
      </c>
      <c r="L201" s="3" t="s">
        <v>30</v>
      </c>
      <c r="M201" s="3" t="s">
        <v>14</v>
      </c>
      <c r="N201">
        <v>-3900000</v>
      </c>
      <c r="O201">
        <v>95.784000000000006</v>
      </c>
      <c r="P201">
        <v>370</v>
      </c>
      <c r="Q201">
        <v>-21723</v>
      </c>
      <c r="R201">
        <v>-267</v>
      </c>
      <c r="S201" s="3" t="s">
        <v>263</v>
      </c>
      <c r="T201">
        <v>-2120</v>
      </c>
      <c r="U201">
        <v>-2141</v>
      </c>
      <c r="V201">
        <v>-7922</v>
      </c>
      <c r="W201">
        <v>-25.56</v>
      </c>
      <c r="X201">
        <v>-3735576</v>
      </c>
      <c r="Y201" s="3" t="s">
        <v>31</v>
      </c>
      <c r="Z201">
        <v>95.227000000000004</v>
      </c>
      <c r="AA201">
        <v>-3900000</v>
      </c>
      <c r="AB201" s="3" t="s">
        <v>256</v>
      </c>
      <c r="AC201" s="3" t="s">
        <v>10</v>
      </c>
      <c r="AD201">
        <v>-3808493</v>
      </c>
      <c r="AE201">
        <v>3808493</v>
      </c>
      <c r="AF201" s="3" t="s">
        <v>640</v>
      </c>
    </row>
    <row r="202" spans="1:32" x14ac:dyDescent="0.35">
      <c r="A202" s="3" t="s">
        <v>608</v>
      </c>
      <c r="B202" s="3" t="s">
        <v>608</v>
      </c>
      <c r="C202" s="3" t="s">
        <v>608</v>
      </c>
      <c r="D202" s="3" t="s">
        <v>608</v>
      </c>
      <c r="E202" s="3" t="s">
        <v>608</v>
      </c>
      <c r="F202" s="3" t="s">
        <v>398</v>
      </c>
      <c r="G202" s="3" t="s">
        <v>398</v>
      </c>
      <c r="H202" s="3" t="s">
        <v>399</v>
      </c>
      <c r="I202" s="3" t="s">
        <v>395</v>
      </c>
      <c r="J202" s="3" t="s">
        <v>4</v>
      </c>
      <c r="K202" s="3" t="s">
        <v>801</v>
      </c>
      <c r="L202" s="3" t="s">
        <v>30</v>
      </c>
      <c r="M202" s="3" t="s">
        <v>14</v>
      </c>
      <c r="N202">
        <v>0</v>
      </c>
      <c r="O202">
        <v>104.15</v>
      </c>
      <c r="P202">
        <v>379</v>
      </c>
      <c r="Q202">
        <v>1540</v>
      </c>
      <c r="R202">
        <v>60</v>
      </c>
      <c r="S202" s="3" t="s">
        <v>263</v>
      </c>
      <c r="T202">
        <v>0</v>
      </c>
      <c r="U202">
        <v>0</v>
      </c>
      <c r="V202">
        <v>0</v>
      </c>
      <c r="W202">
        <v>0</v>
      </c>
      <c r="X202">
        <v>0</v>
      </c>
      <c r="Y202" s="3" t="s">
        <v>31</v>
      </c>
      <c r="Z202">
        <v>103.842</v>
      </c>
      <c r="AA202">
        <v>500000</v>
      </c>
      <c r="AB202" s="3" t="s">
        <v>256</v>
      </c>
      <c r="AC202" s="3" t="s">
        <v>10</v>
      </c>
      <c r="AD202">
        <v>-60</v>
      </c>
      <c r="AE202">
        <v>60</v>
      </c>
      <c r="AF202" s="3" t="s">
        <v>640</v>
      </c>
    </row>
    <row r="203" spans="1:32" x14ac:dyDescent="0.35">
      <c r="A203" s="3" t="s">
        <v>608</v>
      </c>
      <c r="B203" s="3" t="s">
        <v>608</v>
      </c>
      <c r="C203" s="3" t="s">
        <v>608</v>
      </c>
      <c r="D203" s="3" t="s">
        <v>608</v>
      </c>
      <c r="E203" s="3" t="s">
        <v>608</v>
      </c>
      <c r="F203" s="3" t="s">
        <v>400</v>
      </c>
      <c r="G203" s="3" t="s">
        <v>400</v>
      </c>
      <c r="H203" s="3" t="s">
        <v>401</v>
      </c>
      <c r="I203" s="3" t="s">
        <v>395</v>
      </c>
      <c r="J203" s="3" t="s">
        <v>4</v>
      </c>
      <c r="K203" s="3" t="s">
        <v>802</v>
      </c>
      <c r="L203" s="3" t="s">
        <v>30</v>
      </c>
      <c r="M203" s="3" t="s">
        <v>14</v>
      </c>
      <c r="N203">
        <v>1000000</v>
      </c>
      <c r="O203">
        <v>109.074</v>
      </c>
      <c r="P203">
        <v>355</v>
      </c>
      <c r="Q203">
        <v>3770</v>
      </c>
      <c r="R203">
        <v>161</v>
      </c>
      <c r="S203" s="3" t="s">
        <v>263</v>
      </c>
      <c r="T203">
        <v>338</v>
      </c>
      <c r="U203">
        <v>342</v>
      </c>
      <c r="V203">
        <v>1213</v>
      </c>
      <c r="W203">
        <v>3.91</v>
      </c>
      <c r="X203">
        <v>1090740</v>
      </c>
      <c r="Y203" s="3" t="s">
        <v>31</v>
      </c>
      <c r="Z203">
        <v>108.697</v>
      </c>
      <c r="AA203">
        <v>1000000</v>
      </c>
      <c r="AB203" s="3" t="s">
        <v>256</v>
      </c>
      <c r="AC203" s="3" t="s">
        <v>10</v>
      </c>
      <c r="AD203">
        <v>1125829</v>
      </c>
      <c r="AE203">
        <v>1125829</v>
      </c>
      <c r="AF203" s="3" t="s">
        <v>640</v>
      </c>
    </row>
    <row r="204" spans="1:32" x14ac:dyDescent="0.35">
      <c r="A204" s="3" t="s">
        <v>608</v>
      </c>
      <c r="B204" s="3" t="s">
        <v>608</v>
      </c>
      <c r="C204" s="3" t="s">
        <v>608</v>
      </c>
      <c r="D204" s="3" t="s">
        <v>608</v>
      </c>
      <c r="E204" s="3" t="s">
        <v>608</v>
      </c>
      <c r="F204" s="3" t="s">
        <v>402</v>
      </c>
      <c r="G204" s="3" t="s">
        <v>402</v>
      </c>
      <c r="H204" s="3" t="s">
        <v>403</v>
      </c>
      <c r="I204" s="3" t="s">
        <v>395</v>
      </c>
      <c r="J204" s="3" t="s">
        <v>4</v>
      </c>
      <c r="K204" s="3" t="s">
        <v>803</v>
      </c>
      <c r="L204" s="3" t="s">
        <v>30</v>
      </c>
      <c r="M204" s="3" t="s">
        <v>14</v>
      </c>
      <c r="N204">
        <v>-3100000</v>
      </c>
      <c r="O204">
        <v>99.522000000000006</v>
      </c>
      <c r="P204">
        <v>372</v>
      </c>
      <c r="Q204">
        <v>-16895</v>
      </c>
      <c r="R204">
        <v>-254</v>
      </c>
      <c r="S204" s="3" t="s">
        <v>263</v>
      </c>
      <c r="T204">
        <v>-823</v>
      </c>
      <c r="U204">
        <v>-831</v>
      </c>
      <c r="V204">
        <v>-3090</v>
      </c>
      <c r="W204">
        <v>-9.9700000000000006</v>
      </c>
      <c r="X204">
        <v>-3085182</v>
      </c>
      <c r="Y204" s="3" t="s">
        <v>31</v>
      </c>
      <c r="Z204">
        <v>98.977000000000004</v>
      </c>
      <c r="AA204">
        <v>-3100000</v>
      </c>
      <c r="AB204" s="3" t="s">
        <v>256</v>
      </c>
      <c r="AC204" s="3" t="s">
        <v>10</v>
      </c>
      <c r="AD204">
        <v>-3170559</v>
      </c>
      <c r="AE204">
        <v>3170559</v>
      </c>
      <c r="AF204" s="3" t="s">
        <v>640</v>
      </c>
    </row>
    <row r="205" spans="1:32" x14ac:dyDescent="0.35">
      <c r="A205" s="3" t="s">
        <v>608</v>
      </c>
      <c r="B205" s="3" t="s">
        <v>608</v>
      </c>
      <c r="C205" s="3" t="s">
        <v>608</v>
      </c>
      <c r="D205" s="3" t="s">
        <v>608</v>
      </c>
      <c r="E205" s="3" t="s">
        <v>608</v>
      </c>
      <c r="F205" s="3" t="s">
        <v>404</v>
      </c>
      <c r="G205" s="3" t="s">
        <v>404</v>
      </c>
      <c r="H205" s="3" t="s">
        <v>405</v>
      </c>
      <c r="I205" s="3" t="s">
        <v>395</v>
      </c>
      <c r="J205" s="3" t="s">
        <v>4</v>
      </c>
      <c r="K205" s="3" t="s">
        <v>804</v>
      </c>
      <c r="L205" s="3" t="s">
        <v>30</v>
      </c>
      <c r="M205" s="3" t="s">
        <v>14</v>
      </c>
      <c r="N205">
        <v>0</v>
      </c>
      <c r="O205">
        <v>98.275000000000006</v>
      </c>
      <c r="P205">
        <v>392</v>
      </c>
      <c r="Q205">
        <v>0</v>
      </c>
      <c r="R205">
        <v>0</v>
      </c>
      <c r="S205" s="3" t="s">
        <v>263</v>
      </c>
      <c r="T205">
        <v>0</v>
      </c>
      <c r="U205">
        <v>0</v>
      </c>
      <c r="V205">
        <v>0</v>
      </c>
      <c r="W205">
        <v>0</v>
      </c>
      <c r="X205">
        <v>0</v>
      </c>
      <c r="Y205" s="3" t="s">
        <v>31</v>
      </c>
      <c r="Z205">
        <v>98.275000000000006</v>
      </c>
      <c r="AA205">
        <v>0</v>
      </c>
      <c r="AB205" s="3" t="s">
        <v>256</v>
      </c>
      <c r="AC205" s="3" t="s">
        <v>10</v>
      </c>
      <c r="AD205">
        <v>0</v>
      </c>
      <c r="AE205">
        <v>0</v>
      </c>
      <c r="AF205" s="3" t="s">
        <v>640</v>
      </c>
    </row>
    <row r="206" spans="1:32" x14ac:dyDescent="0.35">
      <c r="A206" s="3" t="s">
        <v>608</v>
      </c>
      <c r="B206" s="3" t="s">
        <v>608</v>
      </c>
      <c r="C206" s="3" t="s">
        <v>608</v>
      </c>
      <c r="D206" s="3" t="s">
        <v>608</v>
      </c>
      <c r="E206" s="3" t="s">
        <v>608</v>
      </c>
      <c r="F206" s="3" t="s">
        <v>406</v>
      </c>
      <c r="G206" s="3" t="s">
        <v>406</v>
      </c>
      <c r="H206" s="3" t="s">
        <v>407</v>
      </c>
      <c r="I206" s="3" t="s">
        <v>395</v>
      </c>
      <c r="J206" s="3" t="s">
        <v>4</v>
      </c>
      <c r="K206" s="3" t="s">
        <v>805</v>
      </c>
      <c r="L206" s="3" t="s">
        <v>30</v>
      </c>
      <c r="M206" s="3" t="s">
        <v>14</v>
      </c>
      <c r="N206">
        <v>4000000</v>
      </c>
      <c r="O206">
        <v>101.899</v>
      </c>
      <c r="P206">
        <v>282</v>
      </c>
      <c r="Q206">
        <v>11080</v>
      </c>
      <c r="R206">
        <v>411</v>
      </c>
      <c r="S206" s="3" t="s">
        <v>263</v>
      </c>
      <c r="T206">
        <v>539</v>
      </c>
      <c r="U206">
        <v>543</v>
      </c>
      <c r="V206">
        <v>1534</v>
      </c>
      <c r="W206">
        <v>4.95</v>
      </c>
      <c r="X206">
        <v>4075960</v>
      </c>
      <c r="Y206" s="3" t="s">
        <v>31</v>
      </c>
      <c r="Z206">
        <v>101.622</v>
      </c>
      <c r="AA206">
        <v>4000000</v>
      </c>
      <c r="AB206" s="3" t="s">
        <v>256</v>
      </c>
      <c r="AC206" s="3" t="s">
        <v>10</v>
      </c>
      <c r="AD206">
        <v>4172124</v>
      </c>
      <c r="AE206">
        <v>4172124</v>
      </c>
      <c r="AF206" s="3" t="s">
        <v>640</v>
      </c>
    </row>
    <row r="207" spans="1:32" x14ac:dyDescent="0.35">
      <c r="A207" s="3" t="s">
        <v>608</v>
      </c>
      <c r="B207" s="3" t="s">
        <v>608</v>
      </c>
      <c r="C207" s="3" t="s">
        <v>608</v>
      </c>
      <c r="D207" s="3" t="s">
        <v>608</v>
      </c>
      <c r="E207" s="3" t="s">
        <v>608</v>
      </c>
      <c r="F207" s="3" t="s">
        <v>408</v>
      </c>
      <c r="G207" s="3" t="s">
        <v>408</v>
      </c>
      <c r="H207" s="3" t="s">
        <v>409</v>
      </c>
      <c r="I207" s="3" t="s">
        <v>410</v>
      </c>
      <c r="J207" s="3" t="s">
        <v>4</v>
      </c>
      <c r="K207" s="3" t="s">
        <v>806</v>
      </c>
      <c r="L207" s="3" t="s">
        <v>30</v>
      </c>
      <c r="M207" s="3" t="s">
        <v>14</v>
      </c>
      <c r="N207">
        <v>-1565000</v>
      </c>
      <c r="O207">
        <v>98.552999999999997</v>
      </c>
      <c r="P207">
        <v>214</v>
      </c>
      <c r="Q207">
        <v>-2175</v>
      </c>
      <c r="R207">
        <v>-59</v>
      </c>
      <c r="S207" s="3" t="s">
        <v>250</v>
      </c>
      <c r="T207">
        <v>-776</v>
      </c>
      <c r="U207">
        <v>-784</v>
      </c>
      <c r="V207">
        <v>-1679</v>
      </c>
      <c r="W207">
        <v>-5.42</v>
      </c>
      <c r="X207">
        <v>-1542354</v>
      </c>
      <c r="Y207" s="3" t="s">
        <v>31</v>
      </c>
      <c r="Z207">
        <v>98.414000000000001</v>
      </c>
      <c r="AA207">
        <v>-1565000</v>
      </c>
      <c r="AB207" s="3" t="s">
        <v>256</v>
      </c>
      <c r="AC207" s="3" t="s">
        <v>10</v>
      </c>
      <c r="AD207">
        <v>-1552790</v>
      </c>
      <c r="AE207">
        <v>1552790</v>
      </c>
      <c r="AF207" s="3" t="s">
        <v>640</v>
      </c>
    </row>
    <row r="208" spans="1:32" x14ac:dyDescent="0.35">
      <c r="A208" s="3" t="s">
        <v>608</v>
      </c>
      <c r="B208" s="3" t="s">
        <v>608</v>
      </c>
      <c r="C208" s="3" t="s">
        <v>608</v>
      </c>
      <c r="D208" s="3" t="s">
        <v>608</v>
      </c>
      <c r="E208" s="3" t="s">
        <v>608</v>
      </c>
      <c r="F208" s="3" t="s">
        <v>932</v>
      </c>
      <c r="G208" s="3" t="s">
        <v>932</v>
      </c>
      <c r="H208" s="3" t="s">
        <v>933</v>
      </c>
      <c r="I208" s="3" t="s">
        <v>410</v>
      </c>
      <c r="J208" s="3" t="s">
        <v>4</v>
      </c>
      <c r="K208" s="3" t="s">
        <v>934</v>
      </c>
      <c r="L208" s="3" t="s">
        <v>30</v>
      </c>
      <c r="M208" s="3" t="s">
        <v>14</v>
      </c>
      <c r="N208">
        <v>-5240000</v>
      </c>
      <c r="O208">
        <v>104.16200000000001</v>
      </c>
      <c r="P208">
        <v>178</v>
      </c>
      <c r="Q208">
        <v>-6288</v>
      </c>
      <c r="R208">
        <v>0</v>
      </c>
      <c r="S208" s="3" t="s">
        <v>250</v>
      </c>
      <c r="T208">
        <v>-1276</v>
      </c>
      <c r="U208">
        <v>-1287</v>
      </c>
      <c r="V208">
        <v>-2287</v>
      </c>
      <c r="W208">
        <v>-7.38</v>
      </c>
      <c r="X208">
        <v>-5458089</v>
      </c>
      <c r="Y208" s="3" t="s">
        <v>31</v>
      </c>
      <c r="Z208">
        <v>104.042</v>
      </c>
      <c r="AA208">
        <v>-5240000</v>
      </c>
      <c r="AB208" s="3" t="s">
        <v>256</v>
      </c>
      <c r="AC208" s="3" t="s">
        <v>10</v>
      </c>
      <c r="AD208">
        <v>-5550255</v>
      </c>
      <c r="AE208">
        <v>5550255</v>
      </c>
      <c r="AF208" s="3" t="s">
        <v>640</v>
      </c>
    </row>
    <row r="209" spans="1:32" x14ac:dyDescent="0.35">
      <c r="A209" s="3" t="s">
        <v>608</v>
      </c>
      <c r="B209" s="3" t="s">
        <v>608</v>
      </c>
      <c r="C209" s="3" t="s">
        <v>608</v>
      </c>
      <c r="D209" s="3" t="s">
        <v>608</v>
      </c>
      <c r="E209" s="3" t="s">
        <v>608</v>
      </c>
      <c r="F209" s="3" t="s">
        <v>411</v>
      </c>
      <c r="G209" s="3" t="s">
        <v>411</v>
      </c>
      <c r="H209" s="3" t="s">
        <v>412</v>
      </c>
      <c r="I209" s="3" t="s">
        <v>183</v>
      </c>
      <c r="J209" s="3" t="s">
        <v>4</v>
      </c>
      <c r="K209" s="3" t="s">
        <v>807</v>
      </c>
      <c r="L209" s="3" t="s">
        <v>30</v>
      </c>
      <c r="M209" s="3" t="s">
        <v>14</v>
      </c>
      <c r="N209">
        <v>0</v>
      </c>
      <c r="O209">
        <v>100.861</v>
      </c>
      <c r="P209">
        <v>268</v>
      </c>
      <c r="Q209">
        <v>6467</v>
      </c>
      <c r="R209">
        <v>145</v>
      </c>
      <c r="S209" s="3" t="s">
        <v>263</v>
      </c>
      <c r="T209">
        <v>0</v>
      </c>
      <c r="U209">
        <v>0</v>
      </c>
      <c r="V209">
        <v>0</v>
      </c>
      <c r="W209">
        <v>0</v>
      </c>
      <c r="X209">
        <v>0</v>
      </c>
      <c r="Y209" s="3" t="s">
        <v>31</v>
      </c>
      <c r="Z209">
        <v>100.705</v>
      </c>
      <c r="AA209">
        <v>2230000</v>
      </c>
      <c r="AB209" s="3" t="s">
        <v>256</v>
      </c>
      <c r="AC209" s="3" t="s">
        <v>10</v>
      </c>
      <c r="AD209">
        <v>-145</v>
      </c>
      <c r="AE209">
        <v>145</v>
      </c>
      <c r="AF209" s="3" t="s">
        <v>640</v>
      </c>
    </row>
    <row r="210" spans="1:32" x14ac:dyDescent="0.35">
      <c r="A210" s="3" t="s">
        <v>608</v>
      </c>
      <c r="B210" s="3" t="s">
        <v>608</v>
      </c>
      <c r="C210" s="3" t="s">
        <v>608</v>
      </c>
      <c r="D210" s="3" t="s">
        <v>608</v>
      </c>
      <c r="E210" s="3" t="s">
        <v>608</v>
      </c>
      <c r="F210" s="3" t="s">
        <v>413</v>
      </c>
      <c r="G210" s="3" t="s">
        <v>413</v>
      </c>
      <c r="H210" s="3" t="s">
        <v>414</v>
      </c>
      <c r="I210" s="3" t="s">
        <v>186</v>
      </c>
      <c r="J210" s="3" t="s">
        <v>4</v>
      </c>
      <c r="K210" s="3" t="s">
        <v>808</v>
      </c>
      <c r="L210" s="3" t="s">
        <v>30</v>
      </c>
      <c r="M210" s="3" t="s">
        <v>14</v>
      </c>
      <c r="N210">
        <v>0</v>
      </c>
      <c r="O210">
        <v>108.044</v>
      </c>
      <c r="P210">
        <v>238</v>
      </c>
      <c r="Q210">
        <v>0</v>
      </c>
      <c r="R210">
        <v>483</v>
      </c>
      <c r="S210" s="3" t="s">
        <v>263</v>
      </c>
      <c r="T210">
        <v>0</v>
      </c>
      <c r="U210">
        <v>0</v>
      </c>
      <c r="V210">
        <v>0</v>
      </c>
      <c r="W210">
        <v>0</v>
      </c>
      <c r="X210">
        <v>0</v>
      </c>
      <c r="Y210" s="3" t="s">
        <v>31</v>
      </c>
      <c r="Z210">
        <v>108.044</v>
      </c>
      <c r="AA210">
        <v>0</v>
      </c>
      <c r="AB210" s="3" t="s">
        <v>256</v>
      </c>
      <c r="AC210" s="3" t="s">
        <v>10</v>
      </c>
      <c r="AD210">
        <v>0</v>
      </c>
      <c r="AE210">
        <v>0</v>
      </c>
      <c r="AF210" s="3" t="s">
        <v>640</v>
      </c>
    </row>
    <row r="211" spans="1:32" x14ac:dyDescent="0.35">
      <c r="A211" s="3" t="s">
        <v>608</v>
      </c>
      <c r="B211" s="3" t="s">
        <v>608</v>
      </c>
      <c r="C211" s="3" t="s">
        <v>608</v>
      </c>
      <c r="D211" s="3" t="s">
        <v>608</v>
      </c>
      <c r="E211" s="3" t="s">
        <v>608</v>
      </c>
      <c r="F211" s="3" t="s">
        <v>415</v>
      </c>
      <c r="G211" s="3" t="s">
        <v>415</v>
      </c>
      <c r="H211" s="3" t="s">
        <v>416</v>
      </c>
      <c r="I211" s="3" t="s">
        <v>186</v>
      </c>
      <c r="J211" s="3" t="s">
        <v>4</v>
      </c>
      <c r="K211" s="3" t="s">
        <v>809</v>
      </c>
      <c r="L211" s="3" t="s">
        <v>30</v>
      </c>
      <c r="M211" s="3" t="s">
        <v>14</v>
      </c>
      <c r="N211">
        <v>0</v>
      </c>
      <c r="O211">
        <v>103.14</v>
      </c>
      <c r="P211">
        <v>236</v>
      </c>
      <c r="Q211">
        <v>0</v>
      </c>
      <c r="R211">
        <v>0</v>
      </c>
      <c r="S211" s="3" t="s">
        <v>263</v>
      </c>
      <c r="T211">
        <v>0</v>
      </c>
      <c r="U211">
        <v>0</v>
      </c>
      <c r="V211">
        <v>0</v>
      </c>
      <c r="W211">
        <v>0</v>
      </c>
      <c r="X211">
        <v>0</v>
      </c>
      <c r="Y211" s="3" t="s">
        <v>31</v>
      </c>
      <c r="Z211">
        <v>103.14</v>
      </c>
      <c r="AA211">
        <v>0</v>
      </c>
      <c r="AB211" s="3" t="s">
        <v>256</v>
      </c>
      <c r="AC211" s="3" t="s">
        <v>10</v>
      </c>
      <c r="AD211">
        <v>0</v>
      </c>
      <c r="AE211">
        <v>0</v>
      </c>
      <c r="AF211" s="3" t="s">
        <v>640</v>
      </c>
    </row>
    <row r="212" spans="1:32" x14ac:dyDescent="0.35">
      <c r="A212" s="3" t="s">
        <v>608</v>
      </c>
      <c r="B212" s="3" t="s">
        <v>608</v>
      </c>
      <c r="C212" s="3" t="s">
        <v>608</v>
      </c>
      <c r="D212" s="3" t="s">
        <v>608</v>
      </c>
      <c r="E212" s="3" t="s">
        <v>608</v>
      </c>
      <c r="F212" s="3" t="s">
        <v>417</v>
      </c>
      <c r="G212" s="3" t="s">
        <v>417</v>
      </c>
      <c r="H212" s="3" t="s">
        <v>418</v>
      </c>
      <c r="I212" s="3" t="s">
        <v>186</v>
      </c>
      <c r="J212" s="3" t="s">
        <v>4</v>
      </c>
      <c r="K212" s="3" t="s">
        <v>810</v>
      </c>
      <c r="L212" s="3" t="s">
        <v>30</v>
      </c>
      <c r="M212" s="3" t="s">
        <v>14</v>
      </c>
      <c r="N212">
        <v>778000</v>
      </c>
      <c r="O212">
        <v>100.14400000000001</v>
      </c>
      <c r="P212">
        <v>223</v>
      </c>
      <c r="Q212">
        <v>2101</v>
      </c>
      <c r="R212">
        <v>37</v>
      </c>
      <c r="S212" s="3" t="s">
        <v>263</v>
      </c>
      <c r="T212">
        <v>256</v>
      </c>
      <c r="U212">
        <v>259</v>
      </c>
      <c r="V212">
        <v>578</v>
      </c>
      <c r="W212">
        <v>1.86</v>
      </c>
      <c r="X212">
        <v>779120</v>
      </c>
      <c r="Y212" s="3" t="s">
        <v>31</v>
      </c>
      <c r="Z212">
        <v>99.873999999999995</v>
      </c>
      <c r="AA212">
        <v>778000</v>
      </c>
      <c r="AB212" s="3" t="s">
        <v>256</v>
      </c>
      <c r="AC212" s="3" t="s">
        <v>10</v>
      </c>
      <c r="AD212">
        <v>787103</v>
      </c>
      <c r="AE212">
        <v>787103</v>
      </c>
      <c r="AF212" s="3" t="s">
        <v>640</v>
      </c>
    </row>
    <row r="213" spans="1:32" x14ac:dyDescent="0.35">
      <c r="A213" s="3" t="s">
        <v>608</v>
      </c>
      <c r="B213" s="3" t="s">
        <v>608</v>
      </c>
      <c r="C213" s="3" t="s">
        <v>608</v>
      </c>
      <c r="D213" s="3" t="s">
        <v>608</v>
      </c>
      <c r="E213" s="3" t="s">
        <v>608</v>
      </c>
      <c r="F213" s="3" t="s">
        <v>844</v>
      </c>
      <c r="G213" s="3" t="s">
        <v>844</v>
      </c>
      <c r="H213" s="3" t="s">
        <v>845</v>
      </c>
      <c r="I213" s="3" t="s">
        <v>186</v>
      </c>
      <c r="J213" s="3" t="s">
        <v>4</v>
      </c>
      <c r="K213" s="3" t="s">
        <v>846</v>
      </c>
      <c r="L213" s="3" t="s">
        <v>30</v>
      </c>
      <c r="M213" s="3" t="s">
        <v>14</v>
      </c>
      <c r="N213">
        <v>-3000000</v>
      </c>
      <c r="O213">
        <v>100.614</v>
      </c>
      <c r="P213">
        <v>78</v>
      </c>
      <c r="Q213">
        <v>-5550</v>
      </c>
      <c r="R213">
        <v>123</v>
      </c>
      <c r="S213" s="3" t="s">
        <v>263</v>
      </c>
      <c r="T213">
        <v>-95</v>
      </c>
      <c r="U213">
        <v>-95</v>
      </c>
      <c r="V213">
        <v>-75</v>
      </c>
      <c r="W213">
        <v>-0.24</v>
      </c>
      <c r="X213">
        <v>-3018420</v>
      </c>
      <c r="Y213" s="3" t="s">
        <v>31</v>
      </c>
      <c r="Z213">
        <v>100.429</v>
      </c>
      <c r="AA213">
        <v>-3000000</v>
      </c>
      <c r="AB213" s="3" t="s">
        <v>256</v>
      </c>
      <c r="AC213" s="3" t="s">
        <v>10</v>
      </c>
      <c r="AD213">
        <v>-3064895</v>
      </c>
      <c r="AE213">
        <v>3064895</v>
      </c>
      <c r="AF213" s="3" t="s">
        <v>640</v>
      </c>
    </row>
    <row r="214" spans="1:32" x14ac:dyDescent="0.35">
      <c r="A214" s="3" t="s">
        <v>608</v>
      </c>
      <c r="B214" s="3" t="s">
        <v>608</v>
      </c>
      <c r="C214" s="3" t="s">
        <v>608</v>
      </c>
      <c r="D214" s="3" t="s">
        <v>608</v>
      </c>
      <c r="E214" s="3" t="s">
        <v>608</v>
      </c>
      <c r="F214" s="3" t="s">
        <v>924</v>
      </c>
      <c r="G214" s="3" t="s">
        <v>924</v>
      </c>
      <c r="H214" s="3" t="s">
        <v>925</v>
      </c>
      <c r="I214" s="3" t="s">
        <v>926</v>
      </c>
      <c r="J214" s="3" t="s">
        <v>4</v>
      </c>
      <c r="K214" s="3" t="s">
        <v>927</v>
      </c>
      <c r="L214" s="3" t="s">
        <v>30</v>
      </c>
      <c r="M214" s="3" t="s">
        <v>14</v>
      </c>
      <c r="N214">
        <v>-2500000</v>
      </c>
      <c r="O214">
        <v>85.343000000000004</v>
      </c>
      <c r="P214">
        <v>672</v>
      </c>
      <c r="Q214">
        <v>-22400</v>
      </c>
      <c r="R214">
        <v>0</v>
      </c>
      <c r="S214" s="3" t="s">
        <v>263</v>
      </c>
      <c r="T214">
        <v>-983</v>
      </c>
      <c r="U214">
        <v>-994</v>
      </c>
      <c r="V214">
        <v>-6681</v>
      </c>
      <c r="W214">
        <v>-21.55</v>
      </c>
      <c r="X214">
        <v>-2133575</v>
      </c>
      <c r="Y214" s="3" t="s">
        <v>31</v>
      </c>
      <c r="Z214">
        <v>84.447000000000003</v>
      </c>
      <c r="AA214">
        <v>-2500000</v>
      </c>
      <c r="AB214" s="3" t="s">
        <v>256</v>
      </c>
      <c r="AC214" s="3" t="s">
        <v>10</v>
      </c>
      <c r="AD214">
        <v>-2171580</v>
      </c>
      <c r="AE214">
        <v>2171580</v>
      </c>
      <c r="AF214" s="3" t="s">
        <v>640</v>
      </c>
    </row>
    <row r="215" spans="1:32" x14ac:dyDescent="0.35">
      <c r="A215" s="3" t="s">
        <v>608</v>
      </c>
      <c r="B215" s="3" t="s">
        <v>608</v>
      </c>
      <c r="C215" s="3" t="s">
        <v>608</v>
      </c>
      <c r="D215" s="3" t="s">
        <v>608</v>
      </c>
      <c r="E215" s="3" t="s">
        <v>608</v>
      </c>
      <c r="F215" s="3" t="s">
        <v>419</v>
      </c>
      <c r="G215" s="3" t="s">
        <v>419</v>
      </c>
      <c r="H215" s="3" t="s">
        <v>420</v>
      </c>
      <c r="I215" s="3" t="s">
        <v>421</v>
      </c>
      <c r="J215" s="3" t="s">
        <v>4</v>
      </c>
      <c r="K215" s="3" t="s">
        <v>787</v>
      </c>
      <c r="L215" s="3" t="s">
        <v>30</v>
      </c>
      <c r="M215" s="3" t="s">
        <v>14</v>
      </c>
      <c r="N215">
        <v>-1122000</v>
      </c>
      <c r="O215">
        <v>105.337</v>
      </c>
      <c r="P215">
        <v>253</v>
      </c>
      <c r="Q215">
        <v>-684</v>
      </c>
      <c r="R215">
        <v>-199</v>
      </c>
      <c r="S215" s="3" t="s">
        <v>263</v>
      </c>
      <c r="T215">
        <v>-684</v>
      </c>
      <c r="U215">
        <v>-691</v>
      </c>
      <c r="V215">
        <v>-1751</v>
      </c>
      <c r="W215">
        <v>-5.65</v>
      </c>
      <c r="X215">
        <v>-1181881</v>
      </c>
      <c r="Y215" s="3" t="s">
        <v>31</v>
      </c>
      <c r="Z215">
        <v>105.221</v>
      </c>
      <c r="AA215">
        <v>-1422000</v>
      </c>
      <c r="AB215" s="3" t="s">
        <v>256</v>
      </c>
      <c r="AC215" s="3" t="s">
        <v>10</v>
      </c>
      <c r="AD215">
        <v>-1203067</v>
      </c>
      <c r="AE215">
        <v>1203067</v>
      </c>
      <c r="AF215" s="3" t="s">
        <v>640</v>
      </c>
    </row>
    <row r="216" spans="1:32" x14ac:dyDescent="0.35">
      <c r="A216" s="3" t="s">
        <v>608</v>
      </c>
      <c r="B216" s="3" t="s">
        <v>608</v>
      </c>
      <c r="C216" s="3" t="s">
        <v>608</v>
      </c>
      <c r="D216" s="3" t="s">
        <v>608</v>
      </c>
      <c r="E216" s="3" t="s">
        <v>608</v>
      </c>
      <c r="F216" s="3" t="s">
        <v>422</v>
      </c>
      <c r="G216" s="3" t="s">
        <v>422</v>
      </c>
      <c r="H216" s="3" t="s">
        <v>423</v>
      </c>
      <c r="I216" s="3" t="s">
        <v>209</v>
      </c>
      <c r="J216" s="3" t="s">
        <v>4</v>
      </c>
      <c r="K216" s="3" t="s">
        <v>811</v>
      </c>
      <c r="L216" s="3" t="s">
        <v>30</v>
      </c>
      <c r="M216" s="3" t="s">
        <v>14</v>
      </c>
      <c r="N216">
        <v>14800000</v>
      </c>
      <c r="O216">
        <v>97.361999999999995</v>
      </c>
      <c r="P216">
        <v>323</v>
      </c>
      <c r="Q216">
        <v>67784</v>
      </c>
      <c r="R216">
        <v>1014</v>
      </c>
      <c r="S216" s="3" t="s">
        <v>263</v>
      </c>
      <c r="T216">
        <v>10514</v>
      </c>
      <c r="U216">
        <v>10635</v>
      </c>
      <c r="V216">
        <v>34344</v>
      </c>
      <c r="W216">
        <v>110.79</v>
      </c>
      <c r="X216">
        <v>14409576</v>
      </c>
      <c r="Y216" s="3" t="s">
        <v>31</v>
      </c>
      <c r="Z216">
        <v>96.903999999999996</v>
      </c>
      <c r="AA216">
        <v>14800000</v>
      </c>
      <c r="AB216" s="3" t="s">
        <v>256</v>
      </c>
      <c r="AC216" s="3" t="s">
        <v>10</v>
      </c>
      <c r="AD216">
        <v>14424781</v>
      </c>
      <c r="AE216">
        <v>14424781</v>
      </c>
      <c r="AF216" s="3" t="s">
        <v>640</v>
      </c>
    </row>
    <row r="217" spans="1:32" x14ac:dyDescent="0.35">
      <c r="A217" s="3" t="s">
        <v>608</v>
      </c>
      <c r="B217" s="3" t="s">
        <v>608</v>
      </c>
      <c r="C217" s="3" t="s">
        <v>608</v>
      </c>
      <c r="D217" s="3" t="s">
        <v>608</v>
      </c>
      <c r="E217" s="3" t="s">
        <v>608</v>
      </c>
      <c r="F217" s="3" t="s">
        <v>424</v>
      </c>
      <c r="G217" s="3" t="s">
        <v>424</v>
      </c>
      <c r="H217" s="3" t="s">
        <v>425</v>
      </c>
      <c r="I217" s="3" t="s">
        <v>209</v>
      </c>
      <c r="J217" s="3" t="s">
        <v>4</v>
      </c>
      <c r="K217" s="3" t="s">
        <v>812</v>
      </c>
      <c r="L217" s="3" t="s">
        <v>30</v>
      </c>
      <c r="M217" s="3" t="s">
        <v>14</v>
      </c>
      <c r="N217">
        <v>-2000000</v>
      </c>
      <c r="O217">
        <v>99.361000000000004</v>
      </c>
      <c r="P217">
        <v>286</v>
      </c>
      <c r="Q217">
        <v>-9180</v>
      </c>
      <c r="R217">
        <v>-123</v>
      </c>
      <c r="S217" s="3" t="s">
        <v>263</v>
      </c>
      <c r="T217">
        <v>-964</v>
      </c>
      <c r="U217">
        <v>-974</v>
      </c>
      <c r="V217">
        <v>-2789</v>
      </c>
      <c r="W217">
        <v>-9</v>
      </c>
      <c r="X217">
        <v>-1987220</v>
      </c>
      <c r="Y217" s="3" t="s">
        <v>31</v>
      </c>
      <c r="Z217">
        <v>98.902000000000001</v>
      </c>
      <c r="AA217">
        <v>-2000000</v>
      </c>
      <c r="AB217" s="3" t="s">
        <v>256</v>
      </c>
      <c r="AC217" s="3" t="s">
        <v>10</v>
      </c>
      <c r="AD217">
        <v>-1989069</v>
      </c>
      <c r="AE217">
        <v>1989069</v>
      </c>
      <c r="AF217" s="3" t="s">
        <v>640</v>
      </c>
    </row>
    <row r="218" spans="1:32" x14ac:dyDescent="0.35">
      <c r="A218" s="3" t="s">
        <v>608</v>
      </c>
      <c r="B218" s="3" t="s">
        <v>608</v>
      </c>
      <c r="C218" s="3" t="s">
        <v>608</v>
      </c>
      <c r="D218" s="3" t="s">
        <v>608</v>
      </c>
      <c r="E218" s="3" t="s">
        <v>608</v>
      </c>
      <c r="F218" s="3" t="s">
        <v>935</v>
      </c>
      <c r="G218" s="3" t="s">
        <v>935</v>
      </c>
      <c r="H218" s="3" t="s">
        <v>936</v>
      </c>
      <c r="I218" s="3" t="s">
        <v>937</v>
      </c>
      <c r="J218" s="3" t="s">
        <v>4</v>
      </c>
      <c r="K218" s="3" t="s">
        <v>938</v>
      </c>
      <c r="L218" s="3" t="s">
        <v>30</v>
      </c>
      <c r="M218" s="3" t="s">
        <v>14</v>
      </c>
      <c r="N218">
        <v>-508000</v>
      </c>
      <c r="O218">
        <v>107.86</v>
      </c>
      <c r="P218">
        <v>195</v>
      </c>
      <c r="Q218">
        <v>-168</v>
      </c>
      <c r="R218">
        <v>0</v>
      </c>
      <c r="S218" s="3" t="s">
        <v>263</v>
      </c>
      <c r="T218">
        <v>-123</v>
      </c>
      <c r="U218">
        <v>-124</v>
      </c>
      <c r="V218">
        <v>-243</v>
      </c>
      <c r="W218">
        <v>-0.78</v>
      </c>
      <c r="X218">
        <v>-547929</v>
      </c>
      <c r="Y218" s="3" t="s">
        <v>31</v>
      </c>
      <c r="Z218">
        <v>107.827</v>
      </c>
      <c r="AA218">
        <v>-508000</v>
      </c>
      <c r="AB218" s="3" t="s">
        <v>256</v>
      </c>
      <c r="AC218" s="3" t="s">
        <v>10</v>
      </c>
      <c r="AD218">
        <v>-564062</v>
      </c>
      <c r="AE218">
        <v>564062</v>
      </c>
      <c r="AF218" s="3" t="s">
        <v>640</v>
      </c>
    </row>
    <row r="219" spans="1:32" x14ac:dyDescent="0.35">
      <c r="A219" s="3" t="s">
        <v>608</v>
      </c>
      <c r="B219" s="3" t="s">
        <v>608</v>
      </c>
      <c r="C219" s="3" t="s">
        <v>608</v>
      </c>
      <c r="D219" s="3" t="s">
        <v>608</v>
      </c>
      <c r="E219" s="3" t="s">
        <v>608</v>
      </c>
      <c r="F219" s="3" t="s">
        <v>426</v>
      </c>
      <c r="G219" s="3" t="s">
        <v>426</v>
      </c>
      <c r="H219" s="3" t="s">
        <v>427</v>
      </c>
      <c r="I219" s="3" t="s">
        <v>428</v>
      </c>
      <c r="J219" s="3" t="s">
        <v>4</v>
      </c>
      <c r="K219" s="3" t="s">
        <v>813</v>
      </c>
      <c r="L219" s="3" t="s">
        <v>30</v>
      </c>
      <c r="M219" s="3" t="s">
        <v>14</v>
      </c>
      <c r="N219">
        <v>1200000</v>
      </c>
      <c r="O219">
        <v>98.546999999999997</v>
      </c>
      <c r="P219">
        <v>349</v>
      </c>
      <c r="Q219">
        <v>5784</v>
      </c>
      <c r="R219">
        <v>99</v>
      </c>
      <c r="S219" s="3" t="s">
        <v>263</v>
      </c>
      <c r="T219">
        <v>967</v>
      </c>
      <c r="U219">
        <v>978</v>
      </c>
      <c r="V219">
        <v>3411</v>
      </c>
      <c r="W219">
        <v>11</v>
      </c>
      <c r="X219">
        <v>1182564</v>
      </c>
      <c r="Y219" s="3" t="s">
        <v>31</v>
      </c>
      <c r="Z219">
        <v>98.064999999999998</v>
      </c>
      <c r="AA219">
        <v>1200000</v>
      </c>
      <c r="AB219" s="3" t="s">
        <v>256</v>
      </c>
      <c r="AC219" s="3" t="s">
        <v>10</v>
      </c>
      <c r="AD219">
        <v>1189369</v>
      </c>
      <c r="AE219">
        <v>1189369</v>
      </c>
      <c r="AF219" s="3" t="s">
        <v>640</v>
      </c>
    </row>
    <row r="220" spans="1:32" x14ac:dyDescent="0.35">
      <c r="A220" s="3" t="s">
        <v>608</v>
      </c>
      <c r="B220" s="3" t="s">
        <v>608</v>
      </c>
      <c r="C220" s="3" t="s">
        <v>608</v>
      </c>
      <c r="D220" s="3" t="s">
        <v>608</v>
      </c>
      <c r="E220" s="3" t="s">
        <v>608</v>
      </c>
      <c r="F220" s="3" t="s">
        <v>429</v>
      </c>
      <c r="G220" s="3" t="s">
        <v>429</v>
      </c>
      <c r="H220" s="3" t="s">
        <v>430</v>
      </c>
      <c r="I220" s="3" t="s">
        <v>428</v>
      </c>
      <c r="J220" s="3" t="s">
        <v>266</v>
      </c>
      <c r="K220" s="3" t="s">
        <v>814</v>
      </c>
      <c r="L220" s="3" t="s">
        <v>30</v>
      </c>
      <c r="M220" s="3" t="s">
        <v>14</v>
      </c>
      <c r="N220">
        <v>-5430000</v>
      </c>
      <c r="O220">
        <v>119.036</v>
      </c>
      <c r="P220">
        <v>348</v>
      </c>
      <c r="Q220">
        <v>-13709</v>
      </c>
      <c r="R220">
        <v>-933</v>
      </c>
      <c r="S220" s="3" t="s">
        <v>263</v>
      </c>
      <c r="T220">
        <v>-3525</v>
      </c>
      <c r="U220">
        <v>-3582</v>
      </c>
      <c r="V220">
        <v>-12464</v>
      </c>
      <c r="W220">
        <v>-40.21</v>
      </c>
      <c r="X220">
        <v>-5511302</v>
      </c>
      <c r="Y220" s="3" t="s">
        <v>31</v>
      </c>
      <c r="Z220">
        <v>118.746</v>
      </c>
      <c r="AA220">
        <v>-5630000</v>
      </c>
      <c r="AB220" s="3" t="s">
        <v>256</v>
      </c>
      <c r="AC220" s="3" t="s">
        <v>10</v>
      </c>
      <c r="AD220">
        <v>-5542938</v>
      </c>
      <c r="AE220">
        <v>5542938</v>
      </c>
      <c r="AF220" s="3" t="s">
        <v>640</v>
      </c>
    </row>
    <row r="221" spans="1:32" x14ac:dyDescent="0.35">
      <c r="A221" s="3" t="s">
        <v>608</v>
      </c>
      <c r="B221" s="3" t="s">
        <v>608</v>
      </c>
      <c r="C221" s="3" t="s">
        <v>608</v>
      </c>
      <c r="D221" s="3" t="s">
        <v>608</v>
      </c>
      <c r="E221" s="3" t="s">
        <v>608</v>
      </c>
      <c r="F221" s="3" t="s">
        <v>431</v>
      </c>
      <c r="G221" s="3" t="s">
        <v>431</v>
      </c>
      <c r="H221" s="3" t="s">
        <v>432</v>
      </c>
      <c r="I221" s="3" t="s">
        <v>428</v>
      </c>
      <c r="J221" s="3" t="s">
        <v>4</v>
      </c>
      <c r="K221" s="3" t="s">
        <v>815</v>
      </c>
      <c r="L221" s="3" t="s">
        <v>30</v>
      </c>
      <c r="M221" s="3" t="s">
        <v>14</v>
      </c>
      <c r="N221">
        <v>0</v>
      </c>
      <c r="O221">
        <v>109.33</v>
      </c>
      <c r="P221">
        <v>322</v>
      </c>
      <c r="Q221">
        <v>0</v>
      </c>
      <c r="R221">
        <v>0</v>
      </c>
      <c r="S221" s="3" t="s">
        <v>263</v>
      </c>
      <c r="T221">
        <v>0</v>
      </c>
      <c r="U221">
        <v>0</v>
      </c>
      <c r="V221">
        <v>0</v>
      </c>
      <c r="W221">
        <v>0</v>
      </c>
      <c r="X221">
        <v>0</v>
      </c>
      <c r="Y221" s="3" t="s">
        <v>31</v>
      </c>
      <c r="Z221">
        <v>109.33</v>
      </c>
      <c r="AA221">
        <v>0</v>
      </c>
      <c r="AB221" s="3" t="s">
        <v>256</v>
      </c>
      <c r="AC221" s="3" t="s">
        <v>10</v>
      </c>
      <c r="AD221">
        <v>0</v>
      </c>
      <c r="AE221">
        <v>0</v>
      </c>
      <c r="AF221" s="3" t="s">
        <v>640</v>
      </c>
    </row>
    <row r="222" spans="1:32" x14ac:dyDescent="0.35">
      <c r="A222" s="3" t="s">
        <v>608</v>
      </c>
      <c r="B222" s="3" t="s">
        <v>608</v>
      </c>
      <c r="C222" s="3" t="s">
        <v>608</v>
      </c>
      <c r="D222" s="3" t="s">
        <v>608</v>
      </c>
      <c r="E222" s="3" t="s">
        <v>608</v>
      </c>
      <c r="F222" s="3" t="s">
        <v>433</v>
      </c>
      <c r="G222" s="3" t="s">
        <v>433</v>
      </c>
      <c r="H222" s="3" t="s">
        <v>434</v>
      </c>
      <c r="I222" s="3" t="s">
        <v>428</v>
      </c>
      <c r="J222" s="3" t="s">
        <v>4</v>
      </c>
      <c r="K222" s="3" t="s">
        <v>816</v>
      </c>
      <c r="L222" s="3" t="s">
        <v>30</v>
      </c>
      <c r="M222" s="3" t="s">
        <v>14</v>
      </c>
      <c r="N222">
        <v>3580000</v>
      </c>
      <c r="O222">
        <v>99.332999999999998</v>
      </c>
      <c r="P222">
        <v>322</v>
      </c>
      <c r="Q222">
        <v>16540</v>
      </c>
      <c r="R222">
        <v>257</v>
      </c>
      <c r="S222" s="3" t="s">
        <v>263</v>
      </c>
      <c r="T222">
        <v>1814</v>
      </c>
      <c r="U222">
        <v>1831</v>
      </c>
      <c r="V222">
        <v>5906</v>
      </c>
      <c r="W222">
        <v>19.05</v>
      </c>
      <c r="X222">
        <v>3556121</v>
      </c>
      <c r="Y222" s="3" t="s">
        <v>31</v>
      </c>
      <c r="Z222">
        <v>98.870999999999995</v>
      </c>
      <c r="AA222">
        <v>3580000</v>
      </c>
      <c r="AB222" s="3" t="s">
        <v>256</v>
      </c>
      <c r="AC222" s="3" t="s">
        <v>10</v>
      </c>
      <c r="AD222">
        <v>3573887</v>
      </c>
      <c r="AE222">
        <v>3573887</v>
      </c>
      <c r="AF222" s="3" t="s">
        <v>640</v>
      </c>
    </row>
    <row r="223" spans="1:32" x14ac:dyDescent="0.35">
      <c r="A223" s="3" t="s">
        <v>608</v>
      </c>
      <c r="B223" s="3" t="s">
        <v>608</v>
      </c>
      <c r="C223" s="3" t="s">
        <v>608</v>
      </c>
      <c r="D223" s="3" t="s">
        <v>608</v>
      </c>
      <c r="E223" s="3" t="s">
        <v>608</v>
      </c>
      <c r="F223" s="3" t="s">
        <v>435</v>
      </c>
      <c r="G223" s="3" t="s">
        <v>435</v>
      </c>
      <c r="H223" s="3" t="s">
        <v>436</v>
      </c>
      <c r="I223" s="3" t="s">
        <v>428</v>
      </c>
      <c r="J223" s="3" t="s">
        <v>283</v>
      </c>
      <c r="K223" s="3" t="s">
        <v>817</v>
      </c>
      <c r="L223" s="3" t="s">
        <v>30</v>
      </c>
      <c r="M223" s="3" t="s">
        <v>14</v>
      </c>
      <c r="N223">
        <v>-1000000</v>
      </c>
      <c r="O223">
        <v>106.80800000000001</v>
      </c>
      <c r="P223">
        <v>307</v>
      </c>
      <c r="Q223">
        <v>-1814</v>
      </c>
      <c r="R223">
        <v>-149</v>
      </c>
      <c r="S223" s="3" t="s">
        <v>263</v>
      </c>
      <c r="T223">
        <v>-495</v>
      </c>
      <c r="U223">
        <v>-503</v>
      </c>
      <c r="V223">
        <v>-1542</v>
      </c>
      <c r="W223">
        <v>-4.97</v>
      </c>
      <c r="X223">
        <v>-1188499</v>
      </c>
      <c r="Y223" s="3" t="s">
        <v>31</v>
      </c>
      <c r="Z223">
        <v>106.643</v>
      </c>
      <c r="AA223">
        <v>-1000000</v>
      </c>
      <c r="AB223" s="3" t="s">
        <v>256</v>
      </c>
      <c r="AC223" s="3" t="s">
        <v>10</v>
      </c>
      <c r="AD223">
        <v>-1192773</v>
      </c>
      <c r="AE223">
        <v>1192773</v>
      </c>
      <c r="AF223" s="3" t="s">
        <v>640</v>
      </c>
    </row>
    <row r="224" spans="1:32" x14ac:dyDescent="0.35">
      <c r="A224" s="3" t="s">
        <v>608</v>
      </c>
      <c r="B224" s="3" t="s">
        <v>608</v>
      </c>
      <c r="C224" s="3" t="s">
        <v>608</v>
      </c>
      <c r="D224" s="3" t="s">
        <v>608</v>
      </c>
      <c r="E224" s="3" t="s">
        <v>608</v>
      </c>
      <c r="F224" s="3" t="s">
        <v>437</v>
      </c>
      <c r="G224" s="3" t="s">
        <v>437</v>
      </c>
      <c r="H224" s="3" t="s">
        <v>438</v>
      </c>
      <c r="I224" s="3" t="s">
        <v>428</v>
      </c>
      <c r="J224" s="3" t="s">
        <v>266</v>
      </c>
      <c r="K224" s="3" t="s">
        <v>818</v>
      </c>
      <c r="L224" s="3" t="s">
        <v>30</v>
      </c>
      <c r="M224" s="3" t="s">
        <v>14</v>
      </c>
      <c r="N224">
        <v>-11489000</v>
      </c>
      <c r="O224">
        <v>108.288</v>
      </c>
      <c r="P224">
        <v>344</v>
      </c>
      <c r="Q224">
        <v>-20148</v>
      </c>
      <c r="R224">
        <v>-1701</v>
      </c>
      <c r="S224" s="3" t="s">
        <v>263</v>
      </c>
      <c r="T224">
        <v>-3479</v>
      </c>
      <c r="U224">
        <v>-3538</v>
      </c>
      <c r="V224">
        <v>-12183</v>
      </c>
      <c r="W224">
        <v>-39.299999999999997</v>
      </c>
      <c r="X224">
        <v>-10608124</v>
      </c>
      <c r="Y224" s="3" t="s">
        <v>31</v>
      </c>
      <c r="Z224">
        <v>108.08799999999999</v>
      </c>
      <c r="AA224">
        <v>-11489000</v>
      </c>
      <c r="AB224" s="3" t="s">
        <v>256</v>
      </c>
      <c r="AC224" s="3" t="s">
        <v>10</v>
      </c>
      <c r="AD224">
        <v>-10669958</v>
      </c>
      <c r="AE224">
        <v>10669958</v>
      </c>
      <c r="AF224" s="3" t="s">
        <v>640</v>
      </c>
    </row>
    <row r="225" spans="1:32" x14ac:dyDescent="0.35">
      <c r="A225" s="3" t="s">
        <v>608</v>
      </c>
      <c r="B225" s="3" t="s">
        <v>608</v>
      </c>
      <c r="C225" s="3" t="s">
        <v>608</v>
      </c>
      <c r="D225" s="3" t="s">
        <v>608</v>
      </c>
      <c r="E225" s="3" t="s">
        <v>608</v>
      </c>
      <c r="F225" s="3" t="s">
        <v>439</v>
      </c>
      <c r="G225" s="3" t="s">
        <v>439</v>
      </c>
      <c r="H225" s="3" t="s">
        <v>440</v>
      </c>
      <c r="I225" s="3" t="s">
        <v>216</v>
      </c>
      <c r="J225" s="3" t="s">
        <v>4</v>
      </c>
      <c r="K225" s="3" t="s">
        <v>819</v>
      </c>
      <c r="L225" s="3" t="s">
        <v>30</v>
      </c>
      <c r="M225" s="3" t="s">
        <v>14</v>
      </c>
      <c r="N225">
        <v>15000000</v>
      </c>
      <c r="O225">
        <v>102.386</v>
      </c>
      <c r="P225">
        <v>390</v>
      </c>
      <c r="Q225">
        <v>156900</v>
      </c>
      <c r="R225">
        <v>0</v>
      </c>
      <c r="S225" s="3" t="s">
        <v>263</v>
      </c>
      <c r="T225">
        <v>11135</v>
      </c>
      <c r="U225">
        <v>11258</v>
      </c>
      <c r="V225">
        <v>43881</v>
      </c>
      <c r="W225">
        <v>141.55000000000001</v>
      </c>
      <c r="X225">
        <v>15357900</v>
      </c>
      <c r="Y225" s="3" t="s">
        <v>31</v>
      </c>
      <c r="Z225">
        <v>101.38</v>
      </c>
      <c r="AA225">
        <v>10000000</v>
      </c>
      <c r="AB225" s="3" t="s">
        <v>256</v>
      </c>
      <c r="AC225" s="3" t="s">
        <v>10</v>
      </c>
      <c r="AD225">
        <v>15581376</v>
      </c>
      <c r="AE225">
        <v>15581376</v>
      </c>
      <c r="AF225" s="3" t="s">
        <v>640</v>
      </c>
    </row>
    <row r="226" spans="1:32" x14ac:dyDescent="0.35">
      <c r="A226" s="3" t="s">
        <v>608</v>
      </c>
      <c r="B226" s="3" t="s">
        <v>608</v>
      </c>
      <c r="C226" s="3" t="s">
        <v>608</v>
      </c>
      <c r="D226" s="3" t="s">
        <v>608</v>
      </c>
      <c r="E226" s="3" t="s">
        <v>608</v>
      </c>
      <c r="F226" s="3" t="s">
        <v>441</v>
      </c>
      <c r="G226" s="3" t="s">
        <v>441</v>
      </c>
      <c r="H226" s="3" t="s">
        <v>442</v>
      </c>
      <c r="I226" s="3" t="s">
        <v>216</v>
      </c>
      <c r="J226" s="3" t="s">
        <v>4</v>
      </c>
      <c r="K226" s="3" t="s">
        <v>820</v>
      </c>
      <c r="L226" s="3" t="s">
        <v>30</v>
      </c>
      <c r="M226" s="3" t="s">
        <v>14</v>
      </c>
      <c r="N226">
        <v>-19000000</v>
      </c>
      <c r="O226">
        <v>107.31</v>
      </c>
      <c r="P226">
        <v>391</v>
      </c>
      <c r="Q226">
        <v>-161320</v>
      </c>
      <c r="R226">
        <v>-1774</v>
      </c>
      <c r="S226" s="3" t="s">
        <v>263</v>
      </c>
      <c r="T226">
        <v>-13110</v>
      </c>
      <c r="U226">
        <v>-13248</v>
      </c>
      <c r="V226">
        <v>-51777</v>
      </c>
      <c r="W226">
        <v>-167.02</v>
      </c>
      <c r="X226">
        <v>-20388900</v>
      </c>
      <c r="Y226" s="3" t="s">
        <v>31</v>
      </c>
      <c r="Z226">
        <v>106.322</v>
      </c>
      <c r="AA226">
        <v>-14000000</v>
      </c>
      <c r="AB226" s="3" t="s">
        <v>256</v>
      </c>
      <c r="AC226" s="3" t="s">
        <v>10</v>
      </c>
      <c r="AD226">
        <v>-20702513</v>
      </c>
      <c r="AE226">
        <v>20702513</v>
      </c>
      <c r="AF226" s="3" t="s">
        <v>640</v>
      </c>
    </row>
    <row r="227" spans="1:32" x14ac:dyDescent="0.35">
      <c r="A227" s="3" t="s">
        <v>608</v>
      </c>
      <c r="B227" s="3" t="s">
        <v>608</v>
      </c>
      <c r="C227" s="3" t="s">
        <v>608</v>
      </c>
      <c r="D227" s="3" t="s">
        <v>608</v>
      </c>
      <c r="E227" s="3" t="s">
        <v>608</v>
      </c>
      <c r="F227" s="3" t="s">
        <v>443</v>
      </c>
      <c r="G227" s="3" t="s">
        <v>443</v>
      </c>
      <c r="H227" s="3" t="s">
        <v>440</v>
      </c>
      <c r="I227" s="3" t="s">
        <v>216</v>
      </c>
      <c r="J227" s="3" t="s">
        <v>4</v>
      </c>
      <c r="K227" s="3" t="s">
        <v>821</v>
      </c>
      <c r="L227" s="3" t="s">
        <v>30</v>
      </c>
      <c r="M227" s="3" t="s">
        <v>14</v>
      </c>
      <c r="N227">
        <v>-3900000</v>
      </c>
      <c r="O227">
        <v>102.76300000000001</v>
      </c>
      <c r="P227">
        <v>383</v>
      </c>
      <c r="Q227">
        <v>-38961</v>
      </c>
      <c r="R227">
        <v>-414</v>
      </c>
      <c r="S227" s="3" t="s">
        <v>263</v>
      </c>
      <c r="T227">
        <v>-2314</v>
      </c>
      <c r="U227">
        <v>-2337</v>
      </c>
      <c r="V227">
        <v>-8951</v>
      </c>
      <c r="W227">
        <v>-28.87</v>
      </c>
      <c r="X227">
        <v>-4007757</v>
      </c>
      <c r="Y227" s="3" t="s">
        <v>31</v>
      </c>
      <c r="Z227">
        <v>101.764</v>
      </c>
      <c r="AA227">
        <v>-3900000</v>
      </c>
      <c r="AB227" s="3" t="s">
        <v>256</v>
      </c>
      <c r="AC227" s="3" t="s">
        <v>10</v>
      </c>
      <c r="AD227">
        <v>-4066965</v>
      </c>
      <c r="AE227">
        <v>4066965</v>
      </c>
      <c r="AF227" s="3" t="s">
        <v>640</v>
      </c>
    </row>
    <row r="228" spans="1:32" x14ac:dyDescent="0.35">
      <c r="A228" s="3" t="s">
        <v>608</v>
      </c>
      <c r="B228" s="3" t="s">
        <v>608</v>
      </c>
      <c r="C228" s="3" t="s">
        <v>608</v>
      </c>
      <c r="D228" s="3" t="s">
        <v>608</v>
      </c>
      <c r="E228" s="3" t="s">
        <v>608</v>
      </c>
      <c r="F228" s="3" t="s">
        <v>444</v>
      </c>
      <c r="G228" s="3" t="s">
        <v>444</v>
      </c>
      <c r="H228" s="3" t="s">
        <v>442</v>
      </c>
      <c r="I228" s="3" t="s">
        <v>216</v>
      </c>
      <c r="J228" s="3" t="s">
        <v>4</v>
      </c>
      <c r="K228" s="3" t="s">
        <v>702</v>
      </c>
      <c r="L228" s="3" t="s">
        <v>30</v>
      </c>
      <c r="M228" s="3" t="s">
        <v>14</v>
      </c>
      <c r="N228">
        <v>7258000</v>
      </c>
      <c r="O228">
        <v>106.949</v>
      </c>
      <c r="P228">
        <v>367</v>
      </c>
      <c r="Q228">
        <v>60677</v>
      </c>
      <c r="R228">
        <v>932</v>
      </c>
      <c r="S228" s="3" t="s">
        <v>263</v>
      </c>
      <c r="T228">
        <v>3693</v>
      </c>
      <c r="U228">
        <v>3729</v>
      </c>
      <c r="V228">
        <v>13693</v>
      </c>
      <c r="W228">
        <v>44.17</v>
      </c>
      <c r="X228">
        <v>7762358</v>
      </c>
      <c r="Y228" s="3" t="s">
        <v>31</v>
      </c>
      <c r="Z228">
        <v>106.113</v>
      </c>
      <c r="AA228">
        <v>7258000</v>
      </c>
      <c r="AB228" s="3" t="s">
        <v>256</v>
      </c>
      <c r="AC228" s="3" t="s">
        <v>10</v>
      </c>
      <c r="AD228">
        <v>7969286</v>
      </c>
      <c r="AE228">
        <v>7969286</v>
      </c>
      <c r="AF228" s="3" t="s">
        <v>640</v>
      </c>
    </row>
    <row r="229" spans="1:32" x14ac:dyDescent="0.35">
      <c r="A229" s="3" t="s">
        <v>608</v>
      </c>
      <c r="B229" s="3" t="s">
        <v>608</v>
      </c>
      <c r="C229" s="3" t="s">
        <v>608</v>
      </c>
      <c r="D229" s="3" t="s">
        <v>608</v>
      </c>
      <c r="E229" s="3" t="s">
        <v>608</v>
      </c>
      <c r="F229" s="3" t="s">
        <v>445</v>
      </c>
      <c r="G229" s="3" t="s">
        <v>445</v>
      </c>
      <c r="H229" s="3" t="s">
        <v>446</v>
      </c>
      <c r="I229" s="3" t="s">
        <v>216</v>
      </c>
      <c r="J229" s="3" t="s">
        <v>4</v>
      </c>
      <c r="K229" s="3" t="s">
        <v>822</v>
      </c>
      <c r="L229" s="3" t="s">
        <v>30</v>
      </c>
      <c r="M229" s="3" t="s">
        <v>14</v>
      </c>
      <c r="N229">
        <v>-500000</v>
      </c>
      <c r="O229">
        <v>101.614</v>
      </c>
      <c r="P229">
        <v>342</v>
      </c>
      <c r="Q229">
        <v>-3870</v>
      </c>
      <c r="R229">
        <v>-46</v>
      </c>
      <c r="S229" s="3" t="s">
        <v>263</v>
      </c>
      <c r="T229">
        <v>-172</v>
      </c>
      <c r="U229">
        <v>-174</v>
      </c>
      <c r="V229">
        <v>-596</v>
      </c>
      <c r="W229">
        <v>-1.92</v>
      </c>
      <c r="X229">
        <v>-508070</v>
      </c>
      <c r="Y229" s="3" t="s">
        <v>31</v>
      </c>
      <c r="Z229">
        <v>100.84</v>
      </c>
      <c r="AA229">
        <v>-500000</v>
      </c>
      <c r="AB229" s="3" t="s">
        <v>256</v>
      </c>
      <c r="AC229" s="3" t="s">
        <v>10</v>
      </c>
      <c r="AD229">
        <v>-514080</v>
      </c>
      <c r="AE229">
        <v>514080</v>
      </c>
      <c r="AF229" s="3" t="s">
        <v>640</v>
      </c>
    </row>
    <row r="230" spans="1:32" x14ac:dyDescent="0.35">
      <c r="A230" s="3" t="s">
        <v>608</v>
      </c>
      <c r="B230" s="3" t="s">
        <v>608</v>
      </c>
      <c r="C230" s="3" t="s">
        <v>608</v>
      </c>
      <c r="D230" s="3" t="s">
        <v>608</v>
      </c>
      <c r="E230" s="3" t="s">
        <v>608</v>
      </c>
      <c r="F230" s="3" t="s">
        <v>640</v>
      </c>
      <c r="G230" s="3" t="s">
        <v>588</v>
      </c>
      <c r="H230" s="3" t="s">
        <v>588</v>
      </c>
      <c r="I230" s="3" t="s">
        <v>640</v>
      </c>
      <c r="J230" s="3" t="s">
        <v>4</v>
      </c>
      <c r="K230" s="3" t="s">
        <v>640</v>
      </c>
      <c r="L230" s="3" t="s">
        <v>448</v>
      </c>
      <c r="M230" s="3" t="s">
        <v>14</v>
      </c>
      <c r="N230">
        <v>-2000000</v>
      </c>
      <c r="O230">
        <v>113.82599999999999</v>
      </c>
      <c r="Q230">
        <v>0</v>
      </c>
      <c r="R230">
        <v>-60</v>
      </c>
      <c r="S230" s="3" t="s">
        <v>640</v>
      </c>
      <c r="T230">
        <v>0</v>
      </c>
      <c r="U230">
        <v>0</v>
      </c>
      <c r="V230">
        <v>0</v>
      </c>
      <c r="W230">
        <v>0</v>
      </c>
      <c r="X230">
        <v>2276523</v>
      </c>
      <c r="Y230" s="3" t="s">
        <v>640</v>
      </c>
      <c r="Z230">
        <v>113.82599999999999</v>
      </c>
      <c r="AA230">
        <v>-2000000</v>
      </c>
      <c r="AB230" s="3" t="s">
        <v>449</v>
      </c>
      <c r="AC230" s="3" t="s">
        <v>10</v>
      </c>
      <c r="AD230">
        <v>0</v>
      </c>
      <c r="AE230">
        <v>0</v>
      </c>
      <c r="AF230" s="3" t="s">
        <v>640</v>
      </c>
    </row>
    <row r="231" spans="1:32" x14ac:dyDescent="0.35">
      <c r="A231" s="3" t="s">
        <v>608</v>
      </c>
      <c r="B231" s="3" t="s">
        <v>608</v>
      </c>
      <c r="C231" s="3" t="s">
        <v>608</v>
      </c>
      <c r="D231" s="3" t="s">
        <v>608</v>
      </c>
      <c r="E231" s="3" t="s">
        <v>608</v>
      </c>
      <c r="F231" s="3" t="s">
        <v>640</v>
      </c>
      <c r="G231" s="3" t="s">
        <v>533</v>
      </c>
      <c r="H231" s="3" t="s">
        <v>533</v>
      </c>
      <c r="I231" s="3" t="s">
        <v>640</v>
      </c>
      <c r="J231" s="3" t="s">
        <v>266</v>
      </c>
      <c r="K231" s="3" t="s">
        <v>640</v>
      </c>
      <c r="L231" s="3" t="s">
        <v>448</v>
      </c>
      <c r="M231" s="3" t="s">
        <v>14</v>
      </c>
      <c r="N231">
        <v>1000000</v>
      </c>
      <c r="O231">
        <v>82.039000000000001</v>
      </c>
      <c r="Q231">
        <v>0</v>
      </c>
      <c r="R231">
        <v>-8</v>
      </c>
      <c r="S231" s="3" t="s">
        <v>640</v>
      </c>
      <c r="T231">
        <v>0</v>
      </c>
      <c r="U231">
        <v>0</v>
      </c>
      <c r="V231">
        <v>0</v>
      </c>
      <c r="W231">
        <v>0</v>
      </c>
      <c r="X231">
        <v>-699513</v>
      </c>
      <c r="Y231" s="3" t="s">
        <v>640</v>
      </c>
      <c r="Z231">
        <v>82.039000000000001</v>
      </c>
      <c r="AA231">
        <v>1000000</v>
      </c>
      <c r="AB231" s="3" t="s">
        <v>449</v>
      </c>
      <c r="AC231" s="3" t="s">
        <v>10</v>
      </c>
      <c r="AD231">
        <v>0</v>
      </c>
      <c r="AE231">
        <v>0</v>
      </c>
      <c r="AF231" s="3" t="s">
        <v>640</v>
      </c>
    </row>
    <row r="232" spans="1:32" x14ac:dyDescent="0.35">
      <c r="A232" s="3" t="s">
        <v>608</v>
      </c>
      <c r="B232" s="3" t="s">
        <v>608</v>
      </c>
      <c r="C232" s="3" t="s">
        <v>608</v>
      </c>
      <c r="D232" s="3" t="s">
        <v>608</v>
      </c>
      <c r="E232" s="3" t="s">
        <v>608</v>
      </c>
      <c r="F232" s="3" t="s">
        <v>640</v>
      </c>
      <c r="G232" s="3" t="s">
        <v>513</v>
      </c>
      <c r="H232" s="3" t="s">
        <v>513</v>
      </c>
      <c r="I232" s="3" t="s">
        <v>640</v>
      </c>
      <c r="J232" s="3" t="s">
        <v>4</v>
      </c>
      <c r="K232" s="3" t="s">
        <v>640</v>
      </c>
      <c r="L232" s="3" t="s">
        <v>448</v>
      </c>
      <c r="M232" s="3" t="s">
        <v>14</v>
      </c>
      <c r="N232">
        <v>-1200000</v>
      </c>
      <c r="O232">
        <v>107.24</v>
      </c>
      <c r="Q232">
        <v>0</v>
      </c>
      <c r="R232">
        <v>-34</v>
      </c>
      <c r="S232" s="3" t="s">
        <v>640</v>
      </c>
      <c r="T232">
        <v>0</v>
      </c>
      <c r="U232">
        <v>0</v>
      </c>
      <c r="V232">
        <v>0</v>
      </c>
      <c r="W232">
        <v>0</v>
      </c>
      <c r="X232">
        <v>1288350</v>
      </c>
      <c r="Y232" s="3" t="s">
        <v>640</v>
      </c>
      <c r="Z232">
        <v>107.24</v>
      </c>
      <c r="AA232">
        <v>-1200000</v>
      </c>
      <c r="AB232" s="3" t="s">
        <v>449</v>
      </c>
      <c r="AC232" s="3" t="s">
        <v>10</v>
      </c>
      <c r="AD232">
        <v>0</v>
      </c>
      <c r="AE232">
        <v>0</v>
      </c>
      <c r="AF232" s="3" t="s">
        <v>640</v>
      </c>
    </row>
    <row r="233" spans="1:32" x14ac:dyDescent="0.35">
      <c r="A233" s="3" t="s">
        <v>608</v>
      </c>
      <c r="B233" s="3" t="s">
        <v>608</v>
      </c>
      <c r="C233" s="3" t="s">
        <v>608</v>
      </c>
      <c r="D233" s="3" t="s">
        <v>608</v>
      </c>
      <c r="E233" s="3" t="s">
        <v>608</v>
      </c>
      <c r="F233" s="3" t="s">
        <v>640</v>
      </c>
      <c r="G233" s="3" t="s">
        <v>491</v>
      </c>
      <c r="H233" s="3" t="s">
        <v>491</v>
      </c>
      <c r="I233" s="3" t="s">
        <v>640</v>
      </c>
      <c r="J233" s="3" t="s">
        <v>4</v>
      </c>
      <c r="K233" s="3" t="s">
        <v>640</v>
      </c>
      <c r="L233" s="3" t="s">
        <v>448</v>
      </c>
      <c r="M233" s="3" t="s">
        <v>14</v>
      </c>
      <c r="N233">
        <v>-500000</v>
      </c>
      <c r="O233">
        <v>99.423000000000002</v>
      </c>
      <c r="Q233">
        <v>0</v>
      </c>
      <c r="R233">
        <v>-39</v>
      </c>
      <c r="S233" s="3" t="s">
        <v>640</v>
      </c>
      <c r="T233">
        <v>0</v>
      </c>
      <c r="U233">
        <v>0</v>
      </c>
      <c r="V233">
        <v>0</v>
      </c>
      <c r="W233">
        <v>0</v>
      </c>
      <c r="X233">
        <v>497117</v>
      </c>
      <c r="Y233" s="3" t="s">
        <v>640</v>
      </c>
      <c r="Z233">
        <v>99.02</v>
      </c>
      <c r="AA233">
        <v>-1500000</v>
      </c>
      <c r="AB233" s="3" t="s">
        <v>449</v>
      </c>
      <c r="AC233" s="3" t="s">
        <v>10</v>
      </c>
      <c r="AD233">
        <v>0</v>
      </c>
      <c r="AE233">
        <v>0</v>
      </c>
      <c r="AF233" s="3" t="s">
        <v>640</v>
      </c>
    </row>
    <row r="234" spans="1:32" x14ac:dyDescent="0.35">
      <c r="A234" s="3" t="s">
        <v>608</v>
      </c>
      <c r="B234" s="3" t="s">
        <v>608</v>
      </c>
      <c r="C234" s="3" t="s">
        <v>608</v>
      </c>
      <c r="D234" s="3" t="s">
        <v>608</v>
      </c>
      <c r="E234" s="3" t="s">
        <v>608</v>
      </c>
      <c r="F234" s="3" t="s">
        <v>640</v>
      </c>
      <c r="G234" s="3" t="s">
        <v>492</v>
      </c>
      <c r="H234" s="3" t="s">
        <v>492</v>
      </c>
      <c r="I234" s="3" t="s">
        <v>640</v>
      </c>
      <c r="J234" s="3" t="s">
        <v>4</v>
      </c>
      <c r="K234" s="3" t="s">
        <v>640</v>
      </c>
      <c r="L234" s="3" t="s">
        <v>448</v>
      </c>
      <c r="M234" s="3" t="s">
        <v>14</v>
      </c>
      <c r="N234">
        <v>-14000000</v>
      </c>
      <c r="O234">
        <v>109.863</v>
      </c>
      <c r="Q234">
        <v>0</v>
      </c>
      <c r="R234">
        <v>-408</v>
      </c>
      <c r="S234" s="3" t="s">
        <v>640</v>
      </c>
      <c r="T234">
        <v>0</v>
      </c>
      <c r="U234">
        <v>0</v>
      </c>
      <c r="V234">
        <v>0</v>
      </c>
      <c r="W234">
        <v>0</v>
      </c>
      <c r="X234">
        <v>15449052</v>
      </c>
      <c r="Y234" s="3" t="s">
        <v>640</v>
      </c>
      <c r="Z234">
        <v>109.863</v>
      </c>
      <c r="AA234">
        <v>-14000000</v>
      </c>
      <c r="AB234" s="3" t="s">
        <v>449</v>
      </c>
      <c r="AC234" s="3" t="s">
        <v>10</v>
      </c>
      <c r="AD234">
        <v>0</v>
      </c>
      <c r="AE234">
        <v>0</v>
      </c>
      <c r="AF234" s="3" t="s">
        <v>640</v>
      </c>
    </row>
    <row r="235" spans="1:32" x14ac:dyDescent="0.35">
      <c r="A235" s="3" t="s">
        <v>608</v>
      </c>
      <c r="B235" s="3" t="s">
        <v>608</v>
      </c>
      <c r="C235" s="3" t="s">
        <v>608</v>
      </c>
      <c r="D235" s="3" t="s">
        <v>608</v>
      </c>
      <c r="E235" s="3" t="s">
        <v>608</v>
      </c>
      <c r="F235" s="3" t="s">
        <v>640</v>
      </c>
      <c r="G235" s="3" t="s">
        <v>483</v>
      </c>
      <c r="H235" s="3" t="s">
        <v>483</v>
      </c>
      <c r="I235" s="3" t="s">
        <v>640</v>
      </c>
      <c r="J235" s="3" t="s">
        <v>4</v>
      </c>
      <c r="K235" s="3" t="s">
        <v>640</v>
      </c>
      <c r="L235" s="3" t="s">
        <v>448</v>
      </c>
      <c r="M235" s="3" t="s">
        <v>14</v>
      </c>
      <c r="N235">
        <v>0</v>
      </c>
      <c r="O235">
        <v>81.867999999999995</v>
      </c>
      <c r="Q235">
        <v>0</v>
      </c>
      <c r="R235">
        <v>28</v>
      </c>
      <c r="S235" s="3" t="s">
        <v>640</v>
      </c>
      <c r="T235">
        <v>0</v>
      </c>
      <c r="U235">
        <v>0</v>
      </c>
      <c r="V235">
        <v>0</v>
      </c>
      <c r="W235">
        <v>0</v>
      </c>
      <c r="X235">
        <v>0</v>
      </c>
      <c r="Y235" s="3" t="s">
        <v>640</v>
      </c>
      <c r="Z235">
        <v>82.412999999999997</v>
      </c>
      <c r="AA235">
        <v>4848000</v>
      </c>
      <c r="AB235" s="3" t="s">
        <v>449</v>
      </c>
      <c r="AC235" s="3" t="s">
        <v>10</v>
      </c>
      <c r="AD235">
        <v>0</v>
      </c>
      <c r="AE235">
        <v>0</v>
      </c>
      <c r="AF235" s="3" t="s">
        <v>640</v>
      </c>
    </row>
    <row r="236" spans="1:32" x14ac:dyDescent="0.35">
      <c r="A236" s="3" t="s">
        <v>608</v>
      </c>
      <c r="B236" s="3" t="s">
        <v>608</v>
      </c>
      <c r="C236" s="3" t="s">
        <v>608</v>
      </c>
      <c r="D236" s="3" t="s">
        <v>608</v>
      </c>
      <c r="E236" s="3" t="s">
        <v>608</v>
      </c>
      <c r="F236" s="3" t="s">
        <v>640</v>
      </c>
      <c r="G236" s="3" t="s">
        <v>511</v>
      </c>
      <c r="H236" s="3" t="s">
        <v>511</v>
      </c>
      <c r="I236" s="3" t="s">
        <v>640</v>
      </c>
      <c r="J236" s="3" t="s">
        <v>266</v>
      </c>
      <c r="K236" s="3" t="s">
        <v>640</v>
      </c>
      <c r="L236" s="3" t="s">
        <v>448</v>
      </c>
      <c r="M236" s="3" t="s">
        <v>14</v>
      </c>
      <c r="N236">
        <v>-100000</v>
      </c>
      <c r="O236">
        <v>106.301</v>
      </c>
      <c r="Q236">
        <v>0</v>
      </c>
      <c r="R236">
        <v>-1</v>
      </c>
      <c r="S236" s="3" t="s">
        <v>640</v>
      </c>
      <c r="T236">
        <v>0</v>
      </c>
      <c r="U236">
        <v>0</v>
      </c>
      <c r="V236">
        <v>0</v>
      </c>
      <c r="W236">
        <v>0</v>
      </c>
      <c r="X236">
        <v>90639</v>
      </c>
      <c r="Y236" s="3" t="s">
        <v>640</v>
      </c>
      <c r="Z236">
        <v>106.301</v>
      </c>
      <c r="AA236">
        <v>-100000</v>
      </c>
      <c r="AB236" s="3" t="s">
        <v>449</v>
      </c>
      <c r="AC236" s="3" t="s">
        <v>10</v>
      </c>
      <c r="AD236">
        <v>0</v>
      </c>
      <c r="AE236">
        <v>0</v>
      </c>
      <c r="AF236" s="3" t="s">
        <v>640</v>
      </c>
    </row>
    <row r="237" spans="1:32" x14ac:dyDescent="0.35">
      <c r="A237" s="3" t="s">
        <v>608</v>
      </c>
      <c r="B237" s="3" t="s">
        <v>608</v>
      </c>
      <c r="C237" s="3" t="s">
        <v>608</v>
      </c>
      <c r="D237" s="3" t="s">
        <v>608</v>
      </c>
      <c r="E237" s="3" t="s">
        <v>608</v>
      </c>
      <c r="F237" s="3" t="s">
        <v>640</v>
      </c>
      <c r="G237" s="3" t="s">
        <v>526</v>
      </c>
      <c r="H237" s="3" t="s">
        <v>526</v>
      </c>
      <c r="I237" s="3" t="s">
        <v>640</v>
      </c>
      <c r="J237" s="3" t="s">
        <v>4</v>
      </c>
      <c r="K237" s="3" t="s">
        <v>640</v>
      </c>
      <c r="L237" s="3" t="s">
        <v>448</v>
      </c>
      <c r="M237" s="3" t="s">
        <v>14</v>
      </c>
      <c r="N237">
        <v>4900000</v>
      </c>
      <c r="O237">
        <v>83.224999999999994</v>
      </c>
      <c r="Q237">
        <v>0</v>
      </c>
      <c r="R237">
        <v>34</v>
      </c>
      <c r="S237" s="3" t="s">
        <v>640</v>
      </c>
      <c r="T237">
        <v>0</v>
      </c>
      <c r="U237">
        <v>0</v>
      </c>
      <c r="V237">
        <v>0</v>
      </c>
      <c r="W237">
        <v>0</v>
      </c>
      <c r="X237">
        <v>-4083379</v>
      </c>
      <c r="Y237" s="3" t="s">
        <v>640</v>
      </c>
      <c r="Z237">
        <v>83.224999999999994</v>
      </c>
      <c r="AA237">
        <v>4900000</v>
      </c>
      <c r="AB237" s="3" t="s">
        <v>449</v>
      </c>
      <c r="AC237" s="3" t="s">
        <v>10</v>
      </c>
      <c r="AD237">
        <v>0</v>
      </c>
      <c r="AE237">
        <v>0</v>
      </c>
      <c r="AF237" s="3" t="s">
        <v>640</v>
      </c>
    </row>
    <row r="238" spans="1:32" x14ac:dyDescent="0.35">
      <c r="A238" s="3" t="s">
        <v>608</v>
      </c>
      <c r="B238" s="3" t="s">
        <v>608</v>
      </c>
      <c r="C238" s="3" t="s">
        <v>608</v>
      </c>
      <c r="D238" s="3" t="s">
        <v>608</v>
      </c>
      <c r="E238" s="3" t="s">
        <v>608</v>
      </c>
      <c r="F238" s="3" t="s">
        <v>640</v>
      </c>
      <c r="G238" s="3" t="s">
        <v>910</v>
      </c>
      <c r="H238" s="3" t="s">
        <v>910</v>
      </c>
      <c r="I238" s="3" t="s">
        <v>640</v>
      </c>
      <c r="J238" s="3" t="s">
        <v>283</v>
      </c>
      <c r="K238" s="3" t="s">
        <v>640</v>
      </c>
      <c r="L238" s="3" t="s">
        <v>448</v>
      </c>
      <c r="M238" s="3" t="s">
        <v>14</v>
      </c>
      <c r="N238">
        <v>3000000</v>
      </c>
      <c r="O238">
        <v>82.515000000000001</v>
      </c>
      <c r="Q238">
        <v>0</v>
      </c>
      <c r="R238">
        <v>-26</v>
      </c>
      <c r="S238" s="3" t="s">
        <v>640</v>
      </c>
      <c r="T238">
        <v>0</v>
      </c>
      <c r="U238">
        <v>0</v>
      </c>
      <c r="V238">
        <v>0</v>
      </c>
      <c r="W238">
        <v>0</v>
      </c>
      <c r="X238">
        <v>-2754524</v>
      </c>
      <c r="Y238" s="3" t="s">
        <v>640</v>
      </c>
      <c r="Z238">
        <v>82.515000000000001</v>
      </c>
      <c r="AA238">
        <v>3000000</v>
      </c>
      <c r="AB238" s="3" t="s">
        <v>449</v>
      </c>
      <c r="AC238" s="3" t="s">
        <v>10</v>
      </c>
      <c r="AD238">
        <v>0</v>
      </c>
      <c r="AE238">
        <v>0</v>
      </c>
      <c r="AF238" s="3" t="s">
        <v>640</v>
      </c>
    </row>
    <row r="239" spans="1:32" x14ac:dyDescent="0.35">
      <c r="A239" s="3" t="s">
        <v>608</v>
      </c>
      <c r="B239" s="3" t="s">
        <v>608</v>
      </c>
      <c r="C239" s="3" t="s">
        <v>608</v>
      </c>
      <c r="D239" s="3" t="s">
        <v>608</v>
      </c>
      <c r="E239" s="3" t="s">
        <v>608</v>
      </c>
      <c r="F239" s="3" t="s">
        <v>640</v>
      </c>
      <c r="G239" s="3" t="s">
        <v>557</v>
      </c>
      <c r="H239" s="3" t="s">
        <v>557</v>
      </c>
      <c r="I239" s="3" t="s">
        <v>640</v>
      </c>
      <c r="J239" s="3" t="s">
        <v>4</v>
      </c>
      <c r="K239" s="3" t="s">
        <v>640</v>
      </c>
      <c r="L239" s="3" t="s">
        <v>448</v>
      </c>
      <c r="M239" s="3" t="s">
        <v>14</v>
      </c>
      <c r="N239">
        <v>-400000</v>
      </c>
      <c r="O239">
        <v>98.567999999999998</v>
      </c>
      <c r="Q239">
        <v>0</v>
      </c>
      <c r="R239">
        <v>-44</v>
      </c>
      <c r="S239" s="3" t="s">
        <v>640</v>
      </c>
      <c r="T239">
        <v>0</v>
      </c>
      <c r="U239">
        <v>0</v>
      </c>
      <c r="V239">
        <v>0</v>
      </c>
      <c r="W239">
        <v>0</v>
      </c>
      <c r="X239">
        <v>396150</v>
      </c>
      <c r="Y239" s="3" t="s">
        <v>640</v>
      </c>
      <c r="Z239">
        <v>97.212999999999994</v>
      </c>
      <c r="AA239">
        <v>-1700000</v>
      </c>
      <c r="AB239" s="3" t="s">
        <v>449</v>
      </c>
      <c r="AC239" s="3" t="s">
        <v>10</v>
      </c>
      <c r="AD239">
        <v>0</v>
      </c>
      <c r="AE239">
        <v>0</v>
      </c>
      <c r="AF239" s="3" t="s">
        <v>640</v>
      </c>
    </row>
    <row r="240" spans="1:32" x14ac:dyDescent="0.35">
      <c r="A240" s="3" t="s">
        <v>608</v>
      </c>
      <c r="B240" s="3" t="s">
        <v>608</v>
      </c>
      <c r="C240" s="3" t="s">
        <v>608</v>
      </c>
      <c r="D240" s="3" t="s">
        <v>608</v>
      </c>
      <c r="E240" s="3" t="s">
        <v>608</v>
      </c>
      <c r="F240" s="3" t="s">
        <v>640</v>
      </c>
      <c r="G240" s="3" t="s">
        <v>469</v>
      </c>
      <c r="H240" s="3" t="s">
        <v>469</v>
      </c>
      <c r="I240" s="3" t="s">
        <v>640</v>
      </c>
      <c r="J240" s="3" t="s">
        <v>4</v>
      </c>
      <c r="K240" s="3" t="s">
        <v>640</v>
      </c>
      <c r="L240" s="3" t="s">
        <v>448</v>
      </c>
      <c r="M240" s="3" t="s">
        <v>14</v>
      </c>
      <c r="N240">
        <v>0</v>
      </c>
      <c r="O240">
        <v>74.784999999999997</v>
      </c>
      <c r="Q240">
        <v>0</v>
      </c>
      <c r="R240">
        <v>9</v>
      </c>
      <c r="S240" s="3" t="s">
        <v>640</v>
      </c>
      <c r="T240">
        <v>0</v>
      </c>
      <c r="U240">
        <v>0</v>
      </c>
      <c r="V240">
        <v>0</v>
      </c>
      <c r="W240">
        <v>0</v>
      </c>
      <c r="X240">
        <v>0</v>
      </c>
      <c r="Y240" s="3" t="s">
        <v>640</v>
      </c>
      <c r="Z240">
        <v>74.784999999999997</v>
      </c>
      <c r="AA240">
        <v>1400000</v>
      </c>
      <c r="AB240" s="3" t="s">
        <v>449</v>
      </c>
      <c r="AC240" s="3" t="s">
        <v>10</v>
      </c>
      <c r="AD240">
        <v>0</v>
      </c>
      <c r="AE240">
        <v>0</v>
      </c>
      <c r="AF240" s="3" t="s">
        <v>640</v>
      </c>
    </row>
    <row r="241" spans="1:32" x14ac:dyDescent="0.35">
      <c r="A241" s="3" t="s">
        <v>608</v>
      </c>
      <c r="B241" s="3" t="s">
        <v>608</v>
      </c>
      <c r="C241" s="3" t="s">
        <v>608</v>
      </c>
      <c r="D241" s="3" t="s">
        <v>608</v>
      </c>
      <c r="E241" s="3" t="s">
        <v>608</v>
      </c>
      <c r="F241" s="3" t="s">
        <v>640</v>
      </c>
      <c r="G241" s="3" t="s">
        <v>558</v>
      </c>
      <c r="H241" s="3" t="s">
        <v>558</v>
      </c>
      <c r="I241" s="3" t="s">
        <v>640</v>
      </c>
      <c r="J241" s="3" t="s">
        <v>4</v>
      </c>
      <c r="K241" s="3" t="s">
        <v>640</v>
      </c>
      <c r="L241" s="3" t="s">
        <v>448</v>
      </c>
      <c r="M241" s="3" t="s">
        <v>14</v>
      </c>
      <c r="N241">
        <v>4400000</v>
      </c>
      <c r="O241">
        <v>75.930000000000007</v>
      </c>
      <c r="Q241">
        <v>0</v>
      </c>
      <c r="R241">
        <v>23</v>
      </c>
      <c r="S241" s="3" t="s">
        <v>640</v>
      </c>
      <c r="T241">
        <v>0</v>
      </c>
      <c r="U241">
        <v>0</v>
      </c>
      <c r="V241">
        <v>0</v>
      </c>
      <c r="W241">
        <v>0</v>
      </c>
      <c r="X241">
        <v>-3340911</v>
      </c>
      <c r="Y241" s="3" t="s">
        <v>640</v>
      </c>
      <c r="Z241">
        <v>75.930000000000007</v>
      </c>
      <c r="AA241">
        <v>4400000</v>
      </c>
      <c r="AB241" s="3" t="s">
        <v>449</v>
      </c>
      <c r="AC241" s="3" t="s">
        <v>10</v>
      </c>
      <c r="AD241">
        <v>0</v>
      </c>
      <c r="AE241">
        <v>0</v>
      </c>
      <c r="AF241" s="3" t="s">
        <v>640</v>
      </c>
    </row>
    <row r="242" spans="1:32" x14ac:dyDescent="0.35">
      <c r="A242" s="3" t="s">
        <v>608</v>
      </c>
      <c r="B242" s="3" t="s">
        <v>608</v>
      </c>
      <c r="C242" s="3" t="s">
        <v>608</v>
      </c>
      <c r="D242" s="3" t="s">
        <v>608</v>
      </c>
      <c r="E242" s="3" t="s">
        <v>608</v>
      </c>
      <c r="F242" s="3" t="s">
        <v>640</v>
      </c>
      <c r="G242" s="3" t="s">
        <v>480</v>
      </c>
      <c r="H242" s="3" t="s">
        <v>480</v>
      </c>
      <c r="I242" s="3" t="s">
        <v>640</v>
      </c>
      <c r="J242" s="3" t="s">
        <v>4</v>
      </c>
      <c r="K242" s="3" t="s">
        <v>640</v>
      </c>
      <c r="L242" s="3" t="s">
        <v>448</v>
      </c>
      <c r="M242" s="3" t="s">
        <v>14</v>
      </c>
      <c r="N242">
        <v>1800000</v>
      </c>
      <c r="O242">
        <v>90.671000000000006</v>
      </c>
      <c r="Q242">
        <v>0</v>
      </c>
      <c r="R242">
        <v>11</v>
      </c>
      <c r="S242" s="3" t="s">
        <v>640</v>
      </c>
      <c r="T242">
        <v>0</v>
      </c>
      <c r="U242">
        <v>0</v>
      </c>
      <c r="V242">
        <v>0</v>
      </c>
      <c r="W242">
        <v>0</v>
      </c>
      <c r="X242">
        <v>-1632080</v>
      </c>
      <c r="Y242" s="3" t="s">
        <v>640</v>
      </c>
      <c r="Z242">
        <v>90.671000000000006</v>
      </c>
      <c r="AA242">
        <v>1800000</v>
      </c>
      <c r="AB242" s="3" t="s">
        <v>449</v>
      </c>
      <c r="AC242" s="3" t="s">
        <v>10</v>
      </c>
      <c r="AD242">
        <v>0</v>
      </c>
      <c r="AE242">
        <v>0</v>
      </c>
      <c r="AF242" s="3" t="s">
        <v>640</v>
      </c>
    </row>
    <row r="243" spans="1:32" x14ac:dyDescent="0.35">
      <c r="A243" s="3" t="s">
        <v>608</v>
      </c>
      <c r="B243" s="3" t="s">
        <v>608</v>
      </c>
      <c r="C243" s="3" t="s">
        <v>608</v>
      </c>
      <c r="D243" s="3" t="s">
        <v>608</v>
      </c>
      <c r="E243" s="3" t="s">
        <v>608</v>
      </c>
      <c r="F243" s="3" t="s">
        <v>640</v>
      </c>
      <c r="G243" s="3" t="s">
        <v>848</v>
      </c>
      <c r="H243" s="3" t="s">
        <v>848</v>
      </c>
      <c r="I243" s="3" t="s">
        <v>640</v>
      </c>
      <c r="J243" s="3" t="s">
        <v>4</v>
      </c>
      <c r="K243" s="3" t="s">
        <v>640</v>
      </c>
      <c r="L243" s="3" t="s">
        <v>448</v>
      </c>
      <c r="M243" s="3" t="s">
        <v>14</v>
      </c>
      <c r="N243">
        <v>-4006000</v>
      </c>
      <c r="O243">
        <v>99.003</v>
      </c>
      <c r="Q243">
        <v>0</v>
      </c>
      <c r="R243">
        <v>-121</v>
      </c>
      <c r="S243" s="3" t="s">
        <v>640</v>
      </c>
      <c r="T243">
        <v>0</v>
      </c>
      <c r="U243">
        <v>0</v>
      </c>
      <c r="V243">
        <v>0</v>
      </c>
      <c r="W243">
        <v>0</v>
      </c>
      <c r="X243">
        <v>3966069</v>
      </c>
      <c r="Y243" s="3" t="s">
        <v>640</v>
      </c>
      <c r="Z243">
        <v>99.003</v>
      </c>
      <c r="AA243">
        <v>-4006000</v>
      </c>
      <c r="AB243" s="3" t="s">
        <v>449</v>
      </c>
      <c r="AC243" s="3" t="s">
        <v>10</v>
      </c>
      <c r="AD243">
        <v>0</v>
      </c>
      <c r="AE243">
        <v>0</v>
      </c>
      <c r="AF243" s="3" t="s">
        <v>640</v>
      </c>
    </row>
    <row r="244" spans="1:32" x14ac:dyDescent="0.35">
      <c r="A244" s="3" t="s">
        <v>608</v>
      </c>
      <c r="B244" s="3" t="s">
        <v>608</v>
      </c>
      <c r="C244" s="3" t="s">
        <v>608</v>
      </c>
      <c r="D244" s="3" t="s">
        <v>608</v>
      </c>
      <c r="E244" s="3" t="s">
        <v>608</v>
      </c>
      <c r="F244" s="3" t="s">
        <v>640</v>
      </c>
      <c r="G244" s="3" t="s">
        <v>556</v>
      </c>
      <c r="H244" s="3" t="s">
        <v>556</v>
      </c>
      <c r="I244" s="3" t="s">
        <v>640</v>
      </c>
      <c r="J244" s="3" t="s">
        <v>4</v>
      </c>
      <c r="K244" s="3" t="s">
        <v>640</v>
      </c>
      <c r="L244" s="3" t="s">
        <v>448</v>
      </c>
      <c r="M244" s="3" t="s">
        <v>14</v>
      </c>
      <c r="N244">
        <v>-4831000</v>
      </c>
      <c r="O244">
        <v>101.974</v>
      </c>
      <c r="Q244">
        <v>0</v>
      </c>
      <c r="R244">
        <v>-135</v>
      </c>
      <c r="S244" s="3" t="s">
        <v>640</v>
      </c>
      <c r="T244">
        <v>0</v>
      </c>
      <c r="U244">
        <v>0</v>
      </c>
      <c r="V244">
        <v>0</v>
      </c>
      <c r="W244">
        <v>0</v>
      </c>
      <c r="X244">
        <v>4905557</v>
      </c>
      <c r="Y244" s="3" t="s">
        <v>640</v>
      </c>
      <c r="Z244">
        <v>101.458</v>
      </c>
      <c r="AA244">
        <v>-5031000</v>
      </c>
      <c r="AB244" s="3" t="s">
        <v>449</v>
      </c>
      <c r="AC244" s="3" t="s">
        <v>10</v>
      </c>
      <c r="AD244">
        <v>0</v>
      </c>
      <c r="AE244">
        <v>0</v>
      </c>
      <c r="AF244" s="3" t="s">
        <v>640</v>
      </c>
    </row>
    <row r="245" spans="1:32" x14ac:dyDescent="0.35">
      <c r="A245" s="3" t="s">
        <v>608</v>
      </c>
      <c r="B245" s="3" t="s">
        <v>608</v>
      </c>
      <c r="C245" s="3" t="s">
        <v>608</v>
      </c>
      <c r="D245" s="3" t="s">
        <v>608</v>
      </c>
      <c r="E245" s="3" t="s">
        <v>608</v>
      </c>
      <c r="F245" s="3" t="s">
        <v>640</v>
      </c>
      <c r="G245" s="3" t="s">
        <v>999</v>
      </c>
      <c r="H245" s="3" t="s">
        <v>999</v>
      </c>
      <c r="I245" s="3" t="s">
        <v>640</v>
      </c>
      <c r="J245" s="3" t="s">
        <v>4</v>
      </c>
      <c r="K245" s="3" t="s">
        <v>640</v>
      </c>
      <c r="L245" s="3" t="s">
        <v>448</v>
      </c>
      <c r="M245" s="3" t="s">
        <v>14</v>
      </c>
      <c r="N245">
        <v>-2500000</v>
      </c>
      <c r="O245">
        <v>88.632999999999996</v>
      </c>
      <c r="Q245">
        <v>0</v>
      </c>
      <c r="R245">
        <v>0</v>
      </c>
      <c r="S245" s="3" t="s">
        <v>640</v>
      </c>
      <c r="T245">
        <v>0</v>
      </c>
      <c r="U245">
        <v>0</v>
      </c>
      <c r="V245">
        <v>0</v>
      </c>
      <c r="W245">
        <v>0</v>
      </c>
      <c r="X245">
        <v>2215828</v>
      </c>
      <c r="Y245" s="3" t="s">
        <v>640</v>
      </c>
      <c r="Z245">
        <v>90.786000000000001</v>
      </c>
      <c r="AA245">
        <v>0</v>
      </c>
      <c r="AB245" s="3" t="s">
        <v>449</v>
      </c>
      <c r="AC245" s="3" t="s">
        <v>10</v>
      </c>
      <c r="AD245">
        <v>0</v>
      </c>
      <c r="AE245">
        <v>0</v>
      </c>
      <c r="AF245" s="3" t="s">
        <v>640</v>
      </c>
    </row>
    <row r="246" spans="1:32" x14ac:dyDescent="0.35">
      <c r="A246" s="3" t="s">
        <v>608</v>
      </c>
      <c r="B246" s="3" t="s">
        <v>608</v>
      </c>
      <c r="C246" s="3" t="s">
        <v>608</v>
      </c>
      <c r="D246" s="3" t="s">
        <v>608</v>
      </c>
      <c r="E246" s="3" t="s">
        <v>608</v>
      </c>
      <c r="F246" s="3" t="s">
        <v>640</v>
      </c>
      <c r="G246" s="3" t="s">
        <v>911</v>
      </c>
      <c r="H246" s="3" t="s">
        <v>911</v>
      </c>
      <c r="I246" s="3" t="s">
        <v>640</v>
      </c>
      <c r="J246" s="3" t="s">
        <v>283</v>
      </c>
      <c r="K246" s="3" t="s">
        <v>640</v>
      </c>
      <c r="L246" s="3" t="s">
        <v>448</v>
      </c>
      <c r="M246" s="3" t="s">
        <v>14</v>
      </c>
      <c r="N246">
        <v>1515000</v>
      </c>
      <c r="O246">
        <v>78.653000000000006</v>
      </c>
      <c r="Q246">
        <v>0</v>
      </c>
      <c r="R246">
        <v>-13</v>
      </c>
      <c r="S246" s="3" t="s">
        <v>640</v>
      </c>
      <c r="T246">
        <v>0</v>
      </c>
      <c r="U246">
        <v>0</v>
      </c>
      <c r="V246">
        <v>0</v>
      </c>
      <c r="W246">
        <v>0</v>
      </c>
      <c r="X246">
        <v>-1325944</v>
      </c>
      <c r="Y246" s="3" t="s">
        <v>640</v>
      </c>
      <c r="Z246">
        <v>78.653000000000006</v>
      </c>
      <c r="AA246">
        <v>1515000</v>
      </c>
      <c r="AB246" s="3" t="s">
        <v>449</v>
      </c>
      <c r="AC246" s="3" t="s">
        <v>10</v>
      </c>
      <c r="AD246">
        <v>0</v>
      </c>
      <c r="AE246">
        <v>0</v>
      </c>
      <c r="AF246" s="3" t="s">
        <v>640</v>
      </c>
    </row>
    <row r="247" spans="1:32" x14ac:dyDescent="0.35">
      <c r="A247" s="3" t="s">
        <v>608</v>
      </c>
      <c r="B247" s="3" t="s">
        <v>608</v>
      </c>
      <c r="C247" s="3" t="s">
        <v>608</v>
      </c>
      <c r="D247" s="3" t="s">
        <v>608</v>
      </c>
      <c r="E247" s="3" t="s">
        <v>608</v>
      </c>
      <c r="F247" s="3" t="s">
        <v>640</v>
      </c>
      <c r="G247" s="3" t="s">
        <v>591</v>
      </c>
      <c r="H247" s="3" t="s">
        <v>591</v>
      </c>
      <c r="I247" s="3" t="s">
        <v>640</v>
      </c>
      <c r="J247" s="3" t="s">
        <v>4</v>
      </c>
      <c r="K247" s="3" t="s">
        <v>640</v>
      </c>
      <c r="L247" s="3" t="s">
        <v>448</v>
      </c>
      <c r="M247" s="3" t="s">
        <v>14</v>
      </c>
      <c r="N247">
        <v>-200000</v>
      </c>
      <c r="O247">
        <v>104.68300000000001</v>
      </c>
      <c r="Q247">
        <v>0</v>
      </c>
      <c r="R247">
        <v>-6</v>
      </c>
      <c r="S247" s="3" t="s">
        <v>640</v>
      </c>
      <c r="T247">
        <v>0</v>
      </c>
      <c r="U247">
        <v>0</v>
      </c>
      <c r="V247">
        <v>0</v>
      </c>
      <c r="W247">
        <v>0</v>
      </c>
      <c r="X247">
        <v>209366</v>
      </c>
      <c r="Y247" s="3" t="s">
        <v>640</v>
      </c>
      <c r="Z247">
        <v>104.68300000000001</v>
      </c>
      <c r="AA247">
        <v>-200000</v>
      </c>
      <c r="AB247" s="3" t="s">
        <v>449</v>
      </c>
      <c r="AC247" s="3" t="s">
        <v>10</v>
      </c>
      <c r="AD247">
        <v>0</v>
      </c>
      <c r="AE247">
        <v>0</v>
      </c>
      <c r="AF247" s="3" t="s">
        <v>640</v>
      </c>
    </row>
    <row r="248" spans="1:32" x14ac:dyDescent="0.35">
      <c r="A248" s="3" t="s">
        <v>608</v>
      </c>
      <c r="B248" s="3" t="s">
        <v>608</v>
      </c>
      <c r="C248" s="3" t="s">
        <v>608</v>
      </c>
      <c r="D248" s="3" t="s">
        <v>608</v>
      </c>
      <c r="E248" s="3" t="s">
        <v>608</v>
      </c>
      <c r="F248" s="3" t="s">
        <v>640</v>
      </c>
      <c r="G248" s="3" t="s">
        <v>585</v>
      </c>
      <c r="H248" s="3" t="s">
        <v>585</v>
      </c>
      <c r="I248" s="3" t="s">
        <v>640</v>
      </c>
      <c r="J248" s="3" t="s">
        <v>4</v>
      </c>
      <c r="K248" s="3" t="s">
        <v>640</v>
      </c>
      <c r="L248" s="3" t="s">
        <v>448</v>
      </c>
      <c r="M248" s="3" t="s">
        <v>14</v>
      </c>
      <c r="N248">
        <v>-2000000</v>
      </c>
      <c r="O248">
        <v>116.19199999999999</v>
      </c>
      <c r="Q248">
        <v>0</v>
      </c>
      <c r="R248">
        <v>-61</v>
      </c>
      <c r="S248" s="3" t="s">
        <v>640</v>
      </c>
      <c r="T248">
        <v>0</v>
      </c>
      <c r="U248">
        <v>0</v>
      </c>
      <c r="V248">
        <v>0</v>
      </c>
      <c r="W248">
        <v>0</v>
      </c>
      <c r="X248">
        <v>2324963</v>
      </c>
      <c r="Y248" s="3" t="s">
        <v>640</v>
      </c>
      <c r="Z248">
        <v>116.19199999999999</v>
      </c>
      <c r="AA248">
        <v>-2000000</v>
      </c>
      <c r="AB248" s="3" t="s">
        <v>449</v>
      </c>
      <c r="AC248" s="3" t="s">
        <v>10</v>
      </c>
      <c r="AD248">
        <v>0</v>
      </c>
      <c r="AE248">
        <v>0</v>
      </c>
      <c r="AF248" s="3" t="s">
        <v>640</v>
      </c>
    </row>
    <row r="249" spans="1:32" x14ac:dyDescent="0.35">
      <c r="A249" s="3" t="s">
        <v>608</v>
      </c>
      <c r="B249" s="3" t="s">
        <v>608</v>
      </c>
      <c r="C249" s="3" t="s">
        <v>608</v>
      </c>
      <c r="D249" s="3" t="s">
        <v>608</v>
      </c>
      <c r="E249" s="3" t="s">
        <v>608</v>
      </c>
      <c r="F249" s="3" t="s">
        <v>640</v>
      </c>
      <c r="G249" s="3" t="s">
        <v>475</v>
      </c>
      <c r="H249" s="3" t="s">
        <v>475</v>
      </c>
      <c r="I249" s="3" t="s">
        <v>640</v>
      </c>
      <c r="J249" s="3" t="s">
        <v>4</v>
      </c>
      <c r="K249" s="3" t="s">
        <v>640</v>
      </c>
      <c r="L249" s="3" t="s">
        <v>448</v>
      </c>
      <c r="M249" s="3" t="s">
        <v>14</v>
      </c>
      <c r="N249">
        <v>-3900000</v>
      </c>
      <c r="O249">
        <v>105.152</v>
      </c>
      <c r="Q249">
        <v>0</v>
      </c>
      <c r="R249">
        <v>-109</v>
      </c>
      <c r="S249" s="3" t="s">
        <v>640</v>
      </c>
      <c r="T249">
        <v>0</v>
      </c>
      <c r="U249">
        <v>0</v>
      </c>
      <c r="V249">
        <v>0</v>
      </c>
      <c r="W249">
        <v>0</v>
      </c>
      <c r="X249">
        <v>4113992</v>
      </c>
      <c r="Y249" s="3" t="s">
        <v>640</v>
      </c>
      <c r="Z249">
        <v>105.152</v>
      </c>
      <c r="AA249">
        <v>-3900000</v>
      </c>
      <c r="AB249" s="3" t="s">
        <v>449</v>
      </c>
      <c r="AC249" s="3" t="s">
        <v>10</v>
      </c>
      <c r="AD249">
        <v>0</v>
      </c>
      <c r="AE249">
        <v>0</v>
      </c>
      <c r="AF249" s="3" t="s">
        <v>640</v>
      </c>
    </row>
    <row r="250" spans="1:32" x14ac:dyDescent="0.35">
      <c r="A250" s="3" t="s">
        <v>608</v>
      </c>
      <c r="B250" s="3" t="s">
        <v>608</v>
      </c>
      <c r="C250" s="3" t="s">
        <v>608</v>
      </c>
      <c r="D250" s="3" t="s">
        <v>608</v>
      </c>
      <c r="E250" s="3" t="s">
        <v>608</v>
      </c>
      <c r="F250" s="3" t="s">
        <v>640</v>
      </c>
      <c r="G250" s="3" t="s">
        <v>531</v>
      </c>
      <c r="H250" s="3" t="s">
        <v>531</v>
      </c>
      <c r="I250" s="3" t="s">
        <v>640</v>
      </c>
      <c r="J250" s="3" t="s">
        <v>4</v>
      </c>
      <c r="K250" s="3" t="s">
        <v>640</v>
      </c>
      <c r="L250" s="3" t="s">
        <v>448</v>
      </c>
      <c r="M250" s="3" t="s">
        <v>14</v>
      </c>
      <c r="N250">
        <v>1000000</v>
      </c>
      <c r="O250">
        <v>84.569000000000003</v>
      </c>
      <c r="Q250">
        <v>0</v>
      </c>
      <c r="R250">
        <v>0</v>
      </c>
      <c r="S250" s="3" t="s">
        <v>640</v>
      </c>
      <c r="T250">
        <v>0</v>
      </c>
      <c r="U250">
        <v>0</v>
      </c>
      <c r="V250">
        <v>0</v>
      </c>
      <c r="W250">
        <v>0</v>
      </c>
      <c r="X250">
        <v>-845692</v>
      </c>
      <c r="Y250" s="3" t="s">
        <v>640</v>
      </c>
      <c r="Z250">
        <v>85.022999999999996</v>
      </c>
      <c r="AA250">
        <v>0</v>
      </c>
      <c r="AB250" s="3" t="s">
        <v>449</v>
      </c>
      <c r="AC250" s="3" t="s">
        <v>10</v>
      </c>
      <c r="AD250">
        <v>0</v>
      </c>
      <c r="AE250">
        <v>0</v>
      </c>
      <c r="AF250" s="3" t="s">
        <v>640</v>
      </c>
    </row>
    <row r="251" spans="1:32" x14ac:dyDescent="0.35">
      <c r="A251" s="3" t="s">
        <v>608</v>
      </c>
      <c r="B251" s="3" t="s">
        <v>608</v>
      </c>
      <c r="C251" s="3" t="s">
        <v>608</v>
      </c>
      <c r="D251" s="3" t="s">
        <v>608</v>
      </c>
      <c r="E251" s="3" t="s">
        <v>608</v>
      </c>
      <c r="F251" s="3" t="s">
        <v>640</v>
      </c>
      <c r="G251" s="3" t="s">
        <v>902</v>
      </c>
      <c r="H251" s="3" t="s">
        <v>902</v>
      </c>
      <c r="I251" s="3" t="s">
        <v>640</v>
      </c>
      <c r="J251" s="3" t="s">
        <v>4</v>
      </c>
      <c r="K251" s="3" t="s">
        <v>640</v>
      </c>
      <c r="L251" s="3" t="s">
        <v>448</v>
      </c>
      <c r="M251" s="3" t="s">
        <v>14</v>
      </c>
      <c r="N251">
        <v>-3100000</v>
      </c>
      <c r="O251">
        <v>103.645</v>
      </c>
      <c r="Q251">
        <v>0</v>
      </c>
      <c r="R251">
        <v>-85</v>
      </c>
      <c r="S251" s="3" t="s">
        <v>640</v>
      </c>
      <c r="T251">
        <v>0</v>
      </c>
      <c r="U251">
        <v>0</v>
      </c>
      <c r="V251">
        <v>0</v>
      </c>
      <c r="W251">
        <v>0</v>
      </c>
      <c r="X251">
        <v>3212994</v>
      </c>
      <c r="Y251" s="3" t="s">
        <v>640</v>
      </c>
      <c r="Z251">
        <v>103.645</v>
      </c>
      <c r="AA251">
        <v>-3100000</v>
      </c>
      <c r="AB251" s="3" t="s">
        <v>449</v>
      </c>
      <c r="AC251" s="3" t="s">
        <v>10</v>
      </c>
      <c r="AD251">
        <v>0</v>
      </c>
      <c r="AE251">
        <v>0</v>
      </c>
      <c r="AF251" s="3" t="s">
        <v>640</v>
      </c>
    </row>
    <row r="252" spans="1:32" x14ac:dyDescent="0.35">
      <c r="A252" s="3" t="s">
        <v>608</v>
      </c>
      <c r="B252" s="3" t="s">
        <v>608</v>
      </c>
      <c r="C252" s="3" t="s">
        <v>608</v>
      </c>
      <c r="D252" s="3" t="s">
        <v>608</v>
      </c>
      <c r="E252" s="3" t="s">
        <v>608</v>
      </c>
      <c r="F252" s="3" t="s">
        <v>640</v>
      </c>
      <c r="G252" s="3" t="s">
        <v>494</v>
      </c>
      <c r="H252" s="3" t="s">
        <v>494</v>
      </c>
      <c r="I252" s="3" t="s">
        <v>640</v>
      </c>
      <c r="J252" s="3" t="s">
        <v>4</v>
      </c>
      <c r="K252" s="3" t="s">
        <v>640</v>
      </c>
      <c r="L252" s="3" t="s">
        <v>448</v>
      </c>
      <c r="M252" s="3" t="s">
        <v>14</v>
      </c>
      <c r="N252">
        <v>-3400000</v>
      </c>
      <c r="O252">
        <v>121.708</v>
      </c>
      <c r="Q252">
        <v>0</v>
      </c>
      <c r="R252">
        <v>-108</v>
      </c>
      <c r="S252" s="3" t="s">
        <v>640</v>
      </c>
      <c r="T252">
        <v>0</v>
      </c>
      <c r="U252">
        <v>0</v>
      </c>
      <c r="V252">
        <v>0</v>
      </c>
      <c r="W252">
        <v>0</v>
      </c>
      <c r="X252">
        <v>4021755</v>
      </c>
      <c r="Y252" s="3" t="s">
        <v>640</v>
      </c>
      <c r="Z252">
        <v>121.708</v>
      </c>
      <c r="AA252">
        <v>-3400000</v>
      </c>
      <c r="AB252" s="3" t="s">
        <v>449</v>
      </c>
      <c r="AC252" s="3" t="s">
        <v>10</v>
      </c>
      <c r="AD252">
        <v>0</v>
      </c>
      <c r="AE252">
        <v>0</v>
      </c>
      <c r="AF252" s="3" t="s">
        <v>640</v>
      </c>
    </row>
    <row r="253" spans="1:32" x14ac:dyDescent="0.35">
      <c r="A253" s="3" t="s">
        <v>608</v>
      </c>
      <c r="B253" s="3" t="s">
        <v>608</v>
      </c>
      <c r="C253" s="3" t="s">
        <v>608</v>
      </c>
      <c r="D253" s="3" t="s">
        <v>608</v>
      </c>
      <c r="E253" s="3" t="s">
        <v>608</v>
      </c>
      <c r="F253" s="3" t="s">
        <v>640</v>
      </c>
      <c r="G253" s="3" t="s">
        <v>548</v>
      </c>
      <c r="H253" s="3" t="s">
        <v>548</v>
      </c>
      <c r="I253" s="3" t="s">
        <v>640</v>
      </c>
      <c r="J253" s="3" t="s">
        <v>266</v>
      </c>
      <c r="K253" s="3" t="s">
        <v>640</v>
      </c>
      <c r="L253" s="3" t="s">
        <v>448</v>
      </c>
      <c r="M253" s="3" t="s">
        <v>14</v>
      </c>
      <c r="N253">
        <v>-11489000</v>
      </c>
      <c r="O253">
        <v>110.62</v>
      </c>
      <c r="Q253">
        <v>0</v>
      </c>
      <c r="R253">
        <v>-105</v>
      </c>
      <c r="S253" s="3" t="s">
        <v>640</v>
      </c>
      <c r="T253">
        <v>0</v>
      </c>
      <c r="U253">
        <v>0</v>
      </c>
      <c r="V253">
        <v>0</v>
      </c>
      <c r="W253">
        <v>0</v>
      </c>
      <c r="X253">
        <v>10875257</v>
      </c>
      <c r="Y253" s="3" t="s">
        <v>640</v>
      </c>
      <c r="Z253">
        <v>110.62</v>
      </c>
      <c r="AA253">
        <v>-11489000</v>
      </c>
      <c r="AB253" s="3" t="s">
        <v>449</v>
      </c>
      <c r="AC253" s="3" t="s">
        <v>10</v>
      </c>
      <c r="AD253">
        <v>0</v>
      </c>
      <c r="AE253">
        <v>0</v>
      </c>
      <c r="AF253" s="3" t="s">
        <v>640</v>
      </c>
    </row>
    <row r="254" spans="1:32" x14ac:dyDescent="0.35">
      <c r="A254" s="3" t="s">
        <v>608</v>
      </c>
      <c r="B254" s="3" t="s">
        <v>608</v>
      </c>
      <c r="C254" s="3" t="s">
        <v>608</v>
      </c>
      <c r="D254" s="3" t="s">
        <v>608</v>
      </c>
      <c r="E254" s="3" t="s">
        <v>608</v>
      </c>
      <c r="F254" s="3" t="s">
        <v>640</v>
      </c>
      <c r="G254" s="3" t="s">
        <v>559</v>
      </c>
      <c r="H254" s="3" t="s">
        <v>559</v>
      </c>
      <c r="I254" s="3" t="s">
        <v>640</v>
      </c>
      <c r="J254" s="3" t="s">
        <v>266</v>
      </c>
      <c r="K254" s="3" t="s">
        <v>640</v>
      </c>
      <c r="L254" s="3" t="s">
        <v>448</v>
      </c>
      <c r="M254" s="3" t="s">
        <v>14</v>
      </c>
      <c r="N254">
        <v>900000</v>
      </c>
      <c r="O254">
        <v>80.483000000000004</v>
      </c>
      <c r="Q254">
        <v>0</v>
      </c>
      <c r="R254">
        <v>-7</v>
      </c>
      <c r="S254" s="3" t="s">
        <v>640</v>
      </c>
      <c r="T254">
        <v>0</v>
      </c>
      <c r="U254">
        <v>0</v>
      </c>
      <c r="V254">
        <v>0</v>
      </c>
      <c r="W254">
        <v>0</v>
      </c>
      <c r="X254">
        <v>-617621</v>
      </c>
      <c r="Y254" s="3" t="s">
        <v>640</v>
      </c>
      <c r="Z254">
        <v>80.483000000000004</v>
      </c>
      <c r="AA254">
        <v>900000</v>
      </c>
      <c r="AB254" s="3" t="s">
        <v>449</v>
      </c>
      <c r="AC254" s="3" t="s">
        <v>10</v>
      </c>
      <c r="AD254">
        <v>0</v>
      </c>
      <c r="AE254">
        <v>0</v>
      </c>
      <c r="AF254" s="3" t="s">
        <v>640</v>
      </c>
    </row>
    <row r="255" spans="1:32" x14ac:dyDescent="0.35">
      <c r="A255" s="3" t="s">
        <v>608</v>
      </c>
      <c r="B255" s="3" t="s">
        <v>608</v>
      </c>
      <c r="C255" s="3" t="s">
        <v>608</v>
      </c>
      <c r="D255" s="3" t="s">
        <v>608</v>
      </c>
      <c r="E255" s="3" t="s">
        <v>608</v>
      </c>
      <c r="F255" s="3" t="s">
        <v>640</v>
      </c>
      <c r="G255" s="3" t="s">
        <v>951</v>
      </c>
      <c r="H255" s="3" t="s">
        <v>951</v>
      </c>
      <c r="I255" s="3" t="s">
        <v>640</v>
      </c>
      <c r="J255" s="3" t="s">
        <v>266</v>
      </c>
      <c r="K255" s="3" t="s">
        <v>640</v>
      </c>
      <c r="L255" s="3" t="s">
        <v>448</v>
      </c>
      <c r="M255" s="3" t="s">
        <v>14</v>
      </c>
      <c r="N255">
        <v>-875000</v>
      </c>
      <c r="O255">
        <v>107.351</v>
      </c>
      <c r="Q255">
        <v>0</v>
      </c>
      <c r="R255">
        <v>-8</v>
      </c>
      <c r="S255" s="3" t="s">
        <v>640</v>
      </c>
      <c r="T255">
        <v>0</v>
      </c>
      <c r="U255">
        <v>0</v>
      </c>
      <c r="V255">
        <v>0</v>
      </c>
      <c r="W255">
        <v>0</v>
      </c>
      <c r="X255">
        <v>800920</v>
      </c>
      <c r="Y255" s="3" t="s">
        <v>640</v>
      </c>
      <c r="Z255">
        <v>107.351</v>
      </c>
      <c r="AA255">
        <v>-875000</v>
      </c>
      <c r="AB255" s="3" t="s">
        <v>449</v>
      </c>
      <c r="AC255" s="3" t="s">
        <v>10</v>
      </c>
      <c r="AD255">
        <v>0</v>
      </c>
      <c r="AE255">
        <v>0</v>
      </c>
      <c r="AF255" s="3" t="s">
        <v>640</v>
      </c>
    </row>
    <row r="256" spans="1:32" x14ac:dyDescent="0.35">
      <c r="A256" s="3" t="s">
        <v>608</v>
      </c>
      <c r="B256" s="3" t="s">
        <v>608</v>
      </c>
      <c r="C256" s="3" t="s">
        <v>608</v>
      </c>
      <c r="D256" s="3" t="s">
        <v>608</v>
      </c>
      <c r="E256" s="3" t="s">
        <v>608</v>
      </c>
      <c r="F256" s="3" t="s">
        <v>640</v>
      </c>
      <c r="G256" s="3" t="s">
        <v>952</v>
      </c>
      <c r="H256" s="3" t="s">
        <v>952</v>
      </c>
      <c r="I256" s="3" t="s">
        <v>640</v>
      </c>
      <c r="J256" s="3" t="s">
        <v>4</v>
      </c>
      <c r="K256" s="3" t="s">
        <v>640</v>
      </c>
      <c r="L256" s="3" t="s">
        <v>448</v>
      </c>
      <c r="M256" s="3" t="s">
        <v>14</v>
      </c>
      <c r="N256">
        <v>-2500000</v>
      </c>
      <c r="O256">
        <v>104.05200000000001</v>
      </c>
      <c r="Q256">
        <v>0</v>
      </c>
      <c r="R256">
        <v>0</v>
      </c>
      <c r="S256" s="3" t="s">
        <v>640</v>
      </c>
      <c r="T256">
        <v>0</v>
      </c>
      <c r="U256">
        <v>0</v>
      </c>
      <c r="V256">
        <v>0</v>
      </c>
      <c r="W256">
        <v>0</v>
      </c>
      <c r="X256">
        <v>2601312</v>
      </c>
      <c r="Y256" s="3" t="s">
        <v>640</v>
      </c>
      <c r="Z256">
        <v>104.05200000000001</v>
      </c>
      <c r="AA256">
        <v>-2500000</v>
      </c>
      <c r="AB256" s="3" t="s">
        <v>449</v>
      </c>
      <c r="AC256" s="3" t="s">
        <v>10</v>
      </c>
      <c r="AD256">
        <v>0</v>
      </c>
      <c r="AE256">
        <v>0</v>
      </c>
      <c r="AF256" s="3" t="s">
        <v>640</v>
      </c>
    </row>
    <row r="257" spans="1:32" x14ac:dyDescent="0.35">
      <c r="A257" s="3" t="s">
        <v>608</v>
      </c>
      <c r="B257" s="3" t="s">
        <v>608</v>
      </c>
      <c r="C257" s="3" t="s">
        <v>608</v>
      </c>
      <c r="D257" s="3" t="s">
        <v>608</v>
      </c>
      <c r="E257" s="3" t="s">
        <v>608</v>
      </c>
      <c r="F257" s="3" t="s">
        <v>640</v>
      </c>
      <c r="G257" s="3" t="s">
        <v>477</v>
      </c>
      <c r="H257" s="3" t="s">
        <v>477</v>
      </c>
      <c r="I257" s="3" t="s">
        <v>640</v>
      </c>
      <c r="J257" s="3" t="s">
        <v>283</v>
      </c>
      <c r="K257" s="3" t="s">
        <v>640</v>
      </c>
      <c r="L257" s="3" t="s">
        <v>448</v>
      </c>
      <c r="M257" s="3" t="s">
        <v>14</v>
      </c>
      <c r="N257">
        <v>-1000000</v>
      </c>
      <c r="O257">
        <v>109.991</v>
      </c>
      <c r="Q257">
        <v>0</v>
      </c>
      <c r="R257">
        <v>-13</v>
      </c>
      <c r="S257" s="3" t="s">
        <v>640</v>
      </c>
      <c r="T257">
        <v>0</v>
      </c>
      <c r="U257">
        <v>0</v>
      </c>
      <c r="V257">
        <v>0</v>
      </c>
      <c r="W257">
        <v>0</v>
      </c>
      <c r="X257">
        <v>1216804</v>
      </c>
      <c r="Y257" s="3" t="s">
        <v>640</v>
      </c>
      <c r="Z257">
        <v>109.991</v>
      </c>
      <c r="AA257">
        <v>-1000000</v>
      </c>
      <c r="AB257" s="3" t="s">
        <v>449</v>
      </c>
      <c r="AC257" s="3" t="s">
        <v>10</v>
      </c>
      <c r="AD257">
        <v>0</v>
      </c>
      <c r="AE257">
        <v>0</v>
      </c>
      <c r="AF257" s="3" t="s">
        <v>640</v>
      </c>
    </row>
    <row r="258" spans="1:32" x14ac:dyDescent="0.35">
      <c r="A258" s="3" t="s">
        <v>608</v>
      </c>
      <c r="B258" s="3" t="s">
        <v>608</v>
      </c>
      <c r="C258" s="3" t="s">
        <v>608</v>
      </c>
      <c r="D258" s="3" t="s">
        <v>608</v>
      </c>
      <c r="E258" s="3" t="s">
        <v>608</v>
      </c>
      <c r="F258" s="3" t="s">
        <v>640</v>
      </c>
      <c r="G258" s="3" t="s">
        <v>447</v>
      </c>
      <c r="H258" s="3" t="s">
        <v>447</v>
      </c>
      <c r="I258" s="3" t="s">
        <v>640</v>
      </c>
      <c r="J258" s="3" t="s">
        <v>4</v>
      </c>
      <c r="K258" s="3" t="s">
        <v>640</v>
      </c>
      <c r="L258" s="3" t="s">
        <v>448</v>
      </c>
      <c r="M258" s="3" t="s">
        <v>14</v>
      </c>
      <c r="N258">
        <v>-500000</v>
      </c>
      <c r="O258">
        <v>112.52200000000001</v>
      </c>
      <c r="Q258">
        <v>0</v>
      </c>
      <c r="R258">
        <v>0</v>
      </c>
      <c r="S258" s="3" t="s">
        <v>640</v>
      </c>
      <c r="T258">
        <v>0</v>
      </c>
      <c r="U258">
        <v>0</v>
      </c>
      <c r="V258">
        <v>0</v>
      </c>
      <c r="W258">
        <v>0</v>
      </c>
      <c r="X258">
        <v>562609</v>
      </c>
      <c r="Y258" s="3" t="s">
        <v>640</v>
      </c>
      <c r="Z258">
        <v>112.919</v>
      </c>
      <c r="AA258">
        <v>0</v>
      </c>
      <c r="AB258" s="3" t="s">
        <v>449</v>
      </c>
      <c r="AC258" s="3" t="s">
        <v>10</v>
      </c>
      <c r="AD258">
        <v>0</v>
      </c>
      <c r="AE258">
        <v>0</v>
      </c>
      <c r="AF258" s="3" t="s">
        <v>640</v>
      </c>
    </row>
    <row r="259" spans="1:32" x14ac:dyDescent="0.35">
      <c r="A259" s="3" t="s">
        <v>608</v>
      </c>
      <c r="B259" s="3" t="s">
        <v>608</v>
      </c>
      <c r="C259" s="3" t="s">
        <v>608</v>
      </c>
      <c r="D259" s="3" t="s">
        <v>608</v>
      </c>
      <c r="E259" s="3" t="s">
        <v>608</v>
      </c>
      <c r="F259" s="3" t="s">
        <v>640</v>
      </c>
      <c r="G259" s="3" t="s">
        <v>461</v>
      </c>
      <c r="H259" s="3" t="s">
        <v>461</v>
      </c>
      <c r="I259" s="3" t="s">
        <v>640</v>
      </c>
      <c r="J259" s="3" t="s">
        <v>266</v>
      </c>
      <c r="K259" s="3" t="s">
        <v>640</v>
      </c>
      <c r="L259" s="3" t="s">
        <v>448</v>
      </c>
      <c r="M259" s="3" t="s">
        <v>14</v>
      </c>
      <c r="N259">
        <v>-5630000</v>
      </c>
      <c r="O259">
        <v>121.64100000000001</v>
      </c>
      <c r="Q259">
        <v>0</v>
      </c>
      <c r="R259">
        <v>-57</v>
      </c>
      <c r="S259" s="3" t="s">
        <v>640</v>
      </c>
      <c r="T259">
        <v>0</v>
      </c>
      <c r="U259">
        <v>0</v>
      </c>
      <c r="V259">
        <v>0</v>
      </c>
      <c r="W259">
        <v>0</v>
      </c>
      <c r="X259">
        <v>5839333</v>
      </c>
      <c r="Y259" s="3" t="s">
        <v>640</v>
      </c>
      <c r="Z259">
        <v>121.64100000000001</v>
      </c>
      <c r="AA259">
        <v>-5630000</v>
      </c>
      <c r="AB259" s="3" t="s">
        <v>449</v>
      </c>
      <c r="AC259" s="3" t="s">
        <v>10</v>
      </c>
      <c r="AD259">
        <v>0</v>
      </c>
      <c r="AE259">
        <v>0</v>
      </c>
      <c r="AF259" s="3" t="s">
        <v>640</v>
      </c>
    </row>
    <row r="260" spans="1:32" x14ac:dyDescent="0.35">
      <c r="A260" s="3" t="s">
        <v>608</v>
      </c>
      <c r="B260" s="3" t="s">
        <v>608</v>
      </c>
      <c r="C260" s="3" t="s">
        <v>608</v>
      </c>
      <c r="D260" s="3" t="s">
        <v>608</v>
      </c>
      <c r="E260" s="3" t="s">
        <v>608</v>
      </c>
      <c r="F260" s="3" t="s">
        <v>640</v>
      </c>
      <c r="G260" s="3" t="s">
        <v>462</v>
      </c>
      <c r="H260" s="3" t="s">
        <v>462</v>
      </c>
      <c r="I260" s="3" t="s">
        <v>640</v>
      </c>
      <c r="J260" s="3" t="s">
        <v>4</v>
      </c>
      <c r="K260" s="3" t="s">
        <v>640</v>
      </c>
      <c r="L260" s="3" t="s">
        <v>448</v>
      </c>
      <c r="M260" s="3" t="s">
        <v>14</v>
      </c>
      <c r="N260">
        <v>-200000</v>
      </c>
      <c r="O260">
        <v>104.22499999999999</v>
      </c>
      <c r="Q260">
        <v>0</v>
      </c>
      <c r="R260">
        <v>-6</v>
      </c>
      <c r="S260" s="3" t="s">
        <v>640</v>
      </c>
      <c r="T260">
        <v>0</v>
      </c>
      <c r="U260">
        <v>0</v>
      </c>
      <c r="V260">
        <v>0</v>
      </c>
      <c r="W260">
        <v>0</v>
      </c>
      <c r="X260">
        <v>208450</v>
      </c>
      <c r="Y260" s="3" t="s">
        <v>640</v>
      </c>
      <c r="Z260">
        <v>104.22499999999999</v>
      </c>
      <c r="AA260">
        <v>-200000</v>
      </c>
      <c r="AB260" s="3" t="s">
        <v>449</v>
      </c>
      <c r="AC260" s="3" t="s">
        <v>10</v>
      </c>
      <c r="AD260">
        <v>0</v>
      </c>
      <c r="AE260">
        <v>0</v>
      </c>
      <c r="AF260" s="3" t="s">
        <v>640</v>
      </c>
    </row>
    <row r="261" spans="1:32" x14ac:dyDescent="0.35">
      <c r="A261" s="3" t="s">
        <v>608</v>
      </c>
      <c r="B261" s="3" t="s">
        <v>608</v>
      </c>
      <c r="C261" s="3" t="s">
        <v>608</v>
      </c>
      <c r="D261" s="3" t="s">
        <v>608</v>
      </c>
      <c r="E261" s="3" t="s">
        <v>608</v>
      </c>
      <c r="F261" s="3" t="s">
        <v>640</v>
      </c>
      <c r="G261" s="3" t="s">
        <v>849</v>
      </c>
      <c r="H261" s="3" t="s">
        <v>849</v>
      </c>
      <c r="I261" s="3" t="s">
        <v>640</v>
      </c>
      <c r="J261" s="3" t="s">
        <v>4</v>
      </c>
      <c r="K261" s="3" t="s">
        <v>640</v>
      </c>
      <c r="L261" s="3" t="s">
        <v>448</v>
      </c>
      <c r="M261" s="3" t="s">
        <v>14</v>
      </c>
      <c r="N261">
        <v>-922000</v>
      </c>
      <c r="O261">
        <v>133.75</v>
      </c>
      <c r="Q261">
        <v>0</v>
      </c>
      <c r="R261">
        <v>-89</v>
      </c>
      <c r="S261" s="3" t="s">
        <v>640</v>
      </c>
      <c r="T261">
        <v>0</v>
      </c>
      <c r="U261">
        <v>0</v>
      </c>
      <c r="V261">
        <v>0</v>
      </c>
      <c r="W261">
        <v>0</v>
      </c>
      <c r="X261">
        <v>1233175</v>
      </c>
      <c r="Y261" s="3" t="s">
        <v>640</v>
      </c>
      <c r="Z261">
        <v>133.75</v>
      </c>
      <c r="AA261">
        <v>-1922000</v>
      </c>
      <c r="AB261" s="3" t="s">
        <v>449</v>
      </c>
      <c r="AC261" s="3" t="s">
        <v>10</v>
      </c>
      <c r="AD261">
        <v>0</v>
      </c>
      <c r="AE261">
        <v>0</v>
      </c>
      <c r="AF261" s="3" t="s">
        <v>640</v>
      </c>
    </row>
    <row r="262" spans="1:32" x14ac:dyDescent="0.35">
      <c r="A262" s="3" t="s">
        <v>608</v>
      </c>
      <c r="B262" s="3" t="s">
        <v>608</v>
      </c>
      <c r="C262" s="3" t="s">
        <v>608</v>
      </c>
      <c r="D262" s="3" t="s">
        <v>608</v>
      </c>
      <c r="E262" s="3" t="s">
        <v>608</v>
      </c>
      <c r="F262" s="3" t="s">
        <v>640</v>
      </c>
      <c r="G262" s="3" t="s">
        <v>554</v>
      </c>
      <c r="H262" s="3" t="s">
        <v>554</v>
      </c>
      <c r="I262" s="3" t="s">
        <v>640</v>
      </c>
      <c r="J262" s="3" t="s">
        <v>4</v>
      </c>
      <c r="K262" s="3" t="s">
        <v>640</v>
      </c>
      <c r="L262" s="3" t="s">
        <v>448</v>
      </c>
      <c r="M262" s="3" t="s">
        <v>14</v>
      </c>
      <c r="N262">
        <v>-3200000</v>
      </c>
      <c r="O262">
        <v>104.14100000000001</v>
      </c>
      <c r="Q262">
        <v>0</v>
      </c>
      <c r="R262">
        <v>-88</v>
      </c>
      <c r="S262" s="3" t="s">
        <v>640</v>
      </c>
      <c r="T262">
        <v>0</v>
      </c>
      <c r="U262">
        <v>0</v>
      </c>
      <c r="V262">
        <v>0</v>
      </c>
      <c r="W262">
        <v>0</v>
      </c>
      <c r="X262">
        <v>3331154</v>
      </c>
      <c r="Y262" s="3" t="s">
        <v>640</v>
      </c>
      <c r="Z262">
        <v>104.14100000000001</v>
      </c>
      <c r="AA262">
        <v>-3200000</v>
      </c>
      <c r="AB262" s="3" t="s">
        <v>449</v>
      </c>
      <c r="AC262" s="3" t="s">
        <v>10</v>
      </c>
      <c r="AD262">
        <v>0</v>
      </c>
      <c r="AE262">
        <v>0</v>
      </c>
      <c r="AF262" s="3" t="s">
        <v>640</v>
      </c>
    </row>
    <row r="263" spans="1:32" x14ac:dyDescent="0.35">
      <c r="A263" s="3" t="s">
        <v>608</v>
      </c>
      <c r="B263" s="3" t="s">
        <v>608</v>
      </c>
      <c r="C263" s="3" t="s">
        <v>608</v>
      </c>
      <c r="D263" s="3" t="s">
        <v>608</v>
      </c>
      <c r="E263" s="3" t="s">
        <v>608</v>
      </c>
      <c r="F263" s="3" t="s">
        <v>640</v>
      </c>
      <c r="G263" s="3" t="s">
        <v>470</v>
      </c>
      <c r="H263" s="3" t="s">
        <v>470</v>
      </c>
      <c r="I263" s="3" t="s">
        <v>640</v>
      </c>
      <c r="J263" s="3" t="s">
        <v>4</v>
      </c>
      <c r="K263" s="3" t="s">
        <v>640</v>
      </c>
      <c r="L263" s="3" t="s">
        <v>448</v>
      </c>
      <c r="M263" s="3" t="s">
        <v>14</v>
      </c>
      <c r="N263">
        <v>12558000</v>
      </c>
      <c r="O263">
        <v>76.506</v>
      </c>
      <c r="Q263">
        <v>0</v>
      </c>
      <c r="R263">
        <v>67</v>
      </c>
      <c r="S263" s="3" t="s">
        <v>640</v>
      </c>
      <c r="T263">
        <v>0</v>
      </c>
      <c r="U263">
        <v>0</v>
      </c>
      <c r="V263">
        <v>0</v>
      </c>
      <c r="W263">
        <v>0</v>
      </c>
      <c r="X263">
        <v>-9618334</v>
      </c>
      <c r="Y263" s="3" t="s">
        <v>640</v>
      </c>
      <c r="Z263">
        <v>76.506</v>
      </c>
      <c r="AA263">
        <v>12558000</v>
      </c>
      <c r="AB263" s="3" t="s">
        <v>449</v>
      </c>
      <c r="AC263" s="3" t="s">
        <v>10</v>
      </c>
      <c r="AD263">
        <v>0</v>
      </c>
      <c r="AE263">
        <v>0</v>
      </c>
      <c r="AF263" s="3" t="s">
        <v>640</v>
      </c>
    </row>
    <row r="264" spans="1:32" x14ac:dyDescent="0.35">
      <c r="A264" s="3" t="s">
        <v>608</v>
      </c>
      <c r="B264" s="3" t="s">
        <v>608</v>
      </c>
      <c r="C264" s="3" t="s">
        <v>608</v>
      </c>
      <c r="D264" s="3" t="s">
        <v>608</v>
      </c>
      <c r="E264" s="3" t="s">
        <v>608</v>
      </c>
      <c r="F264" s="3" t="s">
        <v>640</v>
      </c>
      <c r="G264" s="3" t="s">
        <v>490</v>
      </c>
      <c r="H264" s="3" t="s">
        <v>490</v>
      </c>
      <c r="I264" s="3" t="s">
        <v>640</v>
      </c>
      <c r="J264" s="3" t="s">
        <v>283</v>
      </c>
      <c r="K264" s="3" t="s">
        <v>640</v>
      </c>
      <c r="L264" s="3" t="s">
        <v>448</v>
      </c>
      <c r="M264" s="3" t="s">
        <v>14</v>
      </c>
      <c r="N264">
        <v>0</v>
      </c>
      <c r="O264">
        <v>79.870999999999995</v>
      </c>
      <c r="Q264">
        <v>0</v>
      </c>
      <c r="R264">
        <v>0</v>
      </c>
      <c r="S264" s="3" t="s">
        <v>640</v>
      </c>
      <c r="T264">
        <v>0</v>
      </c>
      <c r="U264">
        <v>0</v>
      </c>
      <c r="V264">
        <v>0</v>
      </c>
      <c r="W264">
        <v>0</v>
      </c>
      <c r="X264">
        <v>0</v>
      </c>
      <c r="Y264" s="3" t="s">
        <v>640</v>
      </c>
      <c r="Z264">
        <v>79.870999999999995</v>
      </c>
      <c r="AA264">
        <v>0</v>
      </c>
      <c r="AB264" s="3" t="s">
        <v>449</v>
      </c>
      <c r="AC264" s="3" t="s">
        <v>10</v>
      </c>
      <c r="AD264">
        <v>0</v>
      </c>
      <c r="AE264">
        <v>0</v>
      </c>
      <c r="AF264" s="3" t="s">
        <v>640</v>
      </c>
    </row>
    <row r="265" spans="1:32" x14ac:dyDescent="0.35">
      <c r="A265" s="3" t="s">
        <v>608</v>
      </c>
      <c r="B265" s="3" t="s">
        <v>608</v>
      </c>
      <c r="C265" s="3" t="s">
        <v>608</v>
      </c>
      <c r="D265" s="3" t="s">
        <v>608</v>
      </c>
      <c r="E265" s="3" t="s">
        <v>608</v>
      </c>
      <c r="F265" s="3" t="s">
        <v>640</v>
      </c>
      <c r="G265" s="3" t="s">
        <v>1195</v>
      </c>
      <c r="H265" s="3" t="s">
        <v>1195</v>
      </c>
      <c r="I265" s="3" t="s">
        <v>640</v>
      </c>
      <c r="J265" s="3" t="s">
        <v>4</v>
      </c>
      <c r="K265" s="3" t="s">
        <v>640</v>
      </c>
      <c r="L265" s="3" t="s">
        <v>448</v>
      </c>
      <c r="M265" s="3" t="s">
        <v>14</v>
      </c>
      <c r="N265">
        <v>2000000</v>
      </c>
      <c r="O265">
        <v>80.126000000000005</v>
      </c>
      <c r="Q265">
        <v>0</v>
      </c>
      <c r="R265">
        <v>0</v>
      </c>
      <c r="S265" s="3" t="s">
        <v>640</v>
      </c>
      <c r="T265">
        <v>0</v>
      </c>
      <c r="U265">
        <v>0</v>
      </c>
      <c r="V265">
        <v>0</v>
      </c>
      <c r="W265">
        <v>0</v>
      </c>
      <c r="X265">
        <v>-1602527</v>
      </c>
      <c r="Y265" s="3" t="s">
        <v>640</v>
      </c>
      <c r="Z265">
        <v>0</v>
      </c>
      <c r="AA265">
        <v>0</v>
      </c>
      <c r="AB265" s="3" t="s">
        <v>449</v>
      </c>
      <c r="AC265" s="3" t="s">
        <v>10</v>
      </c>
      <c r="AD265">
        <v>0</v>
      </c>
      <c r="AE265">
        <v>0</v>
      </c>
      <c r="AF265" s="3" t="s">
        <v>640</v>
      </c>
    </row>
    <row r="266" spans="1:32" x14ac:dyDescent="0.35">
      <c r="A266" s="3" t="s">
        <v>608</v>
      </c>
      <c r="B266" s="3" t="s">
        <v>608</v>
      </c>
      <c r="C266" s="3" t="s">
        <v>608</v>
      </c>
      <c r="D266" s="3" t="s">
        <v>608</v>
      </c>
      <c r="E266" s="3" t="s">
        <v>608</v>
      </c>
      <c r="F266" s="3" t="s">
        <v>640</v>
      </c>
      <c r="G266" s="3" t="s">
        <v>537</v>
      </c>
      <c r="H266" s="3" t="s">
        <v>537</v>
      </c>
      <c r="I266" s="3" t="s">
        <v>640</v>
      </c>
      <c r="J266" s="3" t="s">
        <v>4</v>
      </c>
      <c r="K266" s="3" t="s">
        <v>640</v>
      </c>
      <c r="L266" s="3" t="s">
        <v>448</v>
      </c>
      <c r="M266" s="3" t="s">
        <v>14</v>
      </c>
      <c r="N266">
        <v>-1000000</v>
      </c>
      <c r="O266">
        <v>103</v>
      </c>
      <c r="Q266">
        <v>0</v>
      </c>
      <c r="R266">
        <v>-27</v>
      </c>
      <c r="S266" s="3" t="s">
        <v>640</v>
      </c>
      <c r="T266">
        <v>0</v>
      </c>
      <c r="U266">
        <v>0</v>
      </c>
      <c r="V266">
        <v>0</v>
      </c>
      <c r="W266">
        <v>0</v>
      </c>
      <c r="X266">
        <v>1030004</v>
      </c>
      <c r="Y266" s="3" t="s">
        <v>640</v>
      </c>
      <c r="Z266">
        <v>103</v>
      </c>
      <c r="AA266">
        <v>-1000000</v>
      </c>
      <c r="AB266" s="3" t="s">
        <v>449</v>
      </c>
      <c r="AC266" s="3" t="s">
        <v>10</v>
      </c>
      <c r="AD266">
        <v>0</v>
      </c>
      <c r="AE266">
        <v>0</v>
      </c>
      <c r="AF266" s="3" t="s">
        <v>640</v>
      </c>
    </row>
    <row r="267" spans="1:32" x14ac:dyDescent="0.35">
      <c r="A267" s="3" t="s">
        <v>608</v>
      </c>
      <c r="B267" s="3" t="s">
        <v>608</v>
      </c>
      <c r="C267" s="3" t="s">
        <v>608</v>
      </c>
      <c r="D267" s="3" t="s">
        <v>608</v>
      </c>
      <c r="E267" s="3" t="s">
        <v>608</v>
      </c>
      <c r="F267" s="3" t="s">
        <v>640</v>
      </c>
      <c r="G267" s="3" t="s">
        <v>457</v>
      </c>
      <c r="H267" s="3" t="s">
        <v>457</v>
      </c>
      <c r="I267" s="3" t="s">
        <v>640</v>
      </c>
      <c r="J267" s="3" t="s">
        <v>4</v>
      </c>
      <c r="K267" s="3" t="s">
        <v>640</v>
      </c>
      <c r="L267" s="3" t="s">
        <v>448</v>
      </c>
      <c r="M267" s="3" t="s">
        <v>14</v>
      </c>
      <c r="N267">
        <v>4784000</v>
      </c>
      <c r="O267">
        <v>90.385000000000005</v>
      </c>
      <c r="Q267">
        <v>0</v>
      </c>
      <c r="R267">
        <v>30</v>
      </c>
      <c r="S267" s="3" t="s">
        <v>640</v>
      </c>
      <c r="T267">
        <v>0</v>
      </c>
      <c r="U267">
        <v>0</v>
      </c>
      <c r="V267">
        <v>0</v>
      </c>
      <c r="W267">
        <v>0</v>
      </c>
      <c r="X267">
        <v>-4323997</v>
      </c>
      <c r="Y267" s="3" t="s">
        <v>640</v>
      </c>
      <c r="Z267">
        <v>90.385000000000005</v>
      </c>
      <c r="AA267">
        <v>4784000</v>
      </c>
      <c r="AB267" s="3" t="s">
        <v>449</v>
      </c>
      <c r="AC267" s="3" t="s">
        <v>10</v>
      </c>
      <c r="AD267">
        <v>0</v>
      </c>
      <c r="AE267">
        <v>0</v>
      </c>
      <c r="AF267" s="3" t="s">
        <v>640</v>
      </c>
    </row>
    <row r="268" spans="1:32" x14ac:dyDescent="0.35">
      <c r="A268" s="3" t="s">
        <v>608</v>
      </c>
      <c r="B268" s="3" t="s">
        <v>608</v>
      </c>
      <c r="C268" s="3" t="s">
        <v>608</v>
      </c>
      <c r="D268" s="3" t="s">
        <v>608</v>
      </c>
      <c r="E268" s="3" t="s">
        <v>608</v>
      </c>
      <c r="F268" s="3" t="s">
        <v>640</v>
      </c>
      <c r="G268" s="3" t="s">
        <v>460</v>
      </c>
      <c r="H268" s="3" t="s">
        <v>460</v>
      </c>
      <c r="I268" s="3" t="s">
        <v>640</v>
      </c>
      <c r="J268" s="3" t="s">
        <v>4</v>
      </c>
      <c r="K268" s="3" t="s">
        <v>640</v>
      </c>
      <c r="L268" s="3" t="s">
        <v>448</v>
      </c>
      <c r="M268" s="3" t="s">
        <v>14</v>
      </c>
      <c r="N268">
        <v>1000000</v>
      </c>
      <c r="O268">
        <v>89.230999999999995</v>
      </c>
      <c r="Q268">
        <v>0</v>
      </c>
      <c r="R268">
        <v>28</v>
      </c>
      <c r="S268" s="3" t="s">
        <v>640</v>
      </c>
      <c r="T268">
        <v>0</v>
      </c>
      <c r="U268">
        <v>0</v>
      </c>
      <c r="V268">
        <v>0</v>
      </c>
      <c r="W268">
        <v>0</v>
      </c>
      <c r="X268">
        <v>-851758</v>
      </c>
      <c r="Y268" s="3" t="s">
        <v>640</v>
      </c>
      <c r="Z268">
        <v>89.230999999999995</v>
      </c>
      <c r="AA268">
        <v>4300000</v>
      </c>
      <c r="AB268" s="3" t="s">
        <v>449</v>
      </c>
      <c r="AC268" s="3" t="s">
        <v>10</v>
      </c>
      <c r="AD268">
        <v>0</v>
      </c>
      <c r="AE268">
        <v>0</v>
      </c>
      <c r="AF268" s="3" t="s">
        <v>640</v>
      </c>
    </row>
    <row r="269" spans="1:32" x14ac:dyDescent="0.35">
      <c r="A269" s="3" t="s">
        <v>608</v>
      </c>
      <c r="B269" s="3" t="s">
        <v>608</v>
      </c>
      <c r="C269" s="3" t="s">
        <v>608</v>
      </c>
      <c r="D269" s="3" t="s">
        <v>608</v>
      </c>
      <c r="E269" s="3" t="s">
        <v>608</v>
      </c>
      <c r="F269" s="3" t="s">
        <v>640</v>
      </c>
      <c r="G269" s="3" t="s">
        <v>463</v>
      </c>
      <c r="H269" s="3" t="s">
        <v>463</v>
      </c>
      <c r="I269" s="3" t="s">
        <v>640</v>
      </c>
      <c r="J269" s="3" t="s">
        <v>4</v>
      </c>
      <c r="K269" s="3" t="s">
        <v>640</v>
      </c>
      <c r="L269" s="3" t="s">
        <v>448</v>
      </c>
      <c r="M269" s="3" t="s">
        <v>14</v>
      </c>
      <c r="N269">
        <v>1500000</v>
      </c>
      <c r="O269">
        <v>91.61</v>
      </c>
      <c r="Q269">
        <v>0</v>
      </c>
      <c r="R269">
        <v>10</v>
      </c>
      <c r="S269" s="3" t="s">
        <v>640</v>
      </c>
      <c r="T269">
        <v>0</v>
      </c>
      <c r="U269">
        <v>0</v>
      </c>
      <c r="V269">
        <v>0</v>
      </c>
      <c r="W269">
        <v>0</v>
      </c>
      <c r="X269">
        <v>-1374149</v>
      </c>
      <c r="Y269" s="3" t="s">
        <v>640</v>
      </c>
      <c r="Z269">
        <v>91.61</v>
      </c>
      <c r="AA269">
        <v>1500000</v>
      </c>
      <c r="AB269" s="3" t="s">
        <v>449</v>
      </c>
      <c r="AC269" s="3" t="s">
        <v>10</v>
      </c>
      <c r="AD269">
        <v>0</v>
      </c>
      <c r="AE269">
        <v>0</v>
      </c>
      <c r="AF269" s="3" t="s">
        <v>640</v>
      </c>
    </row>
    <row r="270" spans="1:32" x14ac:dyDescent="0.35">
      <c r="A270" s="3" t="s">
        <v>608</v>
      </c>
      <c r="B270" s="3" t="s">
        <v>608</v>
      </c>
      <c r="C270" s="3" t="s">
        <v>608</v>
      </c>
      <c r="D270" s="3" t="s">
        <v>608</v>
      </c>
      <c r="E270" s="3" t="s">
        <v>608</v>
      </c>
      <c r="F270" s="3" t="s">
        <v>640</v>
      </c>
      <c r="G270" s="3" t="s">
        <v>458</v>
      </c>
      <c r="H270" s="3" t="s">
        <v>458</v>
      </c>
      <c r="I270" s="3" t="s">
        <v>640</v>
      </c>
      <c r="J270" s="3" t="s">
        <v>283</v>
      </c>
      <c r="K270" s="3" t="s">
        <v>640</v>
      </c>
      <c r="L270" s="3" t="s">
        <v>448</v>
      </c>
      <c r="M270" s="3" t="s">
        <v>14</v>
      </c>
      <c r="N270">
        <v>-200000</v>
      </c>
      <c r="O270">
        <v>87.355000000000004</v>
      </c>
      <c r="Q270">
        <v>0</v>
      </c>
      <c r="R270">
        <v>-1</v>
      </c>
      <c r="S270" s="3" t="s">
        <v>640</v>
      </c>
      <c r="T270">
        <v>0</v>
      </c>
      <c r="U270">
        <v>0</v>
      </c>
      <c r="V270">
        <v>0</v>
      </c>
      <c r="W270">
        <v>0</v>
      </c>
      <c r="X270">
        <v>194407</v>
      </c>
      <c r="Y270" s="3" t="s">
        <v>640</v>
      </c>
      <c r="Z270">
        <v>87.355000000000004</v>
      </c>
      <c r="AA270">
        <v>-200000</v>
      </c>
      <c r="AB270" s="3" t="s">
        <v>449</v>
      </c>
      <c r="AC270" s="3" t="s">
        <v>10</v>
      </c>
      <c r="AD270">
        <v>0</v>
      </c>
      <c r="AE270">
        <v>0</v>
      </c>
      <c r="AF270" s="3" t="s">
        <v>640</v>
      </c>
    </row>
    <row r="271" spans="1:32" x14ac:dyDescent="0.35">
      <c r="A271" s="3" t="s">
        <v>608</v>
      </c>
      <c r="B271" s="3" t="s">
        <v>608</v>
      </c>
      <c r="C271" s="3" t="s">
        <v>608</v>
      </c>
      <c r="D271" s="3" t="s">
        <v>608</v>
      </c>
      <c r="E271" s="3" t="s">
        <v>608</v>
      </c>
      <c r="F271" s="3" t="s">
        <v>640</v>
      </c>
      <c r="G271" s="3" t="s">
        <v>456</v>
      </c>
      <c r="H271" s="3" t="s">
        <v>456</v>
      </c>
      <c r="I271" s="3" t="s">
        <v>640</v>
      </c>
      <c r="J271" s="3" t="s">
        <v>4</v>
      </c>
      <c r="K271" s="3" t="s">
        <v>640</v>
      </c>
      <c r="L271" s="3" t="s">
        <v>448</v>
      </c>
      <c r="M271" s="3" t="s">
        <v>14</v>
      </c>
      <c r="N271">
        <v>-1000000</v>
      </c>
      <c r="O271">
        <v>100.65600000000001</v>
      </c>
      <c r="Q271">
        <v>0</v>
      </c>
      <c r="R271">
        <v>-25</v>
      </c>
      <c r="S271" s="3" t="s">
        <v>640</v>
      </c>
      <c r="T271">
        <v>0</v>
      </c>
      <c r="U271">
        <v>0</v>
      </c>
      <c r="V271">
        <v>0</v>
      </c>
      <c r="W271">
        <v>0</v>
      </c>
      <c r="X271">
        <v>1006561</v>
      </c>
      <c r="Y271" s="3" t="s">
        <v>640</v>
      </c>
      <c r="Z271">
        <v>100.65600000000001</v>
      </c>
      <c r="AA271">
        <v>-1000000</v>
      </c>
      <c r="AB271" s="3" t="s">
        <v>449</v>
      </c>
      <c r="AC271" s="3" t="s">
        <v>10</v>
      </c>
      <c r="AD271">
        <v>0</v>
      </c>
      <c r="AE271">
        <v>0</v>
      </c>
      <c r="AF271" s="3" t="s">
        <v>640</v>
      </c>
    </row>
    <row r="272" spans="1:32" x14ac:dyDescent="0.35">
      <c r="A272" s="3" t="s">
        <v>608</v>
      </c>
      <c r="B272" s="3" t="s">
        <v>608</v>
      </c>
      <c r="C272" s="3" t="s">
        <v>608</v>
      </c>
      <c r="D272" s="3" t="s">
        <v>608</v>
      </c>
      <c r="E272" s="3" t="s">
        <v>608</v>
      </c>
      <c r="F272" s="3" t="s">
        <v>640</v>
      </c>
      <c r="G272" s="3" t="s">
        <v>459</v>
      </c>
      <c r="H272" s="3" t="s">
        <v>459</v>
      </c>
      <c r="I272" s="3" t="s">
        <v>640</v>
      </c>
      <c r="J272" s="3" t="s">
        <v>4</v>
      </c>
      <c r="K272" s="3" t="s">
        <v>640</v>
      </c>
      <c r="L272" s="3" t="s">
        <v>448</v>
      </c>
      <c r="M272" s="3" t="s">
        <v>14</v>
      </c>
      <c r="N272">
        <v>-1300000</v>
      </c>
      <c r="O272">
        <v>107.764</v>
      </c>
      <c r="Q272">
        <v>0</v>
      </c>
      <c r="R272">
        <v>-37</v>
      </c>
      <c r="S272" s="3" t="s">
        <v>640</v>
      </c>
      <c r="T272">
        <v>0</v>
      </c>
      <c r="U272">
        <v>0</v>
      </c>
      <c r="V272">
        <v>0</v>
      </c>
      <c r="W272">
        <v>0</v>
      </c>
      <c r="X272">
        <v>1400935</v>
      </c>
      <c r="Y272" s="3" t="s">
        <v>640</v>
      </c>
      <c r="Z272">
        <v>107.764</v>
      </c>
      <c r="AA272">
        <v>-1300000</v>
      </c>
      <c r="AB272" s="3" t="s">
        <v>449</v>
      </c>
      <c r="AC272" s="3" t="s">
        <v>10</v>
      </c>
      <c r="AD272">
        <v>0</v>
      </c>
      <c r="AE272">
        <v>0</v>
      </c>
      <c r="AF272" s="3" t="s">
        <v>640</v>
      </c>
    </row>
    <row r="273" spans="1:32" x14ac:dyDescent="0.35">
      <c r="A273" s="3" t="s">
        <v>608</v>
      </c>
      <c r="B273" s="3" t="s">
        <v>608</v>
      </c>
      <c r="C273" s="3" t="s">
        <v>608</v>
      </c>
      <c r="D273" s="3" t="s">
        <v>608</v>
      </c>
      <c r="E273" s="3" t="s">
        <v>608</v>
      </c>
      <c r="F273" s="3" t="s">
        <v>640</v>
      </c>
      <c r="G273" s="3" t="s">
        <v>920</v>
      </c>
      <c r="H273" s="3" t="s">
        <v>920</v>
      </c>
      <c r="I273" s="3" t="s">
        <v>640</v>
      </c>
      <c r="J273" s="3" t="s">
        <v>4</v>
      </c>
      <c r="K273" s="3" t="s">
        <v>640</v>
      </c>
      <c r="L273" s="3" t="s">
        <v>448</v>
      </c>
      <c r="M273" s="3" t="s">
        <v>14</v>
      </c>
      <c r="N273">
        <v>-6000000</v>
      </c>
      <c r="O273">
        <v>105.10599999999999</v>
      </c>
      <c r="Q273">
        <v>0</v>
      </c>
      <c r="R273">
        <v>-166</v>
      </c>
      <c r="S273" s="3" t="s">
        <v>640</v>
      </c>
      <c r="T273">
        <v>0</v>
      </c>
      <c r="U273">
        <v>0</v>
      </c>
      <c r="V273">
        <v>0</v>
      </c>
      <c r="W273">
        <v>0</v>
      </c>
      <c r="X273">
        <v>6306383</v>
      </c>
      <c r="Y273" s="3" t="s">
        <v>640</v>
      </c>
      <c r="Z273">
        <v>105.10599999999999</v>
      </c>
      <c r="AA273">
        <v>-6000000</v>
      </c>
      <c r="AB273" s="3" t="s">
        <v>449</v>
      </c>
      <c r="AC273" s="3" t="s">
        <v>10</v>
      </c>
      <c r="AD273">
        <v>0</v>
      </c>
      <c r="AE273">
        <v>0</v>
      </c>
      <c r="AF273" s="3" t="s">
        <v>640</v>
      </c>
    </row>
    <row r="274" spans="1:32" x14ac:dyDescent="0.35">
      <c r="A274" s="3" t="s">
        <v>608</v>
      </c>
      <c r="B274" s="3" t="s">
        <v>608</v>
      </c>
      <c r="C274" s="3" t="s">
        <v>608</v>
      </c>
      <c r="D274" s="3" t="s">
        <v>608</v>
      </c>
      <c r="E274" s="3" t="s">
        <v>608</v>
      </c>
      <c r="F274" s="3" t="s">
        <v>640</v>
      </c>
      <c r="G274" s="3" t="s">
        <v>493</v>
      </c>
      <c r="H274" s="3" t="s">
        <v>493</v>
      </c>
      <c r="I274" s="3" t="s">
        <v>640</v>
      </c>
      <c r="J274" s="3" t="s">
        <v>4</v>
      </c>
      <c r="K274" s="3" t="s">
        <v>640</v>
      </c>
      <c r="L274" s="3" t="s">
        <v>448</v>
      </c>
      <c r="M274" s="3" t="s">
        <v>14</v>
      </c>
      <c r="N274">
        <v>0</v>
      </c>
      <c r="O274">
        <v>90.820999999999998</v>
      </c>
      <c r="Q274">
        <v>0</v>
      </c>
      <c r="R274">
        <v>0</v>
      </c>
      <c r="S274" s="3" t="s">
        <v>640</v>
      </c>
      <c r="T274">
        <v>0</v>
      </c>
      <c r="U274">
        <v>0</v>
      </c>
      <c r="V274">
        <v>0</v>
      </c>
      <c r="W274">
        <v>0</v>
      </c>
      <c r="X274">
        <v>0</v>
      </c>
      <c r="Y274" s="3" t="s">
        <v>640</v>
      </c>
      <c r="Z274">
        <v>90.820999999999998</v>
      </c>
      <c r="AA274">
        <v>0</v>
      </c>
      <c r="AB274" s="3" t="s">
        <v>449</v>
      </c>
      <c r="AC274" s="3" t="s">
        <v>10</v>
      </c>
      <c r="AD274">
        <v>0</v>
      </c>
      <c r="AE274">
        <v>0</v>
      </c>
      <c r="AF274" s="3" t="s">
        <v>640</v>
      </c>
    </row>
    <row r="275" spans="1:32" x14ac:dyDescent="0.35">
      <c r="A275" s="3" t="s">
        <v>608</v>
      </c>
      <c r="B275" s="3" t="s">
        <v>608</v>
      </c>
      <c r="C275" s="3" t="s">
        <v>608</v>
      </c>
      <c r="D275" s="3" t="s">
        <v>608</v>
      </c>
      <c r="E275" s="3" t="s">
        <v>608</v>
      </c>
      <c r="F275" s="3" t="s">
        <v>640</v>
      </c>
      <c r="G275" s="3" t="s">
        <v>1196</v>
      </c>
      <c r="H275" s="3" t="s">
        <v>1196</v>
      </c>
      <c r="I275" s="3" t="s">
        <v>640</v>
      </c>
      <c r="J275" s="3" t="s">
        <v>4</v>
      </c>
      <c r="K275" s="3" t="s">
        <v>640</v>
      </c>
      <c r="L275" s="3" t="s">
        <v>448</v>
      </c>
      <c r="M275" s="3" t="s">
        <v>14</v>
      </c>
      <c r="N275">
        <v>2000000</v>
      </c>
      <c r="O275">
        <v>93.808999999999997</v>
      </c>
      <c r="Q275">
        <v>0</v>
      </c>
      <c r="R275">
        <v>0</v>
      </c>
      <c r="S275" s="3" t="s">
        <v>640</v>
      </c>
      <c r="T275">
        <v>0</v>
      </c>
      <c r="U275">
        <v>0</v>
      </c>
      <c r="V275">
        <v>0</v>
      </c>
      <c r="W275">
        <v>0</v>
      </c>
      <c r="X275">
        <v>-1876186</v>
      </c>
      <c r="Y275" s="3" t="s">
        <v>640</v>
      </c>
      <c r="Z275">
        <v>111.515</v>
      </c>
      <c r="AA275">
        <v>0</v>
      </c>
      <c r="AB275" s="3" t="s">
        <v>449</v>
      </c>
      <c r="AC275" s="3" t="s">
        <v>10</v>
      </c>
      <c r="AD275">
        <v>0</v>
      </c>
      <c r="AE275">
        <v>0</v>
      </c>
      <c r="AF275" s="3" t="s">
        <v>640</v>
      </c>
    </row>
    <row r="276" spans="1:32" x14ac:dyDescent="0.35">
      <c r="A276" s="3" t="s">
        <v>608</v>
      </c>
      <c r="B276" s="3" t="s">
        <v>608</v>
      </c>
      <c r="C276" s="3" t="s">
        <v>608</v>
      </c>
      <c r="D276" s="3" t="s">
        <v>608</v>
      </c>
      <c r="E276" s="3" t="s">
        <v>608</v>
      </c>
      <c r="F276" s="3" t="s">
        <v>640</v>
      </c>
      <c r="G276" s="3" t="s">
        <v>464</v>
      </c>
      <c r="H276" s="3" t="s">
        <v>464</v>
      </c>
      <c r="I276" s="3" t="s">
        <v>640</v>
      </c>
      <c r="J276" s="3" t="s">
        <v>4</v>
      </c>
      <c r="K276" s="3" t="s">
        <v>640</v>
      </c>
      <c r="L276" s="3" t="s">
        <v>448</v>
      </c>
      <c r="M276" s="3" t="s">
        <v>14</v>
      </c>
      <c r="N276">
        <v>7258000</v>
      </c>
      <c r="O276">
        <v>82.481999999999999</v>
      </c>
      <c r="Q276">
        <v>0</v>
      </c>
      <c r="R276">
        <v>0</v>
      </c>
      <c r="S276" s="3" t="s">
        <v>640</v>
      </c>
      <c r="T276">
        <v>0</v>
      </c>
      <c r="U276">
        <v>0</v>
      </c>
      <c r="V276">
        <v>0</v>
      </c>
      <c r="W276">
        <v>0</v>
      </c>
      <c r="X276">
        <v>-5986545</v>
      </c>
      <c r="Y276" s="3" t="s">
        <v>640</v>
      </c>
      <c r="Z276">
        <v>82.311999999999998</v>
      </c>
      <c r="AA276">
        <v>0</v>
      </c>
      <c r="AB276" s="3" t="s">
        <v>449</v>
      </c>
      <c r="AC276" s="3" t="s">
        <v>10</v>
      </c>
      <c r="AD276">
        <v>0</v>
      </c>
      <c r="AE276">
        <v>0</v>
      </c>
      <c r="AF276" s="3" t="s">
        <v>640</v>
      </c>
    </row>
    <row r="277" spans="1:32" x14ac:dyDescent="0.35">
      <c r="A277" s="3" t="s">
        <v>608</v>
      </c>
      <c r="B277" s="3" t="s">
        <v>608</v>
      </c>
      <c r="C277" s="3" t="s">
        <v>608</v>
      </c>
      <c r="D277" s="3" t="s">
        <v>608</v>
      </c>
      <c r="E277" s="3" t="s">
        <v>608</v>
      </c>
      <c r="F277" s="3" t="s">
        <v>640</v>
      </c>
      <c r="G277" s="3" t="s">
        <v>465</v>
      </c>
      <c r="H277" s="3" t="s">
        <v>465</v>
      </c>
      <c r="I277" s="3" t="s">
        <v>640</v>
      </c>
      <c r="J277" s="3" t="s">
        <v>4</v>
      </c>
      <c r="K277" s="3" t="s">
        <v>640</v>
      </c>
      <c r="L277" s="3" t="s">
        <v>448</v>
      </c>
      <c r="M277" s="3" t="s">
        <v>14</v>
      </c>
      <c r="N277">
        <v>1000000</v>
      </c>
      <c r="O277">
        <v>88.795000000000002</v>
      </c>
      <c r="Q277">
        <v>0</v>
      </c>
      <c r="R277">
        <v>6</v>
      </c>
      <c r="S277" s="3" t="s">
        <v>640</v>
      </c>
      <c r="T277">
        <v>0</v>
      </c>
      <c r="U277">
        <v>0</v>
      </c>
      <c r="V277">
        <v>0</v>
      </c>
      <c r="W277">
        <v>0</v>
      </c>
      <c r="X277">
        <v>-887952</v>
      </c>
      <c r="Y277" s="3" t="s">
        <v>640</v>
      </c>
      <c r="Z277">
        <v>88.795000000000002</v>
      </c>
      <c r="AA277">
        <v>1000000</v>
      </c>
      <c r="AB277" s="3" t="s">
        <v>449</v>
      </c>
      <c r="AC277" s="3" t="s">
        <v>10</v>
      </c>
      <c r="AD277">
        <v>0</v>
      </c>
      <c r="AE277">
        <v>0</v>
      </c>
      <c r="AF277" s="3" t="s">
        <v>640</v>
      </c>
    </row>
    <row r="278" spans="1:32" x14ac:dyDescent="0.35">
      <c r="A278" s="3" t="s">
        <v>608</v>
      </c>
      <c r="B278" s="3" t="s">
        <v>608</v>
      </c>
      <c r="C278" s="3" t="s">
        <v>608</v>
      </c>
      <c r="D278" s="3" t="s">
        <v>608</v>
      </c>
      <c r="E278" s="3" t="s">
        <v>608</v>
      </c>
      <c r="F278" s="3" t="s">
        <v>640</v>
      </c>
      <c r="G278" s="3" t="s">
        <v>517</v>
      </c>
      <c r="H278" s="3" t="s">
        <v>517</v>
      </c>
      <c r="I278" s="3" t="s">
        <v>640</v>
      </c>
      <c r="J278" s="3" t="s">
        <v>4</v>
      </c>
      <c r="K278" s="3" t="s">
        <v>640</v>
      </c>
      <c r="L278" s="3" t="s">
        <v>448</v>
      </c>
      <c r="M278" s="3" t="s">
        <v>14</v>
      </c>
      <c r="N278">
        <v>-1400000</v>
      </c>
      <c r="O278">
        <v>110.98399999999999</v>
      </c>
      <c r="Q278">
        <v>0</v>
      </c>
      <c r="R278">
        <v>-41</v>
      </c>
      <c r="S278" s="3" t="s">
        <v>640</v>
      </c>
      <c r="T278">
        <v>0</v>
      </c>
      <c r="U278">
        <v>0</v>
      </c>
      <c r="V278">
        <v>0</v>
      </c>
      <c r="W278">
        <v>0</v>
      </c>
      <c r="X278">
        <v>1553771</v>
      </c>
      <c r="Y278" s="3" t="s">
        <v>640</v>
      </c>
      <c r="Z278">
        <v>110.98399999999999</v>
      </c>
      <c r="AA278">
        <v>-1400000</v>
      </c>
      <c r="AB278" s="3" t="s">
        <v>449</v>
      </c>
      <c r="AC278" s="3" t="s">
        <v>10</v>
      </c>
      <c r="AD278">
        <v>0</v>
      </c>
      <c r="AE278">
        <v>0</v>
      </c>
      <c r="AF278" s="3" t="s">
        <v>640</v>
      </c>
    </row>
    <row r="279" spans="1:32" x14ac:dyDescent="0.35">
      <c r="A279" s="3" t="s">
        <v>608</v>
      </c>
      <c r="B279" s="3" t="s">
        <v>608</v>
      </c>
      <c r="C279" s="3" t="s">
        <v>608</v>
      </c>
      <c r="D279" s="3" t="s">
        <v>608</v>
      </c>
      <c r="E279" s="3" t="s">
        <v>608</v>
      </c>
      <c r="F279" s="3" t="s">
        <v>640</v>
      </c>
      <c r="G279" s="3" t="s">
        <v>545</v>
      </c>
      <c r="H279" s="3" t="s">
        <v>545</v>
      </c>
      <c r="I279" s="3" t="s">
        <v>640</v>
      </c>
      <c r="J279" s="3" t="s">
        <v>283</v>
      </c>
      <c r="K279" s="3" t="s">
        <v>640</v>
      </c>
      <c r="L279" s="3" t="s">
        <v>448</v>
      </c>
      <c r="M279" s="3" t="s">
        <v>14</v>
      </c>
      <c r="N279">
        <v>-300000</v>
      </c>
      <c r="O279">
        <v>78.819000000000003</v>
      </c>
      <c r="Q279">
        <v>0</v>
      </c>
      <c r="R279">
        <v>-3</v>
      </c>
      <c r="S279" s="3" t="s">
        <v>640</v>
      </c>
      <c r="T279">
        <v>0</v>
      </c>
      <c r="U279">
        <v>0</v>
      </c>
      <c r="V279">
        <v>0</v>
      </c>
      <c r="W279">
        <v>0</v>
      </c>
      <c r="X279">
        <v>323362</v>
      </c>
      <c r="Y279" s="3" t="s">
        <v>640</v>
      </c>
      <c r="Z279">
        <v>78.819000000000003</v>
      </c>
      <c r="AA279">
        <v>-300000</v>
      </c>
      <c r="AB279" s="3" t="s">
        <v>449</v>
      </c>
      <c r="AC279" s="3" t="s">
        <v>10</v>
      </c>
      <c r="AD279">
        <v>0</v>
      </c>
      <c r="AE279">
        <v>0</v>
      </c>
      <c r="AF279" s="3" t="s">
        <v>640</v>
      </c>
    </row>
    <row r="280" spans="1:32" x14ac:dyDescent="0.35">
      <c r="A280" s="3" t="s">
        <v>608</v>
      </c>
      <c r="B280" s="3" t="s">
        <v>608</v>
      </c>
      <c r="C280" s="3" t="s">
        <v>608</v>
      </c>
      <c r="D280" s="3" t="s">
        <v>608</v>
      </c>
      <c r="E280" s="3" t="s">
        <v>608</v>
      </c>
      <c r="F280" s="3" t="s">
        <v>640</v>
      </c>
      <c r="G280" s="3" t="s">
        <v>466</v>
      </c>
      <c r="H280" s="3" t="s">
        <v>466</v>
      </c>
      <c r="I280" s="3" t="s">
        <v>640</v>
      </c>
      <c r="J280" s="3" t="s">
        <v>4</v>
      </c>
      <c r="K280" s="3" t="s">
        <v>640</v>
      </c>
      <c r="L280" s="3" t="s">
        <v>448</v>
      </c>
      <c r="M280" s="3" t="s">
        <v>14</v>
      </c>
      <c r="N280">
        <v>-2000000</v>
      </c>
      <c r="O280">
        <v>112.54600000000001</v>
      </c>
      <c r="Q280">
        <v>0</v>
      </c>
      <c r="R280">
        <v>-104</v>
      </c>
      <c r="S280" s="3" t="s">
        <v>640</v>
      </c>
      <c r="T280">
        <v>0</v>
      </c>
      <c r="U280">
        <v>0</v>
      </c>
      <c r="V280">
        <v>0</v>
      </c>
      <c r="W280">
        <v>0</v>
      </c>
      <c r="X280">
        <v>2251284</v>
      </c>
      <c r="Y280" s="3" t="s">
        <v>640</v>
      </c>
      <c r="Z280">
        <v>112.54600000000001</v>
      </c>
      <c r="AA280">
        <v>-2000000</v>
      </c>
      <c r="AB280" s="3" t="s">
        <v>449</v>
      </c>
      <c r="AC280" s="3" t="s">
        <v>10</v>
      </c>
      <c r="AD280">
        <v>0</v>
      </c>
      <c r="AE280">
        <v>0</v>
      </c>
      <c r="AF280" s="3" t="s">
        <v>640</v>
      </c>
    </row>
    <row r="281" spans="1:32" x14ac:dyDescent="0.35">
      <c r="A281" s="3" t="s">
        <v>608</v>
      </c>
      <c r="B281" s="3" t="s">
        <v>608</v>
      </c>
      <c r="C281" s="3" t="s">
        <v>608</v>
      </c>
      <c r="D281" s="3" t="s">
        <v>608</v>
      </c>
      <c r="E281" s="3" t="s">
        <v>608</v>
      </c>
      <c r="F281" s="3" t="s">
        <v>640</v>
      </c>
      <c r="G281" s="3" t="s">
        <v>546</v>
      </c>
      <c r="H281" s="3" t="s">
        <v>546</v>
      </c>
      <c r="I281" s="3" t="s">
        <v>640</v>
      </c>
      <c r="J281" s="3" t="s">
        <v>4</v>
      </c>
      <c r="K281" s="3" t="s">
        <v>640</v>
      </c>
      <c r="L281" s="3" t="s">
        <v>448</v>
      </c>
      <c r="M281" s="3" t="s">
        <v>14</v>
      </c>
      <c r="N281">
        <v>-3000000</v>
      </c>
      <c r="O281">
        <v>104.17</v>
      </c>
      <c r="Q281">
        <v>0</v>
      </c>
      <c r="R281">
        <v>-82</v>
      </c>
      <c r="S281" s="3" t="s">
        <v>640</v>
      </c>
      <c r="T281">
        <v>0</v>
      </c>
      <c r="U281">
        <v>0</v>
      </c>
      <c r="V281">
        <v>0</v>
      </c>
      <c r="W281">
        <v>0</v>
      </c>
      <c r="X281">
        <v>3125088</v>
      </c>
      <c r="Y281" s="3" t="s">
        <v>640</v>
      </c>
      <c r="Z281">
        <v>104.17</v>
      </c>
      <c r="AA281">
        <v>-3000000</v>
      </c>
      <c r="AB281" s="3" t="s">
        <v>449</v>
      </c>
      <c r="AC281" s="3" t="s">
        <v>10</v>
      </c>
      <c r="AD281">
        <v>0</v>
      </c>
      <c r="AE281">
        <v>0</v>
      </c>
      <c r="AF281" s="3" t="s">
        <v>640</v>
      </c>
    </row>
    <row r="282" spans="1:32" x14ac:dyDescent="0.35">
      <c r="A282" s="3" t="s">
        <v>608</v>
      </c>
      <c r="B282" s="3" t="s">
        <v>608</v>
      </c>
      <c r="C282" s="3" t="s">
        <v>608</v>
      </c>
      <c r="D282" s="3" t="s">
        <v>608</v>
      </c>
      <c r="E282" s="3" t="s">
        <v>608</v>
      </c>
      <c r="F282" s="3" t="s">
        <v>640</v>
      </c>
      <c r="G282" s="3" t="s">
        <v>467</v>
      </c>
      <c r="H282" s="3" t="s">
        <v>467</v>
      </c>
      <c r="I282" s="3" t="s">
        <v>640</v>
      </c>
      <c r="J282" s="3" t="s">
        <v>4</v>
      </c>
      <c r="K282" s="3" t="s">
        <v>640</v>
      </c>
      <c r="L282" s="3" t="s">
        <v>448</v>
      </c>
      <c r="M282" s="3" t="s">
        <v>14</v>
      </c>
      <c r="N282">
        <v>-2300000</v>
      </c>
      <c r="O282">
        <v>109.428</v>
      </c>
      <c r="Q282">
        <v>0</v>
      </c>
      <c r="R282">
        <v>-66</v>
      </c>
      <c r="S282" s="3" t="s">
        <v>640</v>
      </c>
      <c r="T282">
        <v>0</v>
      </c>
      <c r="U282">
        <v>0</v>
      </c>
      <c r="V282">
        <v>0</v>
      </c>
      <c r="W282">
        <v>0</v>
      </c>
      <c r="X282">
        <v>2510841</v>
      </c>
      <c r="Y282" s="3" t="s">
        <v>640</v>
      </c>
      <c r="Z282">
        <v>109.428</v>
      </c>
      <c r="AA282">
        <v>-2300000</v>
      </c>
      <c r="AB282" s="3" t="s">
        <v>449</v>
      </c>
      <c r="AC282" s="3" t="s">
        <v>10</v>
      </c>
      <c r="AD282">
        <v>0</v>
      </c>
      <c r="AE282">
        <v>0</v>
      </c>
      <c r="AF282" s="3" t="s">
        <v>640</v>
      </c>
    </row>
    <row r="283" spans="1:32" x14ac:dyDescent="0.35">
      <c r="A283" s="3" t="s">
        <v>608</v>
      </c>
      <c r="B283" s="3" t="s">
        <v>608</v>
      </c>
      <c r="C283" s="3" t="s">
        <v>608</v>
      </c>
      <c r="D283" s="3" t="s">
        <v>608</v>
      </c>
      <c r="E283" s="3" t="s">
        <v>608</v>
      </c>
      <c r="F283" s="3" t="s">
        <v>640</v>
      </c>
      <c r="G283" s="3" t="s">
        <v>521</v>
      </c>
      <c r="H283" s="3" t="s">
        <v>521</v>
      </c>
      <c r="I283" s="3" t="s">
        <v>640</v>
      </c>
      <c r="J283" s="3" t="s">
        <v>4</v>
      </c>
      <c r="K283" s="3" t="s">
        <v>640</v>
      </c>
      <c r="L283" s="3" t="s">
        <v>448</v>
      </c>
      <c r="M283" s="3" t="s">
        <v>14</v>
      </c>
      <c r="N283">
        <v>-1565000</v>
      </c>
      <c r="O283">
        <v>101.015</v>
      </c>
      <c r="Q283">
        <v>0</v>
      </c>
      <c r="R283">
        <v>-42</v>
      </c>
      <c r="S283" s="3" t="s">
        <v>640</v>
      </c>
      <c r="T283">
        <v>0</v>
      </c>
      <c r="U283">
        <v>0</v>
      </c>
      <c r="V283">
        <v>0</v>
      </c>
      <c r="W283">
        <v>0</v>
      </c>
      <c r="X283">
        <v>1581576</v>
      </c>
      <c r="Y283" s="3" t="s">
        <v>640</v>
      </c>
      <c r="Z283">
        <v>101.015</v>
      </c>
      <c r="AA283">
        <v>-1565000</v>
      </c>
      <c r="AB283" s="3" t="s">
        <v>449</v>
      </c>
      <c r="AC283" s="3" t="s">
        <v>10</v>
      </c>
      <c r="AD283">
        <v>0</v>
      </c>
      <c r="AE283">
        <v>0</v>
      </c>
      <c r="AF283" s="3" t="s">
        <v>640</v>
      </c>
    </row>
    <row r="284" spans="1:32" x14ac:dyDescent="0.35">
      <c r="A284" s="3" t="s">
        <v>608</v>
      </c>
      <c r="B284" s="3" t="s">
        <v>608</v>
      </c>
      <c r="C284" s="3" t="s">
        <v>608</v>
      </c>
      <c r="D284" s="3" t="s">
        <v>608</v>
      </c>
      <c r="E284" s="3" t="s">
        <v>608</v>
      </c>
      <c r="F284" s="3" t="s">
        <v>640</v>
      </c>
      <c r="G284" s="3" t="s">
        <v>468</v>
      </c>
      <c r="H284" s="3" t="s">
        <v>468</v>
      </c>
      <c r="I284" s="3" t="s">
        <v>640</v>
      </c>
      <c r="J284" s="3" t="s">
        <v>4</v>
      </c>
      <c r="K284" s="3" t="s">
        <v>640</v>
      </c>
      <c r="L284" s="3" t="s">
        <v>448</v>
      </c>
      <c r="M284" s="3" t="s">
        <v>14</v>
      </c>
      <c r="N284">
        <v>1500000</v>
      </c>
      <c r="O284">
        <v>105.264</v>
      </c>
      <c r="Q284">
        <v>0</v>
      </c>
      <c r="R284">
        <v>11</v>
      </c>
      <c r="S284" s="3" t="s">
        <v>640</v>
      </c>
      <c r="T284">
        <v>0</v>
      </c>
      <c r="U284">
        <v>0</v>
      </c>
      <c r="V284">
        <v>0</v>
      </c>
      <c r="W284">
        <v>0</v>
      </c>
      <c r="X284">
        <v>-1542714</v>
      </c>
      <c r="Y284" s="3" t="s">
        <v>640</v>
      </c>
      <c r="Z284">
        <v>105.264</v>
      </c>
      <c r="AA284">
        <v>1500000</v>
      </c>
      <c r="AB284" s="3" t="s">
        <v>449</v>
      </c>
      <c r="AC284" s="3" t="s">
        <v>10</v>
      </c>
      <c r="AD284">
        <v>0</v>
      </c>
      <c r="AE284">
        <v>0</v>
      </c>
      <c r="AF284" s="3" t="s">
        <v>640</v>
      </c>
    </row>
    <row r="285" spans="1:32" x14ac:dyDescent="0.35">
      <c r="A285" s="3" t="s">
        <v>608</v>
      </c>
      <c r="B285" s="3" t="s">
        <v>608</v>
      </c>
      <c r="C285" s="3" t="s">
        <v>608</v>
      </c>
      <c r="D285" s="3" t="s">
        <v>608</v>
      </c>
      <c r="E285" s="3" t="s">
        <v>608</v>
      </c>
      <c r="F285" s="3" t="s">
        <v>640</v>
      </c>
      <c r="G285" s="3" t="s">
        <v>547</v>
      </c>
      <c r="H285" s="3" t="s">
        <v>547</v>
      </c>
      <c r="I285" s="3" t="s">
        <v>640</v>
      </c>
      <c r="J285" s="3" t="s">
        <v>4</v>
      </c>
      <c r="K285" s="3" t="s">
        <v>640</v>
      </c>
      <c r="L285" s="3" t="s">
        <v>448</v>
      </c>
      <c r="M285" s="3" t="s">
        <v>14</v>
      </c>
      <c r="N285">
        <v>5000000</v>
      </c>
      <c r="O285">
        <v>96.055000000000007</v>
      </c>
      <c r="Q285">
        <v>0</v>
      </c>
      <c r="R285">
        <v>33</v>
      </c>
      <c r="S285" s="3" t="s">
        <v>640</v>
      </c>
      <c r="T285">
        <v>0</v>
      </c>
      <c r="U285">
        <v>0</v>
      </c>
      <c r="V285">
        <v>0</v>
      </c>
      <c r="W285">
        <v>0</v>
      </c>
      <c r="X285">
        <v>-4802728</v>
      </c>
      <c r="Y285" s="3" t="s">
        <v>640</v>
      </c>
      <c r="Z285">
        <v>96.055000000000007</v>
      </c>
      <c r="AA285">
        <v>5000000</v>
      </c>
      <c r="AB285" s="3" t="s">
        <v>449</v>
      </c>
      <c r="AC285" s="3" t="s">
        <v>10</v>
      </c>
      <c r="AD285">
        <v>0</v>
      </c>
      <c r="AE285">
        <v>0</v>
      </c>
      <c r="AF285" s="3" t="s">
        <v>640</v>
      </c>
    </row>
    <row r="286" spans="1:32" x14ac:dyDescent="0.35">
      <c r="A286" s="3" t="s">
        <v>608</v>
      </c>
      <c r="B286" s="3" t="s">
        <v>608</v>
      </c>
      <c r="C286" s="3" t="s">
        <v>608</v>
      </c>
      <c r="D286" s="3" t="s">
        <v>608</v>
      </c>
      <c r="E286" s="3" t="s">
        <v>608</v>
      </c>
      <c r="F286" s="3" t="s">
        <v>640</v>
      </c>
      <c r="G286" s="3" t="s">
        <v>450</v>
      </c>
      <c r="H286" s="3" t="s">
        <v>450</v>
      </c>
      <c r="I286" s="3" t="s">
        <v>640</v>
      </c>
      <c r="J286" s="3" t="s">
        <v>4</v>
      </c>
      <c r="K286" s="3" t="s">
        <v>640</v>
      </c>
      <c r="L286" s="3" t="s">
        <v>448</v>
      </c>
      <c r="M286" s="3" t="s">
        <v>14</v>
      </c>
      <c r="N286">
        <v>2700000</v>
      </c>
      <c r="O286">
        <v>88.477999999999994</v>
      </c>
      <c r="Q286">
        <v>0</v>
      </c>
      <c r="R286">
        <v>17</v>
      </c>
      <c r="S286" s="3" t="s">
        <v>640</v>
      </c>
      <c r="T286">
        <v>0</v>
      </c>
      <c r="U286">
        <v>0</v>
      </c>
      <c r="V286">
        <v>0</v>
      </c>
      <c r="W286">
        <v>0</v>
      </c>
      <c r="X286">
        <v>-2388914</v>
      </c>
      <c r="Y286" s="3" t="s">
        <v>640</v>
      </c>
      <c r="Z286">
        <v>88.477999999999994</v>
      </c>
      <c r="AA286">
        <v>2700000</v>
      </c>
      <c r="AB286" s="3" t="s">
        <v>449</v>
      </c>
      <c r="AC286" s="3" t="s">
        <v>10</v>
      </c>
      <c r="AD286">
        <v>0</v>
      </c>
      <c r="AE286">
        <v>0</v>
      </c>
      <c r="AF286" s="3" t="s">
        <v>640</v>
      </c>
    </row>
    <row r="287" spans="1:32" x14ac:dyDescent="0.35">
      <c r="A287" s="3" t="s">
        <v>608</v>
      </c>
      <c r="B287" s="3" t="s">
        <v>608</v>
      </c>
      <c r="C287" s="3" t="s">
        <v>608</v>
      </c>
      <c r="D287" s="3" t="s">
        <v>608</v>
      </c>
      <c r="E287" s="3" t="s">
        <v>608</v>
      </c>
      <c r="F287" s="3" t="s">
        <v>640</v>
      </c>
      <c r="G287" s="3" t="s">
        <v>589</v>
      </c>
      <c r="H287" s="3" t="s">
        <v>589</v>
      </c>
      <c r="I287" s="3" t="s">
        <v>640</v>
      </c>
      <c r="J287" s="3" t="s">
        <v>4</v>
      </c>
      <c r="K287" s="3" t="s">
        <v>640</v>
      </c>
      <c r="L287" s="3" t="s">
        <v>448</v>
      </c>
      <c r="M287" s="3" t="s">
        <v>14</v>
      </c>
      <c r="N287">
        <v>-500000</v>
      </c>
      <c r="O287">
        <v>104.19</v>
      </c>
      <c r="Q287">
        <v>0</v>
      </c>
      <c r="R287">
        <v>-14</v>
      </c>
      <c r="S287" s="3" t="s">
        <v>640</v>
      </c>
      <c r="T287">
        <v>0</v>
      </c>
      <c r="U287">
        <v>0</v>
      </c>
      <c r="V287">
        <v>0</v>
      </c>
      <c r="W287">
        <v>0</v>
      </c>
      <c r="X287">
        <v>520948</v>
      </c>
      <c r="Y287" s="3" t="s">
        <v>640</v>
      </c>
      <c r="Z287">
        <v>104.19</v>
      </c>
      <c r="AA287">
        <v>-500000</v>
      </c>
      <c r="AB287" s="3" t="s">
        <v>449</v>
      </c>
      <c r="AC287" s="3" t="s">
        <v>10</v>
      </c>
      <c r="AD287">
        <v>0</v>
      </c>
      <c r="AE287">
        <v>0</v>
      </c>
      <c r="AF287" s="3" t="s">
        <v>640</v>
      </c>
    </row>
    <row r="288" spans="1:32" x14ac:dyDescent="0.35">
      <c r="A288" s="3" t="s">
        <v>608</v>
      </c>
      <c r="B288" s="3" t="s">
        <v>608</v>
      </c>
      <c r="C288" s="3" t="s">
        <v>608</v>
      </c>
      <c r="D288" s="3" t="s">
        <v>608</v>
      </c>
      <c r="E288" s="3" t="s">
        <v>608</v>
      </c>
      <c r="F288" s="3" t="s">
        <v>640</v>
      </c>
      <c r="G288" s="3" t="s">
        <v>501</v>
      </c>
      <c r="H288" s="3" t="s">
        <v>501</v>
      </c>
      <c r="I288" s="3" t="s">
        <v>640</v>
      </c>
      <c r="J288" s="3" t="s">
        <v>4</v>
      </c>
      <c r="K288" s="3" t="s">
        <v>640</v>
      </c>
      <c r="L288" s="3" t="s">
        <v>448</v>
      </c>
      <c r="M288" s="3" t="s">
        <v>14</v>
      </c>
      <c r="N288">
        <v>8100000</v>
      </c>
      <c r="O288">
        <v>80.25</v>
      </c>
      <c r="Q288">
        <v>0</v>
      </c>
      <c r="R288">
        <v>54</v>
      </c>
      <c r="S288" s="3" t="s">
        <v>640</v>
      </c>
      <c r="T288">
        <v>0</v>
      </c>
      <c r="U288">
        <v>0</v>
      </c>
      <c r="V288">
        <v>0</v>
      </c>
      <c r="W288">
        <v>0</v>
      </c>
      <c r="X288">
        <v>-6495184</v>
      </c>
      <c r="Y288" s="3" t="s">
        <v>640</v>
      </c>
      <c r="Z288">
        <v>80.25</v>
      </c>
      <c r="AA288">
        <v>8100000</v>
      </c>
      <c r="AB288" s="3" t="s">
        <v>449</v>
      </c>
      <c r="AC288" s="3" t="s">
        <v>10</v>
      </c>
      <c r="AD288">
        <v>0</v>
      </c>
      <c r="AE288">
        <v>0</v>
      </c>
      <c r="AF288" s="3" t="s">
        <v>640</v>
      </c>
    </row>
    <row r="289" spans="1:32" x14ac:dyDescent="0.35">
      <c r="A289" s="3" t="s">
        <v>608</v>
      </c>
      <c r="B289" s="3" t="s">
        <v>608</v>
      </c>
      <c r="C289" s="3" t="s">
        <v>608</v>
      </c>
      <c r="D289" s="3" t="s">
        <v>608</v>
      </c>
      <c r="E289" s="3" t="s">
        <v>608</v>
      </c>
      <c r="F289" s="3" t="s">
        <v>640</v>
      </c>
      <c r="G289" s="3" t="s">
        <v>912</v>
      </c>
      <c r="H289" s="3" t="s">
        <v>912</v>
      </c>
      <c r="I289" s="3" t="s">
        <v>640</v>
      </c>
      <c r="J289" s="3" t="s">
        <v>266</v>
      </c>
      <c r="K289" s="3" t="s">
        <v>640</v>
      </c>
      <c r="L289" s="3" t="s">
        <v>448</v>
      </c>
      <c r="M289" s="3" t="s">
        <v>14</v>
      </c>
      <c r="N289">
        <v>250000</v>
      </c>
      <c r="O289">
        <v>80.103999999999999</v>
      </c>
      <c r="Q289">
        <v>0</v>
      </c>
      <c r="R289">
        <v>-2</v>
      </c>
      <c r="S289" s="3" t="s">
        <v>640</v>
      </c>
      <c r="T289">
        <v>0</v>
      </c>
      <c r="U289">
        <v>0</v>
      </c>
      <c r="V289">
        <v>0</v>
      </c>
      <c r="W289">
        <v>0</v>
      </c>
      <c r="X289">
        <v>-170755</v>
      </c>
      <c r="Y289" s="3" t="s">
        <v>640</v>
      </c>
      <c r="Z289">
        <v>80.103999999999999</v>
      </c>
      <c r="AA289">
        <v>250000</v>
      </c>
      <c r="AB289" s="3" t="s">
        <v>449</v>
      </c>
      <c r="AC289" s="3" t="s">
        <v>10</v>
      </c>
      <c r="AD289">
        <v>0</v>
      </c>
      <c r="AE289">
        <v>0</v>
      </c>
      <c r="AF289" s="3" t="s">
        <v>640</v>
      </c>
    </row>
    <row r="290" spans="1:32" x14ac:dyDescent="0.35">
      <c r="A290" s="3" t="s">
        <v>608</v>
      </c>
      <c r="B290" s="3" t="s">
        <v>608</v>
      </c>
      <c r="C290" s="3" t="s">
        <v>608</v>
      </c>
      <c r="D290" s="3" t="s">
        <v>608</v>
      </c>
      <c r="E290" s="3" t="s">
        <v>608</v>
      </c>
      <c r="F290" s="3" t="s">
        <v>640</v>
      </c>
      <c r="G290" s="3" t="s">
        <v>592</v>
      </c>
      <c r="H290" s="3" t="s">
        <v>592</v>
      </c>
      <c r="I290" s="3" t="s">
        <v>640</v>
      </c>
      <c r="J290" s="3" t="s">
        <v>4</v>
      </c>
      <c r="K290" s="3" t="s">
        <v>640</v>
      </c>
      <c r="L290" s="3" t="s">
        <v>448</v>
      </c>
      <c r="M290" s="3" t="s">
        <v>14</v>
      </c>
      <c r="N290">
        <v>-3000000</v>
      </c>
      <c r="O290">
        <v>119.152</v>
      </c>
      <c r="Q290">
        <v>0</v>
      </c>
      <c r="R290">
        <v>-94</v>
      </c>
      <c r="S290" s="3" t="s">
        <v>640</v>
      </c>
      <c r="T290">
        <v>0</v>
      </c>
      <c r="U290">
        <v>0</v>
      </c>
      <c r="V290">
        <v>0</v>
      </c>
      <c r="W290">
        <v>0</v>
      </c>
      <c r="X290">
        <v>3571021</v>
      </c>
      <c r="Y290" s="3" t="s">
        <v>640</v>
      </c>
      <c r="Z290">
        <v>119.152</v>
      </c>
      <c r="AA290">
        <v>-3000000</v>
      </c>
      <c r="AB290" s="3" t="s">
        <v>449</v>
      </c>
      <c r="AC290" s="3" t="s">
        <v>10</v>
      </c>
      <c r="AD290">
        <v>0</v>
      </c>
      <c r="AE290">
        <v>0</v>
      </c>
      <c r="AF290" s="3" t="s">
        <v>640</v>
      </c>
    </row>
    <row r="291" spans="1:32" x14ac:dyDescent="0.35">
      <c r="A291" s="3" t="s">
        <v>608</v>
      </c>
      <c r="B291" s="3" t="s">
        <v>608</v>
      </c>
      <c r="C291" s="3" t="s">
        <v>608</v>
      </c>
      <c r="D291" s="3" t="s">
        <v>608</v>
      </c>
      <c r="E291" s="3" t="s">
        <v>608</v>
      </c>
      <c r="F291" s="3" t="s">
        <v>640</v>
      </c>
      <c r="G291" s="3" t="s">
        <v>1000</v>
      </c>
      <c r="H291" s="3" t="s">
        <v>1000</v>
      </c>
      <c r="I291" s="3" t="s">
        <v>640</v>
      </c>
      <c r="J291" s="3" t="s">
        <v>4</v>
      </c>
      <c r="K291" s="3" t="s">
        <v>640</v>
      </c>
      <c r="L291" s="3" t="s">
        <v>448</v>
      </c>
      <c r="M291" s="3" t="s">
        <v>14</v>
      </c>
      <c r="N291">
        <v>-508000</v>
      </c>
      <c r="O291">
        <v>113.27200000000001</v>
      </c>
      <c r="Q291">
        <v>0</v>
      </c>
      <c r="R291">
        <v>0</v>
      </c>
      <c r="S291" s="3" t="s">
        <v>640</v>
      </c>
      <c r="T291">
        <v>0</v>
      </c>
      <c r="U291">
        <v>0</v>
      </c>
      <c r="V291">
        <v>0</v>
      </c>
      <c r="W291">
        <v>0</v>
      </c>
      <c r="X291">
        <v>575421</v>
      </c>
      <c r="Y291" s="3" t="s">
        <v>640</v>
      </c>
      <c r="Z291">
        <v>111.16200000000001</v>
      </c>
      <c r="AA291">
        <v>0</v>
      </c>
      <c r="AB291" s="3" t="s">
        <v>449</v>
      </c>
      <c r="AC291" s="3" t="s">
        <v>10</v>
      </c>
      <c r="AD291">
        <v>0</v>
      </c>
      <c r="AE291">
        <v>0</v>
      </c>
      <c r="AF291" s="3" t="s">
        <v>640</v>
      </c>
    </row>
    <row r="292" spans="1:32" x14ac:dyDescent="0.35">
      <c r="A292" s="3" t="s">
        <v>608</v>
      </c>
      <c r="B292" s="3" t="s">
        <v>608</v>
      </c>
      <c r="C292" s="3" t="s">
        <v>608</v>
      </c>
      <c r="D292" s="3" t="s">
        <v>608</v>
      </c>
      <c r="E292" s="3" t="s">
        <v>608</v>
      </c>
      <c r="F292" s="3" t="s">
        <v>640</v>
      </c>
      <c r="G292" s="3" t="s">
        <v>471</v>
      </c>
      <c r="H292" s="3" t="s">
        <v>471</v>
      </c>
      <c r="I292" s="3" t="s">
        <v>640</v>
      </c>
      <c r="J292" s="3" t="s">
        <v>4</v>
      </c>
      <c r="K292" s="3" t="s">
        <v>640</v>
      </c>
      <c r="L292" s="3" t="s">
        <v>448</v>
      </c>
      <c r="M292" s="3" t="s">
        <v>14</v>
      </c>
      <c r="N292">
        <v>-1500000</v>
      </c>
      <c r="O292">
        <v>116.755</v>
      </c>
      <c r="Q292">
        <v>0</v>
      </c>
      <c r="R292">
        <v>-47</v>
      </c>
      <c r="S292" s="3" t="s">
        <v>640</v>
      </c>
      <c r="T292">
        <v>0</v>
      </c>
      <c r="U292">
        <v>0</v>
      </c>
      <c r="V292">
        <v>0</v>
      </c>
      <c r="W292">
        <v>0</v>
      </c>
      <c r="X292">
        <v>1788365</v>
      </c>
      <c r="Y292" s="3" t="s">
        <v>640</v>
      </c>
      <c r="Z292">
        <v>116.755</v>
      </c>
      <c r="AA292">
        <v>-1500000</v>
      </c>
      <c r="AB292" s="3" t="s">
        <v>449</v>
      </c>
      <c r="AC292" s="3" t="s">
        <v>10</v>
      </c>
      <c r="AD292">
        <v>0</v>
      </c>
      <c r="AE292">
        <v>0</v>
      </c>
      <c r="AF292" s="3" t="s">
        <v>640</v>
      </c>
    </row>
    <row r="293" spans="1:32" x14ac:dyDescent="0.35">
      <c r="A293" s="3" t="s">
        <v>608</v>
      </c>
      <c r="B293" s="3" t="s">
        <v>608</v>
      </c>
      <c r="C293" s="3" t="s">
        <v>608</v>
      </c>
      <c r="D293" s="3" t="s">
        <v>608</v>
      </c>
      <c r="E293" s="3" t="s">
        <v>608</v>
      </c>
      <c r="F293" s="3" t="s">
        <v>640</v>
      </c>
      <c r="G293" s="3" t="s">
        <v>602</v>
      </c>
      <c r="H293" s="3" t="s">
        <v>602</v>
      </c>
      <c r="I293" s="3" t="s">
        <v>640</v>
      </c>
      <c r="J293" s="3" t="s">
        <v>4</v>
      </c>
      <c r="K293" s="3" t="s">
        <v>640</v>
      </c>
      <c r="L293" s="3" t="s">
        <v>448</v>
      </c>
      <c r="M293" s="3" t="s">
        <v>14</v>
      </c>
      <c r="N293">
        <v>3000000</v>
      </c>
      <c r="O293">
        <v>77.091999999999999</v>
      </c>
      <c r="Q293">
        <v>0</v>
      </c>
      <c r="R293">
        <v>16</v>
      </c>
      <c r="S293" s="3" t="s">
        <v>640</v>
      </c>
      <c r="T293">
        <v>0</v>
      </c>
      <c r="U293">
        <v>0</v>
      </c>
      <c r="V293">
        <v>0</v>
      </c>
      <c r="W293">
        <v>0</v>
      </c>
      <c r="X293">
        <v>-2312769</v>
      </c>
      <c r="Y293" s="3" t="s">
        <v>640</v>
      </c>
      <c r="Z293">
        <v>77.091999999999999</v>
      </c>
      <c r="AA293">
        <v>3000000</v>
      </c>
      <c r="AB293" s="3" t="s">
        <v>449</v>
      </c>
      <c r="AC293" s="3" t="s">
        <v>10</v>
      </c>
      <c r="AD293">
        <v>0</v>
      </c>
      <c r="AE293">
        <v>0</v>
      </c>
      <c r="AF293" s="3" t="s">
        <v>640</v>
      </c>
    </row>
    <row r="294" spans="1:32" x14ac:dyDescent="0.35">
      <c r="A294" s="3" t="s">
        <v>608</v>
      </c>
      <c r="B294" s="3" t="s">
        <v>608</v>
      </c>
      <c r="C294" s="3" t="s">
        <v>608</v>
      </c>
      <c r="D294" s="3" t="s">
        <v>608</v>
      </c>
      <c r="E294" s="3" t="s">
        <v>608</v>
      </c>
      <c r="F294" s="3" t="s">
        <v>640</v>
      </c>
      <c r="G294" s="3" t="s">
        <v>472</v>
      </c>
      <c r="H294" s="3" t="s">
        <v>472</v>
      </c>
      <c r="I294" s="3" t="s">
        <v>640</v>
      </c>
      <c r="J294" s="3" t="s">
        <v>4</v>
      </c>
      <c r="K294" s="3" t="s">
        <v>640</v>
      </c>
      <c r="L294" s="3" t="s">
        <v>448</v>
      </c>
      <c r="M294" s="3" t="s">
        <v>14</v>
      </c>
      <c r="N294">
        <v>-274000</v>
      </c>
      <c r="O294">
        <v>106.627</v>
      </c>
      <c r="Q294">
        <v>0</v>
      </c>
      <c r="R294">
        <v>-9</v>
      </c>
      <c r="S294" s="3" t="s">
        <v>640</v>
      </c>
      <c r="T294">
        <v>0</v>
      </c>
      <c r="U294">
        <v>0</v>
      </c>
      <c r="V294">
        <v>0</v>
      </c>
      <c r="W294">
        <v>0</v>
      </c>
      <c r="X294">
        <v>292158</v>
      </c>
      <c r="Y294" s="3" t="s">
        <v>640</v>
      </c>
      <c r="Z294">
        <v>106.627</v>
      </c>
      <c r="AA294">
        <v>-274000</v>
      </c>
      <c r="AB294" s="3" t="s">
        <v>449</v>
      </c>
      <c r="AC294" s="3" t="s">
        <v>10</v>
      </c>
      <c r="AD294">
        <v>0</v>
      </c>
      <c r="AE294">
        <v>0</v>
      </c>
      <c r="AF294" s="3" t="s">
        <v>640</v>
      </c>
    </row>
    <row r="295" spans="1:32" x14ac:dyDescent="0.35">
      <c r="A295" s="3" t="s">
        <v>608</v>
      </c>
      <c r="B295" s="3" t="s">
        <v>608</v>
      </c>
      <c r="C295" s="3" t="s">
        <v>608</v>
      </c>
      <c r="D295" s="3" t="s">
        <v>608</v>
      </c>
      <c r="E295" s="3" t="s">
        <v>608</v>
      </c>
      <c r="F295" s="3" t="s">
        <v>640</v>
      </c>
      <c r="G295" s="3" t="s">
        <v>1001</v>
      </c>
      <c r="H295" s="3" t="s">
        <v>1001</v>
      </c>
      <c r="I295" s="3" t="s">
        <v>640</v>
      </c>
      <c r="J295" s="3" t="s">
        <v>4</v>
      </c>
      <c r="K295" s="3" t="s">
        <v>640</v>
      </c>
      <c r="L295" s="3" t="s">
        <v>448</v>
      </c>
      <c r="M295" s="3" t="s">
        <v>14</v>
      </c>
      <c r="N295">
        <v>-5240000</v>
      </c>
      <c r="O295">
        <v>108.129</v>
      </c>
      <c r="Q295">
        <v>0</v>
      </c>
      <c r="R295">
        <v>0</v>
      </c>
      <c r="S295" s="3" t="s">
        <v>640</v>
      </c>
      <c r="T295">
        <v>0</v>
      </c>
      <c r="U295">
        <v>0</v>
      </c>
      <c r="V295">
        <v>0</v>
      </c>
      <c r="W295">
        <v>0</v>
      </c>
      <c r="X295">
        <v>5665964</v>
      </c>
      <c r="Y295" s="3" t="s">
        <v>640</v>
      </c>
      <c r="Z295">
        <v>107.51</v>
      </c>
      <c r="AA295">
        <v>0</v>
      </c>
      <c r="AB295" s="3" t="s">
        <v>449</v>
      </c>
      <c r="AC295" s="3" t="s">
        <v>10</v>
      </c>
      <c r="AD295">
        <v>0</v>
      </c>
      <c r="AE295">
        <v>0</v>
      </c>
      <c r="AF295" s="3" t="s">
        <v>640</v>
      </c>
    </row>
    <row r="296" spans="1:32" x14ac:dyDescent="0.35">
      <c r="A296" s="3" t="s">
        <v>608</v>
      </c>
      <c r="B296" s="3" t="s">
        <v>608</v>
      </c>
      <c r="C296" s="3" t="s">
        <v>608</v>
      </c>
      <c r="D296" s="3" t="s">
        <v>608</v>
      </c>
      <c r="E296" s="3" t="s">
        <v>608</v>
      </c>
      <c r="F296" s="3" t="s">
        <v>640</v>
      </c>
      <c r="G296" s="3" t="s">
        <v>543</v>
      </c>
      <c r="H296" s="3" t="s">
        <v>543</v>
      </c>
      <c r="I296" s="3" t="s">
        <v>640</v>
      </c>
      <c r="J296" s="3" t="s">
        <v>4</v>
      </c>
      <c r="K296" s="3" t="s">
        <v>640</v>
      </c>
      <c r="L296" s="3" t="s">
        <v>448</v>
      </c>
      <c r="M296" s="3" t="s">
        <v>14</v>
      </c>
      <c r="N296">
        <v>-500000</v>
      </c>
      <c r="O296">
        <v>109.496</v>
      </c>
      <c r="Q296">
        <v>0</v>
      </c>
      <c r="R296">
        <v>-19</v>
      </c>
      <c r="S296" s="3" t="s">
        <v>640</v>
      </c>
      <c r="T296">
        <v>0</v>
      </c>
      <c r="U296">
        <v>0</v>
      </c>
      <c r="V296">
        <v>0</v>
      </c>
      <c r="W296">
        <v>0</v>
      </c>
      <c r="X296">
        <v>547482</v>
      </c>
      <c r="Y296" s="3" t="s">
        <v>640</v>
      </c>
      <c r="Z296">
        <v>109.496</v>
      </c>
      <c r="AA296">
        <v>-500000</v>
      </c>
      <c r="AB296" s="3" t="s">
        <v>449</v>
      </c>
      <c r="AC296" s="3" t="s">
        <v>10</v>
      </c>
      <c r="AD296">
        <v>0</v>
      </c>
      <c r="AE296">
        <v>0</v>
      </c>
      <c r="AF296" s="3" t="s">
        <v>640</v>
      </c>
    </row>
    <row r="297" spans="1:32" x14ac:dyDescent="0.35">
      <c r="A297" s="3" t="s">
        <v>608</v>
      </c>
      <c r="B297" s="3" t="s">
        <v>608</v>
      </c>
      <c r="C297" s="3" t="s">
        <v>608</v>
      </c>
      <c r="D297" s="3" t="s">
        <v>608</v>
      </c>
      <c r="E297" s="3" t="s">
        <v>608</v>
      </c>
      <c r="F297" s="3" t="s">
        <v>640</v>
      </c>
      <c r="G297" s="3" t="s">
        <v>868</v>
      </c>
      <c r="H297" s="3" t="s">
        <v>868</v>
      </c>
      <c r="I297" s="3" t="s">
        <v>640</v>
      </c>
      <c r="J297" s="3" t="s">
        <v>4</v>
      </c>
      <c r="K297" s="3" t="s">
        <v>640</v>
      </c>
      <c r="L297" s="3" t="s">
        <v>448</v>
      </c>
      <c r="M297" s="3" t="s">
        <v>14</v>
      </c>
      <c r="N297">
        <v>3600000</v>
      </c>
      <c r="O297">
        <v>75.876999999999995</v>
      </c>
      <c r="Q297">
        <v>0</v>
      </c>
      <c r="R297">
        <v>19</v>
      </c>
      <c r="S297" s="3" t="s">
        <v>640</v>
      </c>
      <c r="T297">
        <v>0</v>
      </c>
      <c r="U297">
        <v>0</v>
      </c>
      <c r="V297">
        <v>0</v>
      </c>
      <c r="W297">
        <v>0</v>
      </c>
      <c r="X297">
        <v>-2731586</v>
      </c>
      <c r="Y297" s="3" t="s">
        <v>640</v>
      </c>
      <c r="Z297">
        <v>75.876999999999995</v>
      </c>
      <c r="AA297">
        <v>3600000</v>
      </c>
      <c r="AB297" s="3" t="s">
        <v>449</v>
      </c>
      <c r="AC297" s="3" t="s">
        <v>10</v>
      </c>
      <c r="AD297">
        <v>0</v>
      </c>
      <c r="AE297">
        <v>0</v>
      </c>
      <c r="AF297" s="3" t="s">
        <v>640</v>
      </c>
    </row>
    <row r="298" spans="1:32" x14ac:dyDescent="0.35">
      <c r="A298" s="3" t="s">
        <v>608</v>
      </c>
      <c r="B298" s="3" t="s">
        <v>608</v>
      </c>
      <c r="C298" s="3" t="s">
        <v>608</v>
      </c>
      <c r="D298" s="3" t="s">
        <v>608</v>
      </c>
      <c r="E298" s="3" t="s">
        <v>608</v>
      </c>
      <c r="F298" s="3" t="s">
        <v>640</v>
      </c>
      <c r="G298" s="3" t="s">
        <v>544</v>
      </c>
      <c r="H298" s="3" t="s">
        <v>544</v>
      </c>
      <c r="I298" s="3" t="s">
        <v>640</v>
      </c>
      <c r="J298" s="3" t="s">
        <v>4</v>
      </c>
      <c r="K298" s="3" t="s">
        <v>640</v>
      </c>
      <c r="L298" s="3" t="s">
        <v>448</v>
      </c>
      <c r="M298" s="3" t="s">
        <v>14</v>
      </c>
      <c r="N298">
        <v>-1380000</v>
      </c>
      <c r="O298">
        <v>109.21899999999999</v>
      </c>
      <c r="Q298">
        <v>0</v>
      </c>
      <c r="R298">
        <v>-45</v>
      </c>
      <c r="S298" s="3" t="s">
        <v>640</v>
      </c>
      <c r="T298">
        <v>0</v>
      </c>
      <c r="U298">
        <v>0</v>
      </c>
      <c r="V298">
        <v>0</v>
      </c>
      <c r="W298">
        <v>0</v>
      </c>
      <c r="X298">
        <v>1502105</v>
      </c>
      <c r="Y298" s="3" t="s">
        <v>640</v>
      </c>
      <c r="Z298">
        <v>108.059</v>
      </c>
      <c r="AA298">
        <v>-1500000</v>
      </c>
      <c r="AB298" s="3" t="s">
        <v>449</v>
      </c>
      <c r="AC298" s="3" t="s">
        <v>10</v>
      </c>
      <c r="AD298">
        <v>0</v>
      </c>
      <c r="AE298">
        <v>0</v>
      </c>
      <c r="AF298" s="3" t="s">
        <v>640</v>
      </c>
    </row>
    <row r="299" spans="1:32" x14ac:dyDescent="0.35">
      <c r="A299" s="3" t="s">
        <v>608</v>
      </c>
      <c r="B299" s="3" t="s">
        <v>608</v>
      </c>
      <c r="C299" s="3" t="s">
        <v>608</v>
      </c>
      <c r="D299" s="3" t="s">
        <v>608</v>
      </c>
      <c r="E299" s="3" t="s">
        <v>608</v>
      </c>
      <c r="F299" s="3" t="s">
        <v>640</v>
      </c>
      <c r="G299" s="3" t="s">
        <v>495</v>
      </c>
      <c r="H299" s="3" t="s">
        <v>495</v>
      </c>
      <c r="I299" s="3" t="s">
        <v>640</v>
      </c>
      <c r="J299" s="3" t="s">
        <v>4</v>
      </c>
      <c r="K299" s="3" t="s">
        <v>640</v>
      </c>
      <c r="L299" s="3" t="s">
        <v>448</v>
      </c>
      <c r="M299" s="3" t="s">
        <v>14</v>
      </c>
      <c r="N299">
        <v>0</v>
      </c>
      <c r="O299">
        <v>138.33799999999999</v>
      </c>
      <c r="Q299">
        <v>0</v>
      </c>
      <c r="R299">
        <v>-58</v>
      </c>
      <c r="S299" s="3" t="s">
        <v>640</v>
      </c>
      <c r="T299">
        <v>0</v>
      </c>
      <c r="U299">
        <v>0</v>
      </c>
      <c r="V299">
        <v>0</v>
      </c>
      <c r="W299">
        <v>0</v>
      </c>
      <c r="X299">
        <v>0</v>
      </c>
      <c r="Y299" s="3" t="s">
        <v>640</v>
      </c>
      <c r="Z299">
        <v>138.33799999999999</v>
      </c>
      <c r="AA299">
        <v>-38050</v>
      </c>
      <c r="AB299" s="3" t="s">
        <v>449</v>
      </c>
      <c r="AC299" s="3" t="s">
        <v>10</v>
      </c>
      <c r="AD299">
        <v>0</v>
      </c>
      <c r="AE299">
        <v>0</v>
      </c>
      <c r="AF299" s="3" t="s">
        <v>640</v>
      </c>
    </row>
    <row r="300" spans="1:32" x14ac:dyDescent="0.35">
      <c r="A300" s="3" t="s">
        <v>608</v>
      </c>
      <c r="B300" s="3" t="s">
        <v>608</v>
      </c>
      <c r="C300" s="3" t="s">
        <v>608</v>
      </c>
      <c r="D300" s="3" t="s">
        <v>608</v>
      </c>
      <c r="E300" s="3" t="s">
        <v>608</v>
      </c>
      <c r="F300" s="3" t="s">
        <v>640</v>
      </c>
      <c r="G300" s="3" t="s">
        <v>496</v>
      </c>
      <c r="H300" s="3" t="s">
        <v>496</v>
      </c>
      <c r="I300" s="3" t="s">
        <v>640</v>
      </c>
      <c r="J300" s="3" t="s">
        <v>4</v>
      </c>
      <c r="K300" s="3" t="s">
        <v>640</v>
      </c>
      <c r="L300" s="3" t="s">
        <v>448</v>
      </c>
      <c r="M300" s="3" t="s">
        <v>14</v>
      </c>
      <c r="N300">
        <v>-1500000</v>
      </c>
      <c r="O300">
        <v>113.435</v>
      </c>
      <c r="Q300">
        <v>0</v>
      </c>
      <c r="R300">
        <v>-45</v>
      </c>
      <c r="S300" s="3" t="s">
        <v>640</v>
      </c>
      <c r="T300">
        <v>0</v>
      </c>
      <c r="U300">
        <v>0</v>
      </c>
      <c r="V300">
        <v>0</v>
      </c>
      <c r="W300">
        <v>0</v>
      </c>
      <c r="X300">
        <v>1690274</v>
      </c>
      <c r="Y300" s="3" t="s">
        <v>640</v>
      </c>
      <c r="Z300">
        <v>113.435</v>
      </c>
      <c r="AA300">
        <v>-1500000</v>
      </c>
      <c r="AB300" s="3" t="s">
        <v>449</v>
      </c>
      <c r="AC300" s="3" t="s">
        <v>10</v>
      </c>
      <c r="AD300">
        <v>0</v>
      </c>
      <c r="AE300">
        <v>0</v>
      </c>
      <c r="AF300" s="3" t="s">
        <v>640</v>
      </c>
    </row>
    <row r="301" spans="1:32" x14ac:dyDescent="0.35">
      <c r="A301" s="3" t="s">
        <v>608</v>
      </c>
      <c r="B301" s="3" t="s">
        <v>608</v>
      </c>
      <c r="C301" s="3" t="s">
        <v>608</v>
      </c>
      <c r="D301" s="3" t="s">
        <v>608</v>
      </c>
      <c r="E301" s="3" t="s">
        <v>608</v>
      </c>
      <c r="F301" s="3" t="s">
        <v>640</v>
      </c>
      <c r="G301" s="3" t="s">
        <v>903</v>
      </c>
      <c r="H301" s="3" t="s">
        <v>903</v>
      </c>
      <c r="I301" s="3" t="s">
        <v>640</v>
      </c>
      <c r="J301" s="3" t="s">
        <v>4</v>
      </c>
      <c r="K301" s="3" t="s">
        <v>640</v>
      </c>
      <c r="L301" s="3" t="s">
        <v>448</v>
      </c>
      <c r="M301" s="3" t="s">
        <v>14</v>
      </c>
      <c r="N301">
        <v>-3000000</v>
      </c>
      <c r="O301">
        <v>108.27200000000001</v>
      </c>
      <c r="Q301">
        <v>0</v>
      </c>
      <c r="R301">
        <v>-86</v>
      </c>
      <c r="S301" s="3" t="s">
        <v>640</v>
      </c>
      <c r="T301">
        <v>0</v>
      </c>
      <c r="U301">
        <v>0</v>
      </c>
      <c r="V301">
        <v>0</v>
      </c>
      <c r="W301">
        <v>0</v>
      </c>
      <c r="X301">
        <v>3248169</v>
      </c>
      <c r="Y301" s="3" t="s">
        <v>640</v>
      </c>
      <c r="Z301">
        <v>108.27200000000001</v>
      </c>
      <c r="AA301">
        <v>-3000000</v>
      </c>
      <c r="AB301" s="3" t="s">
        <v>449</v>
      </c>
      <c r="AC301" s="3" t="s">
        <v>10</v>
      </c>
      <c r="AD301">
        <v>0</v>
      </c>
      <c r="AE301">
        <v>0</v>
      </c>
      <c r="AF301" s="3" t="s">
        <v>640</v>
      </c>
    </row>
    <row r="302" spans="1:32" x14ac:dyDescent="0.35">
      <c r="A302" s="3" t="s">
        <v>608</v>
      </c>
      <c r="B302" s="3" t="s">
        <v>608</v>
      </c>
      <c r="C302" s="3" t="s">
        <v>608</v>
      </c>
      <c r="D302" s="3" t="s">
        <v>608</v>
      </c>
      <c r="E302" s="3" t="s">
        <v>608</v>
      </c>
      <c r="F302" s="3" t="s">
        <v>640</v>
      </c>
      <c r="G302" s="3" t="s">
        <v>497</v>
      </c>
      <c r="H302" s="3" t="s">
        <v>497</v>
      </c>
      <c r="I302" s="3" t="s">
        <v>640</v>
      </c>
      <c r="J302" s="3" t="s">
        <v>283</v>
      </c>
      <c r="K302" s="3" t="s">
        <v>640</v>
      </c>
      <c r="L302" s="3" t="s">
        <v>448</v>
      </c>
      <c r="M302" s="3" t="s">
        <v>14</v>
      </c>
      <c r="N302">
        <v>200000</v>
      </c>
      <c r="O302">
        <v>78.147999999999996</v>
      </c>
      <c r="Q302">
        <v>0</v>
      </c>
      <c r="R302">
        <v>-2</v>
      </c>
      <c r="S302" s="3" t="s">
        <v>640</v>
      </c>
      <c r="T302">
        <v>0</v>
      </c>
      <c r="U302">
        <v>0</v>
      </c>
      <c r="V302">
        <v>0</v>
      </c>
      <c r="W302">
        <v>0</v>
      </c>
      <c r="X302">
        <v>-173917</v>
      </c>
      <c r="Y302" s="3" t="s">
        <v>640</v>
      </c>
      <c r="Z302">
        <v>78.147999999999996</v>
      </c>
      <c r="AA302">
        <v>200000</v>
      </c>
      <c r="AB302" s="3" t="s">
        <v>449</v>
      </c>
      <c r="AC302" s="3" t="s">
        <v>10</v>
      </c>
      <c r="AD302">
        <v>0</v>
      </c>
      <c r="AE302">
        <v>0</v>
      </c>
      <c r="AF302" s="3" t="s">
        <v>640</v>
      </c>
    </row>
    <row r="303" spans="1:32" x14ac:dyDescent="0.35">
      <c r="A303" s="3" t="s">
        <v>608</v>
      </c>
      <c r="B303" s="3" t="s">
        <v>608</v>
      </c>
      <c r="C303" s="3" t="s">
        <v>608</v>
      </c>
      <c r="D303" s="3" t="s">
        <v>608</v>
      </c>
      <c r="E303" s="3" t="s">
        <v>608</v>
      </c>
      <c r="F303" s="3" t="s">
        <v>640</v>
      </c>
      <c r="G303" s="3" t="s">
        <v>850</v>
      </c>
      <c r="H303" s="3" t="s">
        <v>850</v>
      </c>
      <c r="I303" s="3" t="s">
        <v>640</v>
      </c>
      <c r="J303" s="3" t="s">
        <v>283</v>
      </c>
      <c r="K303" s="3" t="s">
        <v>640</v>
      </c>
      <c r="L303" s="3" t="s">
        <v>448</v>
      </c>
      <c r="M303" s="3" t="s">
        <v>14</v>
      </c>
      <c r="N303">
        <v>-3200000</v>
      </c>
      <c r="O303">
        <v>112.3</v>
      </c>
      <c r="Q303">
        <v>0</v>
      </c>
      <c r="R303">
        <v>-43</v>
      </c>
      <c r="S303" s="3" t="s">
        <v>640</v>
      </c>
      <c r="T303">
        <v>0</v>
      </c>
      <c r="U303">
        <v>0</v>
      </c>
      <c r="V303">
        <v>0</v>
      </c>
      <c r="W303">
        <v>0</v>
      </c>
      <c r="X303">
        <v>3998746</v>
      </c>
      <c r="Y303" s="3" t="s">
        <v>640</v>
      </c>
      <c r="Z303">
        <v>112.217</v>
      </c>
      <c r="AA303">
        <v>-3600000</v>
      </c>
      <c r="AB303" s="3" t="s">
        <v>449</v>
      </c>
      <c r="AC303" s="3" t="s">
        <v>10</v>
      </c>
      <c r="AD303">
        <v>0</v>
      </c>
      <c r="AE303">
        <v>0</v>
      </c>
      <c r="AF303" s="3" t="s">
        <v>640</v>
      </c>
    </row>
    <row r="304" spans="1:32" x14ac:dyDescent="0.35">
      <c r="A304" s="3" t="s">
        <v>608</v>
      </c>
      <c r="B304" s="3" t="s">
        <v>608</v>
      </c>
      <c r="C304" s="3" t="s">
        <v>608</v>
      </c>
      <c r="D304" s="3" t="s">
        <v>608</v>
      </c>
      <c r="E304" s="3" t="s">
        <v>608</v>
      </c>
      <c r="F304" s="3" t="s">
        <v>640</v>
      </c>
      <c r="G304" s="3" t="s">
        <v>590</v>
      </c>
      <c r="H304" s="3" t="s">
        <v>590</v>
      </c>
      <c r="I304" s="3" t="s">
        <v>640</v>
      </c>
      <c r="J304" s="3" t="s">
        <v>4</v>
      </c>
      <c r="K304" s="3" t="s">
        <v>640</v>
      </c>
      <c r="L304" s="3" t="s">
        <v>448</v>
      </c>
      <c r="M304" s="3" t="s">
        <v>14</v>
      </c>
      <c r="N304">
        <v>0</v>
      </c>
      <c r="O304">
        <v>103.84</v>
      </c>
      <c r="Q304">
        <v>0</v>
      </c>
      <c r="R304">
        <v>0</v>
      </c>
      <c r="S304" s="3" t="s">
        <v>640</v>
      </c>
      <c r="T304">
        <v>0</v>
      </c>
      <c r="U304">
        <v>0</v>
      </c>
      <c r="V304">
        <v>0</v>
      </c>
      <c r="W304">
        <v>0</v>
      </c>
      <c r="X304">
        <v>0</v>
      </c>
      <c r="Y304" s="3" t="s">
        <v>640</v>
      </c>
      <c r="Z304">
        <v>103.84</v>
      </c>
      <c r="AA304">
        <v>0</v>
      </c>
      <c r="AB304" s="3" t="s">
        <v>449</v>
      </c>
      <c r="AC304" s="3" t="s">
        <v>10</v>
      </c>
      <c r="AD304">
        <v>0</v>
      </c>
      <c r="AE304">
        <v>0</v>
      </c>
      <c r="AF304" s="3" t="s">
        <v>640</v>
      </c>
    </row>
    <row r="305" spans="1:32" x14ac:dyDescent="0.35">
      <c r="A305" s="3" t="s">
        <v>608</v>
      </c>
      <c r="B305" s="3" t="s">
        <v>608</v>
      </c>
      <c r="C305" s="3" t="s">
        <v>608</v>
      </c>
      <c r="D305" s="3" t="s">
        <v>608</v>
      </c>
      <c r="E305" s="3" t="s">
        <v>608</v>
      </c>
      <c r="F305" s="3" t="s">
        <v>640</v>
      </c>
      <c r="G305" s="3" t="s">
        <v>473</v>
      </c>
      <c r="H305" s="3" t="s">
        <v>473</v>
      </c>
      <c r="I305" s="3" t="s">
        <v>640</v>
      </c>
      <c r="J305" s="3" t="s">
        <v>4</v>
      </c>
      <c r="K305" s="3" t="s">
        <v>640</v>
      </c>
      <c r="L305" s="3" t="s">
        <v>448</v>
      </c>
      <c r="M305" s="3" t="s">
        <v>14</v>
      </c>
      <c r="N305">
        <v>-1000000</v>
      </c>
      <c r="O305">
        <v>113.86199999999999</v>
      </c>
      <c r="Q305">
        <v>0</v>
      </c>
      <c r="R305">
        <v>-30</v>
      </c>
      <c r="S305" s="3" t="s">
        <v>640</v>
      </c>
      <c r="T305">
        <v>0</v>
      </c>
      <c r="U305">
        <v>0</v>
      </c>
      <c r="V305">
        <v>0</v>
      </c>
      <c r="W305">
        <v>0</v>
      </c>
      <c r="X305">
        <v>1138622</v>
      </c>
      <c r="Y305" s="3" t="s">
        <v>640</v>
      </c>
      <c r="Z305">
        <v>113.86199999999999</v>
      </c>
      <c r="AA305">
        <v>-1000000</v>
      </c>
      <c r="AB305" s="3" t="s">
        <v>449</v>
      </c>
      <c r="AC305" s="3" t="s">
        <v>10</v>
      </c>
      <c r="AD305">
        <v>0</v>
      </c>
      <c r="AE305">
        <v>0</v>
      </c>
      <c r="AF305" s="3" t="s">
        <v>640</v>
      </c>
    </row>
    <row r="306" spans="1:32" x14ac:dyDescent="0.35">
      <c r="A306" s="3" t="s">
        <v>608</v>
      </c>
      <c r="B306" s="3" t="s">
        <v>608</v>
      </c>
      <c r="C306" s="3" t="s">
        <v>608</v>
      </c>
      <c r="D306" s="3" t="s">
        <v>608</v>
      </c>
      <c r="E306" s="3" t="s">
        <v>608</v>
      </c>
      <c r="F306" s="3" t="s">
        <v>640</v>
      </c>
      <c r="G306" s="3" t="s">
        <v>474</v>
      </c>
      <c r="H306" s="3" t="s">
        <v>474</v>
      </c>
      <c r="I306" s="3" t="s">
        <v>640</v>
      </c>
      <c r="J306" s="3" t="s">
        <v>4</v>
      </c>
      <c r="K306" s="3" t="s">
        <v>640</v>
      </c>
      <c r="L306" s="3" t="s">
        <v>448</v>
      </c>
      <c r="M306" s="3" t="s">
        <v>14</v>
      </c>
      <c r="N306">
        <v>2300000</v>
      </c>
      <c r="O306">
        <v>90.320999999999998</v>
      </c>
      <c r="Q306">
        <v>0</v>
      </c>
      <c r="R306">
        <v>14</v>
      </c>
      <c r="S306" s="3" t="s">
        <v>640</v>
      </c>
      <c r="T306">
        <v>0</v>
      </c>
      <c r="U306">
        <v>0</v>
      </c>
      <c r="V306">
        <v>0</v>
      </c>
      <c r="W306">
        <v>0</v>
      </c>
      <c r="X306">
        <v>-2077387</v>
      </c>
      <c r="Y306" s="3" t="s">
        <v>640</v>
      </c>
      <c r="Z306">
        <v>90.320999999999998</v>
      </c>
      <c r="AA306">
        <v>2300000</v>
      </c>
      <c r="AB306" s="3" t="s">
        <v>449</v>
      </c>
      <c r="AC306" s="3" t="s">
        <v>10</v>
      </c>
      <c r="AD306">
        <v>0</v>
      </c>
      <c r="AE306">
        <v>0</v>
      </c>
      <c r="AF306" s="3" t="s">
        <v>640</v>
      </c>
    </row>
    <row r="307" spans="1:32" x14ac:dyDescent="0.35">
      <c r="A307" s="3" t="s">
        <v>608</v>
      </c>
      <c r="B307" s="3" t="s">
        <v>608</v>
      </c>
      <c r="C307" s="3" t="s">
        <v>608</v>
      </c>
      <c r="D307" s="3" t="s">
        <v>608</v>
      </c>
      <c r="E307" s="3" t="s">
        <v>608</v>
      </c>
      <c r="F307" s="3" t="s">
        <v>640</v>
      </c>
      <c r="G307" s="3" t="s">
        <v>869</v>
      </c>
      <c r="H307" s="3" t="s">
        <v>869</v>
      </c>
      <c r="I307" s="3" t="s">
        <v>640</v>
      </c>
      <c r="J307" s="3" t="s">
        <v>4</v>
      </c>
      <c r="K307" s="3" t="s">
        <v>640</v>
      </c>
      <c r="L307" s="3" t="s">
        <v>448</v>
      </c>
      <c r="M307" s="3" t="s">
        <v>14</v>
      </c>
      <c r="N307">
        <v>0</v>
      </c>
      <c r="O307">
        <v>82.5</v>
      </c>
      <c r="Q307">
        <v>0</v>
      </c>
      <c r="R307">
        <v>0</v>
      </c>
      <c r="S307" s="3" t="s">
        <v>640</v>
      </c>
      <c r="T307">
        <v>0</v>
      </c>
      <c r="U307">
        <v>0</v>
      </c>
      <c r="V307">
        <v>0</v>
      </c>
      <c r="W307">
        <v>0</v>
      </c>
      <c r="X307">
        <v>0</v>
      </c>
      <c r="Y307" s="3" t="s">
        <v>640</v>
      </c>
      <c r="Z307">
        <v>82.5</v>
      </c>
      <c r="AA307">
        <v>0</v>
      </c>
      <c r="AB307" s="3" t="s">
        <v>449</v>
      </c>
      <c r="AC307" s="3" t="s">
        <v>10</v>
      </c>
      <c r="AD307">
        <v>0</v>
      </c>
      <c r="AE307">
        <v>0</v>
      </c>
      <c r="AF307" s="3" t="s">
        <v>640</v>
      </c>
    </row>
    <row r="308" spans="1:32" x14ac:dyDescent="0.35">
      <c r="A308" s="3" t="s">
        <v>608</v>
      </c>
      <c r="B308" s="3" t="s">
        <v>608</v>
      </c>
      <c r="C308" s="3" t="s">
        <v>608</v>
      </c>
      <c r="D308" s="3" t="s">
        <v>608</v>
      </c>
      <c r="E308" s="3" t="s">
        <v>608</v>
      </c>
      <c r="F308" s="3" t="s">
        <v>640</v>
      </c>
      <c r="G308" s="3" t="s">
        <v>1197</v>
      </c>
      <c r="H308" s="3" t="s">
        <v>1197</v>
      </c>
      <c r="I308" s="3" t="s">
        <v>640</v>
      </c>
      <c r="J308" s="3" t="s">
        <v>4</v>
      </c>
      <c r="K308" s="3" t="s">
        <v>640</v>
      </c>
      <c r="L308" s="3" t="s">
        <v>448</v>
      </c>
      <c r="M308" s="3" t="s">
        <v>14</v>
      </c>
      <c r="N308">
        <v>3000000</v>
      </c>
      <c r="O308">
        <v>78.876999999999995</v>
      </c>
      <c r="Q308">
        <v>0</v>
      </c>
      <c r="R308">
        <v>0</v>
      </c>
      <c r="S308" s="3" t="s">
        <v>640</v>
      </c>
      <c r="T308">
        <v>0</v>
      </c>
      <c r="U308">
        <v>0</v>
      </c>
      <c r="V308">
        <v>0</v>
      </c>
      <c r="W308">
        <v>0</v>
      </c>
      <c r="X308">
        <v>-2366299</v>
      </c>
      <c r="Y308" s="3" t="s">
        <v>640</v>
      </c>
      <c r="Z308">
        <v>106.083</v>
      </c>
      <c r="AA308">
        <v>0</v>
      </c>
      <c r="AB308" s="3" t="s">
        <v>449</v>
      </c>
      <c r="AC308" s="3" t="s">
        <v>10</v>
      </c>
      <c r="AD308">
        <v>0</v>
      </c>
      <c r="AE308">
        <v>0</v>
      </c>
      <c r="AF308" s="3" t="s">
        <v>640</v>
      </c>
    </row>
    <row r="309" spans="1:32" x14ac:dyDescent="0.35">
      <c r="A309" s="3" t="s">
        <v>608</v>
      </c>
      <c r="B309" s="3" t="s">
        <v>608</v>
      </c>
      <c r="C309" s="3" t="s">
        <v>608</v>
      </c>
      <c r="D309" s="3" t="s">
        <v>608</v>
      </c>
      <c r="E309" s="3" t="s">
        <v>608</v>
      </c>
      <c r="F309" s="3" t="s">
        <v>640</v>
      </c>
      <c r="G309" s="3" t="s">
        <v>904</v>
      </c>
      <c r="H309" s="3" t="s">
        <v>904</v>
      </c>
      <c r="I309" s="3" t="s">
        <v>640</v>
      </c>
      <c r="J309" s="3" t="s">
        <v>4</v>
      </c>
      <c r="K309" s="3" t="s">
        <v>640</v>
      </c>
      <c r="L309" s="3" t="s">
        <v>448</v>
      </c>
      <c r="M309" s="3" t="s">
        <v>14</v>
      </c>
      <c r="N309">
        <v>-6900000</v>
      </c>
      <c r="O309">
        <v>106.79600000000001</v>
      </c>
      <c r="Q309">
        <v>0</v>
      </c>
      <c r="R309">
        <v>-224</v>
      </c>
      <c r="S309" s="3" t="s">
        <v>640</v>
      </c>
      <c r="T309">
        <v>0</v>
      </c>
      <c r="U309">
        <v>0</v>
      </c>
      <c r="V309">
        <v>0</v>
      </c>
      <c r="W309">
        <v>0</v>
      </c>
      <c r="X309">
        <v>7368931</v>
      </c>
      <c r="Y309" s="3" t="s">
        <v>640</v>
      </c>
      <c r="Z309">
        <v>106.14</v>
      </c>
      <c r="AA309">
        <v>-8000000</v>
      </c>
      <c r="AB309" s="3" t="s">
        <v>449</v>
      </c>
      <c r="AC309" s="3" t="s">
        <v>10</v>
      </c>
      <c r="AD309">
        <v>0</v>
      </c>
      <c r="AE309">
        <v>0</v>
      </c>
      <c r="AF309" s="3" t="s">
        <v>640</v>
      </c>
    </row>
    <row r="310" spans="1:32" x14ac:dyDescent="0.35">
      <c r="A310" s="3" t="s">
        <v>608</v>
      </c>
      <c r="B310" s="3" t="s">
        <v>608</v>
      </c>
      <c r="C310" s="3" t="s">
        <v>608</v>
      </c>
      <c r="D310" s="3" t="s">
        <v>608</v>
      </c>
      <c r="E310" s="3" t="s">
        <v>608</v>
      </c>
      <c r="F310" s="3" t="s">
        <v>640</v>
      </c>
      <c r="G310" s="3" t="s">
        <v>515</v>
      </c>
      <c r="H310" s="3" t="s">
        <v>515</v>
      </c>
      <c r="I310" s="3" t="s">
        <v>640</v>
      </c>
      <c r="J310" s="3" t="s">
        <v>283</v>
      </c>
      <c r="K310" s="3" t="s">
        <v>640</v>
      </c>
      <c r="L310" s="3" t="s">
        <v>448</v>
      </c>
      <c r="M310" s="3" t="s">
        <v>14</v>
      </c>
      <c r="N310">
        <v>-1590000</v>
      </c>
      <c r="O310">
        <v>117.7</v>
      </c>
      <c r="Q310">
        <v>0</v>
      </c>
      <c r="R310">
        <v>-27</v>
      </c>
      <c r="S310" s="3" t="s">
        <v>640</v>
      </c>
      <c r="T310">
        <v>0</v>
      </c>
      <c r="U310">
        <v>0</v>
      </c>
      <c r="V310">
        <v>0</v>
      </c>
      <c r="W310">
        <v>0</v>
      </c>
      <c r="X310">
        <v>2082420</v>
      </c>
      <c r="Y310" s="3" t="s">
        <v>640</v>
      </c>
      <c r="Z310">
        <v>117.751</v>
      </c>
      <c r="AA310">
        <v>-2159000</v>
      </c>
      <c r="AB310" s="3" t="s">
        <v>449</v>
      </c>
      <c r="AC310" s="3" t="s">
        <v>10</v>
      </c>
      <c r="AD310">
        <v>0</v>
      </c>
      <c r="AE310">
        <v>0</v>
      </c>
      <c r="AF310" s="3" t="s">
        <v>640</v>
      </c>
    </row>
    <row r="311" spans="1:32" x14ac:dyDescent="0.35">
      <c r="A311" s="3" t="s">
        <v>608</v>
      </c>
      <c r="B311" s="3" t="s">
        <v>608</v>
      </c>
      <c r="C311" s="3" t="s">
        <v>608</v>
      </c>
      <c r="D311" s="3" t="s">
        <v>608</v>
      </c>
      <c r="E311" s="3" t="s">
        <v>608</v>
      </c>
      <c r="F311" s="3" t="s">
        <v>640</v>
      </c>
      <c r="G311" s="3" t="s">
        <v>549</v>
      </c>
      <c r="H311" s="3" t="s">
        <v>549</v>
      </c>
      <c r="I311" s="3" t="s">
        <v>640</v>
      </c>
      <c r="J311" s="3" t="s">
        <v>4</v>
      </c>
      <c r="K311" s="3" t="s">
        <v>640</v>
      </c>
      <c r="L311" s="3" t="s">
        <v>448</v>
      </c>
      <c r="M311" s="3" t="s">
        <v>14</v>
      </c>
      <c r="N311">
        <v>0</v>
      </c>
      <c r="O311">
        <v>101.226</v>
      </c>
      <c r="Q311">
        <v>0</v>
      </c>
      <c r="R311">
        <v>-45</v>
      </c>
      <c r="S311" s="3" t="s">
        <v>640</v>
      </c>
      <c r="T311">
        <v>0</v>
      </c>
      <c r="U311">
        <v>0</v>
      </c>
      <c r="V311">
        <v>0</v>
      </c>
      <c r="W311">
        <v>0</v>
      </c>
      <c r="X311">
        <v>0</v>
      </c>
      <c r="Y311" s="3" t="s">
        <v>640</v>
      </c>
      <c r="Z311">
        <v>101.226</v>
      </c>
      <c r="AA311">
        <v>-1700000</v>
      </c>
      <c r="AB311" s="3" t="s">
        <v>449</v>
      </c>
      <c r="AC311" s="3" t="s">
        <v>10</v>
      </c>
      <c r="AD311">
        <v>0</v>
      </c>
      <c r="AE311">
        <v>0</v>
      </c>
      <c r="AF311" s="3" t="s">
        <v>640</v>
      </c>
    </row>
    <row r="312" spans="1:32" x14ac:dyDescent="0.35">
      <c r="A312" s="3" t="s">
        <v>608</v>
      </c>
      <c r="B312" s="3" t="s">
        <v>608</v>
      </c>
      <c r="C312" s="3" t="s">
        <v>608</v>
      </c>
      <c r="D312" s="3" t="s">
        <v>608</v>
      </c>
      <c r="E312" s="3" t="s">
        <v>608</v>
      </c>
      <c r="F312" s="3" t="s">
        <v>640</v>
      </c>
      <c r="G312" s="3" t="s">
        <v>510</v>
      </c>
      <c r="H312" s="3" t="s">
        <v>510</v>
      </c>
      <c r="I312" s="3" t="s">
        <v>640</v>
      </c>
      <c r="J312" s="3" t="s">
        <v>4</v>
      </c>
      <c r="K312" s="3" t="s">
        <v>640</v>
      </c>
      <c r="L312" s="3" t="s">
        <v>448</v>
      </c>
      <c r="M312" s="3" t="s">
        <v>14</v>
      </c>
      <c r="N312">
        <v>-3900000</v>
      </c>
      <c r="O312">
        <v>99.055000000000007</v>
      </c>
      <c r="Q312">
        <v>0</v>
      </c>
      <c r="R312">
        <v>-102</v>
      </c>
      <c r="S312" s="3" t="s">
        <v>640</v>
      </c>
      <c r="T312">
        <v>0</v>
      </c>
      <c r="U312">
        <v>0</v>
      </c>
      <c r="V312">
        <v>0</v>
      </c>
      <c r="W312">
        <v>0</v>
      </c>
      <c r="X312">
        <v>3876184</v>
      </c>
      <c r="Y312" s="3" t="s">
        <v>640</v>
      </c>
      <c r="Z312">
        <v>99.055000000000007</v>
      </c>
      <c r="AA312">
        <v>-3900000</v>
      </c>
      <c r="AB312" s="3" t="s">
        <v>449</v>
      </c>
      <c r="AC312" s="3" t="s">
        <v>10</v>
      </c>
      <c r="AD312">
        <v>0</v>
      </c>
      <c r="AE312">
        <v>0</v>
      </c>
      <c r="AF312" s="3" t="s">
        <v>640</v>
      </c>
    </row>
    <row r="313" spans="1:32" x14ac:dyDescent="0.35">
      <c r="A313" s="3" t="s">
        <v>608</v>
      </c>
      <c r="B313" s="3" t="s">
        <v>608</v>
      </c>
      <c r="C313" s="3" t="s">
        <v>608</v>
      </c>
      <c r="D313" s="3" t="s">
        <v>608</v>
      </c>
      <c r="E313" s="3" t="s">
        <v>608</v>
      </c>
      <c r="F313" s="3" t="s">
        <v>640</v>
      </c>
      <c r="G313" s="3" t="s">
        <v>535</v>
      </c>
      <c r="H313" s="3" t="s">
        <v>535</v>
      </c>
      <c r="I313" s="3" t="s">
        <v>640</v>
      </c>
      <c r="J313" s="3" t="s">
        <v>4</v>
      </c>
      <c r="K313" s="3" t="s">
        <v>640</v>
      </c>
      <c r="L313" s="3" t="s">
        <v>448</v>
      </c>
      <c r="M313" s="3" t="s">
        <v>14</v>
      </c>
      <c r="N313">
        <v>0</v>
      </c>
      <c r="O313">
        <v>106.693</v>
      </c>
      <c r="Q313">
        <v>0</v>
      </c>
      <c r="R313">
        <v>0</v>
      </c>
      <c r="S313" s="3" t="s">
        <v>640</v>
      </c>
      <c r="T313">
        <v>0</v>
      </c>
      <c r="U313">
        <v>0</v>
      </c>
      <c r="V313">
        <v>0</v>
      </c>
      <c r="W313">
        <v>0</v>
      </c>
      <c r="X313">
        <v>0</v>
      </c>
      <c r="Y313" s="3" t="s">
        <v>640</v>
      </c>
      <c r="Z313">
        <v>106.693</v>
      </c>
      <c r="AA313">
        <v>0</v>
      </c>
      <c r="AB313" s="3" t="s">
        <v>449</v>
      </c>
      <c r="AC313" s="3" t="s">
        <v>10</v>
      </c>
      <c r="AD313">
        <v>0</v>
      </c>
      <c r="AE313">
        <v>0</v>
      </c>
      <c r="AF313" s="3" t="s">
        <v>640</v>
      </c>
    </row>
    <row r="314" spans="1:32" x14ac:dyDescent="0.35">
      <c r="A314" s="3" t="s">
        <v>608</v>
      </c>
      <c r="B314" s="3" t="s">
        <v>608</v>
      </c>
      <c r="C314" s="3" t="s">
        <v>608</v>
      </c>
      <c r="D314" s="3" t="s">
        <v>608</v>
      </c>
      <c r="E314" s="3" t="s">
        <v>608</v>
      </c>
      <c r="F314" s="3" t="s">
        <v>640</v>
      </c>
      <c r="G314" s="3" t="s">
        <v>870</v>
      </c>
      <c r="H314" s="3" t="s">
        <v>870</v>
      </c>
      <c r="I314" s="3" t="s">
        <v>640</v>
      </c>
      <c r="J314" s="3" t="s">
        <v>4</v>
      </c>
      <c r="K314" s="3" t="s">
        <v>640</v>
      </c>
      <c r="L314" s="3" t="s">
        <v>448</v>
      </c>
      <c r="M314" s="3" t="s">
        <v>14</v>
      </c>
      <c r="N314">
        <v>2400000</v>
      </c>
      <c r="O314">
        <v>103.01300000000001</v>
      </c>
      <c r="Q314">
        <v>0</v>
      </c>
      <c r="R314">
        <v>21</v>
      </c>
      <c r="S314" s="3" t="s">
        <v>640</v>
      </c>
      <c r="T314">
        <v>0</v>
      </c>
      <c r="U314">
        <v>0</v>
      </c>
      <c r="V314">
        <v>0</v>
      </c>
      <c r="W314">
        <v>0</v>
      </c>
      <c r="X314">
        <v>-2472315</v>
      </c>
      <c r="Y314" s="3" t="s">
        <v>640</v>
      </c>
      <c r="Z314">
        <v>103.01300000000001</v>
      </c>
      <c r="AA314">
        <v>2400000</v>
      </c>
      <c r="AB314" s="3" t="s">
        <v>449</v>
      </c>
      <c r="AC314" s="3" t="s">
        <v>10</v>
      </c>
      <c r="AD314">
        <v>0</v>
      </c>
      <c r="AE314">
        <v>0</v>
      </c>
      <c r="AF314" s="3" t="s">
        <v>640</v>
      </c>
    </row>
    <row r="315" spans="1:32" x14ac:dyDescent="0.35">
      <c r="A315" s="3" t="s">
        <v>608</v>
      </c>
      <c r="B315" s="3" t="s">
        <v>608</v>
      </c>
      <c r="C315" s="3" t="s">
        <v>608</v>
      </c>
      <c r="D315" s="3" t="s">
        <v>608</v>
      </c>
      <c r="E315" s="3" t="s">
        <v>608</v>
      </c>
      <c r="F315" s="3" t="s">
        <v>640</v>
      </c>
      <c r="G315" s="3" t="s">
        <v>519</v>
      </c>
      <c r="H315" s="3" t="s">
        <v>519</v>
      </c>
      <c r="I315" s="3" t="s">
        <v>640</v>
      </c>
      <c r="J315" s="3" t="s">
        <v>4</v>
      </c>
      <c r="K315" s="3" t="s">
        <v>640</v>
      </c>
      <c r="L315" s="3" t="s">
        <v>448</v>
      </c>
      <c r="M315" s="3" t="s">
        <v>14</v>
      </c>
      <c r="N315">
        <v>-1535000</v>
      </c>
      <c r="O315">
        <v>111.629</v>
      </c>
      <c r="Q315">
        <v>0</v>
      </c>
      <c r="R315">
        <v>-53</v>
      </c>
      <c r="S315" s="3" t="s">
        <v>640</v>
      </c>
      <c r="T315">
        <v>0</v>
      </c>
      <c r="U315">
        <v>0</v>
      </c>
      <c r="V315">
        <v>0</v>
      </c>
      <c r="W315">
        <v>0</v>
      </c>
      <c r="X315">
        <v>1713499</v>
      </c>
      <c r="Y315" s="3" t="s">
        <v>640</v>
      </c>
      <c r="Z315">
        <v>108.613</v>
      </c>
      <c r="AA315">
        <v>-1815000</v>
      </c>
      <c r="AB315" s="3" t="s">
        <v>449</v>
      </c>
      <c r="AC315" s="3" t="s">
        <v>10</v>
      </c>
      <c r="AD315">
        <v>0</v>
      </c>
      <c r="AE315">
        <v>0</v>
      </c>
      <c r="AF315" s="3" t="s">
        <v>640</v>
      </c>
    </row>
    <row r="316" spans="1:32" x14ac:dyDescent="0.35">
      <c r="A316" s="3" t="s">
        <v>608</v>
      </c>
      <c r="B316" s="3" t="s">
        <v>608</v>
      </c>
      <c r="C316" s="3" t="s">
        <v>608</v>
      </c>
      <c r="D316" s="3" t="s">
        <v>608</v>
      </c>
      <c r="E316" s="3" t="s">
        <v>608</v>
      </c>
      <c r="F316" s="3" t="s">
        <v>640</v>
      </c>
      <c r="G316" s="3" t="s">
        <v>871</v>
      </c>
      <c r="H316" s="3" t="s">
        <v>871</v>
      </c>
      <c r="I316" s="3" t="s">
        <v>640</v>
      </c>
      <c r="J316" s="3" t="s">
        <v>4</v>
      </c>
      <c r="K316" s="3" t="s">
        <v>640</v>
      </c>
      <c r="L316" s="3" t="s">
        <v>448</v>
      </c>
      <c r="M316" s="3" t="s">
        <v>14</v>
      </c>
      <c r="N316">
        <v>2000000</v>
      </c>
      <c r="O316">
        <v>85.248000000000005</v>
      </c>
      <c r="Q316">
        <v>0</v>
      </c>
      <c r="R316">
        <v>12</v>
      </c>
      <c r="S316" s="3" t="s">
        <v>640</v>
      </c>
      <c r="T316">
        <v>0</v>
      </c>
      <c r="U316">
        <v>0</v>
      </c>
      <c r="V316">
        <v>0</v>
      </c>
      <c r="W316">
        <v>0</v>
      </c>
      <c r="X316">
        <v>-1704954</v>
      </c>
      <c r="Y316" s="3" t="s">
        <v>640</v>
      </c>
      <c r="Z316">
        <v>85.248000000000005</v>
      </c>
      <c r="AA316">
        <v>2000000</v>
      </c>
      <c r="AB316" s="3" t="s">
        <v>449</v>
      </c>
      <c r="AC316" s="3" t="s">
        <v>10</v>
      </c>
      <c r="AD316">
        <v>0</v>
      </c>
      <c r="AE316">
        <v>0</v>
      </c>
      <c r="AF316" s="3" t="s">
        <v>640</v>
      </c>
    </row>
    <row r="317" spans="1:32" x14ac:dyDescent="0.35">
      <c r="A317" s="3" t="s">
        <v>608</v>
      </c>
      <c r="B317" s="3" t="s">
        <v>608</v>
      </c>
      <c r="C317" s="3" t="s">
        <v>608</v>
      </c>
      <c r="D317" s="3" t="s">
        <v>608</v>
      </c>
      <c r="E317" s="3" t="s">
        <v>608</v>
      </c>
      <c r="F317" s="3" t="s">
        <v>640</v>
      </c>
      <c r="G317" s="3" t="s">
        <v>518</v>
      </c>
      <c r="H317" s="3" t="s">
        <v>518</v>
      </c>
      <c r="I317" s="3" t="s">
        <v>640</v>
      </c>
      <c r="J317" s="3" t="s">
        <v>4</v>
      </c>
      <c r="K317" s="3" t="s">
        <v>640</v>
      </c>
      <c r="L317" s="3" t="s">
        <v>448</v>
      </c>
      <c r="M317" s="3" t="s">
        <v>14</v>
      </c>
      <c r="N317">
        <v>-2300000</v>
      </c>
      <c r="O317">
        <v>113.47499999999999</v>
      </c>
      <c r="Q317">
        <v>0</v>
      </c>
      <c r="R317">
        <v>-78</v>
      </c>
      <c r="S317" s="3" t="s">
        <v>640</v>
      </c>
      <c r="T317">
        <v>0</v>
      </c>
      <c r="U317">
        <v>0</v>
      </c>
      <c r="V317">
        <v>0</v>
      </c>
      <c r="W317">
        <v>0</v>
      </c>
      <c r="X317">
        <v>2609923</v>
      </c>
      <c r="Y317" s="3" t="s">
        <v>640</v>
      </c>
      <c r="Z317">
        <v>113.79300000000001</v>
      </c>
      <c r="AA317">
        <v>-2600000</v>
      </c>
      <c r="AB317" s="3" t="s">
        <v>449</v>
      </c>
      <c r="AC317" s="3" t="s">
        <v>10</v>
      </c>
      <c r="AD317">
        <v>0</v>
      </c>
      <c r="AE317">
        <v>0</v>
      </c>
      <c r="AF317" s="3" t="s">
        <v>640</v>
      </c>
    </row>
    <row r="318" spans="1:32" x14ac:dyDescent="0.35">
      <c r="A318" s="3" t="s">
        <v>608</v>
      </c>
      <c r="B318" s="3" t="s">
        <v>608</v>
      </c>
      <c r="C318" s="3" t="s">
        <v>608</v>
      </c>
      <c r="D318" s="3" t="s">
        <v>608</v>
      </c>
      <c r="E318" s="3" t="s">
        <v>608</v>
      </c>
      <c r="F318" s="3" t="s">
        <v>640</v>
      </c>
      <c r="G318" s="3" t="s">
        <v>451</v>
      </c>
      <c r="H318" s="3" t="s">
        <v>451</v>
      </c>
      <c r="I318" s="3" t="s">
        <v>640</v>
      </c>
      <c r="J318" s="3" t="s">
        <v>4</v>
      </c>
      <c r="K318" s="3" t="s">
        <v>640</v>
      </c>
      <c r="L318" s="3" t="s">
        <v>448</v>
      </c>
      <c r="M318" s="3" t="s">
        <v>14</v>
      </c>
      <c r="N318">
        <v>-6181000</v>
      </c>
      <c r="O318">
        <v>110.87</v>
      </c>
      <c r="Q318">
        <v>0</v>
      </c>
      <c r="R318">
        <v>-180</v>
      </c>
      <c r="S318" s="3" t="s">
        <v>640</v>
      </c>
      <c r="T318">
        <v>0</v>
      </c>
      <c r="U318">
        <v>0</v>
      </c>
      <c r="V318">
        <v>0</v>
      </c>
      <c r="W318">
        <v>0</v>
      </c>
      <c r="X318">
        <v>6807932</v>
      </c>
      <c r="Y318" s="3" t="s">
        <v>640</v>
      </c>
      <c r="Z318">
        <v>110.87</v>
      </c>
      <c r="AA318">
        <v>-6181000</v>
      </c>
      <c r="AB318" s="3" t="s">
        <v>449</v>
      </c>
      <c r="AC318" s="3" t="s">
        <v>10</v>
      </c>
      <c r="AD318">
        <v>0</v>
      </c>
      <c r="AE318">
        <v>0</v>
      </c>
      <c r="AF318" s="3" t="s">
        <v>640</v>
      </c>
    </row>
    <row r="319" spans="1:32" x14ac:dyDescent="0.35">
      <c r="A319" s="3" t="s">
        <v>608</v>
      </c>
      <c r="B319" s="3" t="s">
        <v>608</v>
      </c>
      <c r="C319" s="3" t="s">
        <v>608</v>
      </c>
      <c r="D319" s="3" t="s">
        <v>608</v>
      </c>
      <c r="E319" s="3" t="s">
        <v>608</v>
      </c>
      <c r="F319" s="3" t="s">
        <v>640</v>
      </c>
      <c r="G319" s="3" t="s">
        <v>593</v>
      </c>
      <c r="H319" s="3" t="s">
        <v>593</v>
      </c>
      <c r="I319" s="3" t="s">
        <v>640</v>
      </c>
      <c r="J319" s="3" t="s">
        <v>4</v>
      </c>
      <c r="K319" s="3" t="s">
        <v>640</v>
      </c>
      <c r="L319" s="3" t="s">
        <v>448</v>
      </c>
      <c r="M319" s="3" t="s">
        <v>14</v>
      </c>
      <c r="N319">
        <v>-1000000</v>
      </c>
      <c r="O319">
        <v>107.11</v>
      </c>
      <c r="Q319">
        <v>0</v>
      </c>
      <c r="R319">
        <v>-28</v>
      </c>
      <c r="S319" s="3" t="s">
        <v>640</v>
      </c>
      <c r="T319">
        <v>0</v>
      </c>
      <c r="U319">
        <v>0</v>
      </c>
      <c r="V319">
        <v>0</v>
      </c>
      <c r="W319">
        <v>0</v>
      </c>
      <c r="X319">
        <v>1071100</v>
      </c>
      <c r="Y319" s="3" t="s">
        <v>640</v>
      </c>
      <c r="Z319">
        <v>107.11</v>
      </c>
      <c r="AA319">
        <v>-1000000</v>
      </c>
      <c r="AB319" s="3" t="s">
        <v>449</v>
      </c>
      <c r="AC319" s="3" t="s">
        <v>10</v>
      </c>
      <c r="AD319">
        <v>0</v>
      </c>
      <c r="AE319">
        <v>0</v>
      </c>
      <c r="AF319" s="3" t="s">
        <v>640</v>
      </c>
    </row>
    <row r="320" spans="1:32" x14ac:dyDescent="0.35">
      <c r="A320" s="3" t="s">
        <v>608</v>
      </c>
      <c r="B320" s="3" t="s">
        <v>608</v>
      </c>
      <c r="C320" s="3" t="s">
        <v>608</v>
      </c>
      <c r="D320" s="3" t="s">
        <v>608</v>
      </c>
      <c r="E320" s="3" t="s">
        <v>608</v>
      </c>
      <c r="F320" s="3" t="s">
        <v>640</v>
      </c>
      <c r="G320" s="3" t="s">
        <v>498</v>
      </c>
      <c r="H320" s="3" t="s">
        <v>498</v>
      </c>
      <c r="I320" s="3" t="s">
        <v>640</v>
      </c>
      <c r="J320" s="3" t="s">
        <v>4</v>
      </c>
      <c r="K320" s="3" t="s">
        <v>640</v>
      </c>
      <c r="L320" s="3" t="s">
        <v>448</v>
      </c>
      <c r="M320" s="3" t="s">
        <v>14</v>
      </c>
      <c r="N320">
        <v>-500000</v>
      </c>
      <c r="O320">
        <v>100.142</v>
      </c>
      <c r="Q320">
        <v>0</v>
      </c>
      <c r="R320">
        <v>-13</v>
      </c>
      <c r="S320" s="3" t="s">
        <v>640</v>
      </c>
      <c r="T320">
        <v>0</v>
      </c>
      <c r="U320">
        <v>0</v>
      </c>
      <c r="V320">
        <v>0</v>
      </c>
      <c r="W320">
        <v>0</v>
      </c>
      <c r="X320">
        <v>500708</v>
      </c>
      <c r="Y320" s="3" t="s">
        <v>640</v>
      </c>
      <c r="Z320">
        <v>100.142</v>
      </c>
      <c r="AA320">
        <v>-500000</v>
      </c>
      <c r="AB320" s="3" t="s">
        <v>449</v>
      </c>
      <c r="AC320" s="3" t="s">
        <v>10</v>
      </c>
      <c r="AD320">
        <v>0</v>
      </c>
      <c r="AE320">
        <v>0</v>
      </c>
      <c r="AF320" s="3" t="s">
        <v>640</v>
      </c>
    </row>
    <row r="321" spans="1:32" x14ac:dyDescent="0.35">
      <c r="A321" s="3" t="s">
        <v>608</v>
      </c>
      <c r="B321" s="3" t="s">
        <v>608</v>
      </c>
      <c r="C321" s="3" t="s">
        <v>608</v>
      </c>
      <c r="D321" s="3" t="s">
        <v>608</v>
      </c>
      <c r="E321" s="3" t="s">
        <v>608</v>
      </c>
      <c r="F321" s="3" t="s">
        <v>640</v>
      </c>
      <c r="G321" s="3" t="s">
        <v>499</v>
      </c>
      <c r="H321" s="3" t="s">
        <v>499</v>
      </c>
      <c r="I321" s="3" t="s">
        <v>640</v>
      </c>
      <c r="J321" s="3" t="s">
        <v>4</v>
      </c>
      <c r="K321" s="3" t="s">
        <v>640</v>
      </c>
      <c r="L321" s="3" t="s">
        <v>448</v>
      </c>
      <c r="M321" s="3" t="s">
        <v>14</v>
      </c>
      <c r="N321">
        <v>-900000</v>
      </c>
      <c r="O321">
        <v>117.274</v>
      </c>
      <c r="Q321">
        <v>0</v>
      </c>
      <c r="R321">
        <v>-28</v>
      </c>
      <c r="S321" s="3" t="s">
        <v>640</v>
      </c>
      <c r="T321">
        <v>0</v>
      </c>
      <c r="U321">
        <v>0</v>
      </c>
      <c r="V321">
        <v>0</v>
      </c>
      <c r="W321">
        <v>0</v>
      </c>
      <c r="X321">
        <v>1055468</v>
      </c>
      <c r="Y321" s="3" t="s">
        <v>640</v>
      </c>
      <c r="Z321">
        <v>117.274</v>
      </c>
      <c r="AA321">
        <v>-900000</v>
      </c>
      <c r="AB321" s="3" t="s">
        <v>449</v>
      </c>
      <c r="AC321" s="3" t="s">
        <v>10</v>
      </c>
      <c r="AD321">
        <v>0</v>
      </c>
      <c r="AE321">
        <v>0</v>
      </c>
      <c r="AF321" s="3" t="s">
        <v>640</v>
      </c>
    </row>
    <row r="322" spans="1:32" x14ac:dyDescent="0.35">
      <c r="A322" s="3" t="s">
        <v>608</v>
      </c>
      <c r="B322" s="3" t="s">
        <v>608</v>
      </c>
      <c r="C322" s="3" t="s">
        <v>608</v>
      </c>
      <c r="D322" s="3" t="s">
        <v>608</v>
      </c>
      <c r="E322" s="3" t="s">
        <v>608</v>
      </c>
      <c r="F322" s="3" t="s">
        <v>640</v>
      </c>
      <c r="G322" s="3" t="s">
        <v>484</v>
      </c>
      <c r="H322" s="3" t="s">
        <v>484</v>
      </c>
      <c r="I322" s="3" t="s">
        <v>640</v>
      </c>
      <c r="J322" s="3" t="s">
        <v>4</v>
      </c>
      <c r="K322" s="3" t="s">
        <v>640</v>
      </c>
      <c r="L322" s="3" t="s">
        <v>448</v>
      </c>
      <c r="M322" s="3" t="s">
        <v>14</v>
      </c>
      <c r="N322">
        <v>1200000</v>
      </c>
      <c r="O322">
        <v>80.861000000000004</v>
      </c>
      <c r="Q322">
        <v>0</v>
      </c>
      <c r="R322">
        <v>8</v>
      </c>
      <c r="S322" s="3" t="s">
        <v>640</v>
      </c>
      <c r="T322">
        <v>0</v>
      </c>
      <c r="U322">
        <v>0</v>
      </c>
      <c r="V322">
        <v>0</v>
      </c>
      <c r="W322">
        <v>0</v>
      </c>
      <c r="X322">
        <v>-970329</v>
      </c>
      <c r="Y322" s="3" t="s">
        <v>640</v>
      </c>
      <c r="Z322">
        <v>80.861000000000004</v>
      </c>
      <c r="AA322">
        <v>1200000</v>
      </c>
      <c r="AB322" s="3" t="s">
        <v>449</v>
      </c>
      <c r="AC322" s="3" t="s">
        <v>10</v>
      </c>
      <c r="AD322">
        <v>0</v>
      </c>
      <c r="AE322">
        <v>0</v>
      </c>
      <c r="AF322" s="3" t="s">
        <v>640</v>
      </c>
    </row>
    <row r="323" spans="1:32" x14ac:dyDescent="0.35">
      <c r="A323" s="3" t="s">
        <v>608</v>
      </c>
      <c r="B323" s="3" t="s">
        <v>608</v>
      </c>
      <c r="C323" s="3" t="s">
        <v>608</v>
      </c>
      <c r="D323" s="3" t="s">
        <v>608</v>
      </c>
      <c r="E323" s="3" t="s">
        <v>608</v>
      </c>
      <c r="F323" s="3" t="s">
        <v>640</v>
      </c>
      <c r="G323" s="3" t="s">
        <v>500</v>
      </c>
      <c r="H323" s="3" t="s">
        <v>500</v>
      </c>
      <c r="I323" s="3" t="s">
        <v>640</v>
      </c>
      <c r="J323" s="3" t="s">
        <v>4</v>
      </c>
      <c r="K323" s="3" t="s">
        <v>640</v>
      </c>
      <c r="L323" s="3" t="s">
        <v>448</v>
      </c>
      <c r="M323" s="3" t="s">
        <v>14</v>
      </c>
      <c r="N323">
        <v>-2000000</v>
      </c>
      <c r="O323">
        <v>111.211</v>
      </c>
      <c r="Q323">
        <v>0</v>
      </c>
      <c r="R323">
        <v>-59</v>
      </c>
      <c r="S323" s="3" t="s">
        <v>640</v>
      </c>
      <c r="T323">
        <v>0</v>
      </c>
      <c r="U323">
        <v>0</v>
      </c>
      <c r="V323">
        <v>0</v>
      </c>
      <c r="W323">
        <v>0</v>
      </c>
      <c r="X323">
        <v>2224228</v>
      </c>
      <c r="Y323" s="3" t="s">
        <v>640</v>
      </c>
      <c r="Z323">
        <v>111.211</v>
      </c>
      <c r="AA323">
        <v>-2000000</v>
      </c>
      <c r="AB323" s="3" t="s">
        <v>449</v>
      </c>
      <c r="AC323" s="3" t="s">
        <v>10</v>
      </c>
      <c r="AD323">
        <v>0</v>
      </c>
      <c r="AE323">
        <v>0</v>
      </c>
      <c r="AF323" s="3" t="s">
        <v>640</v>
      </c>
    </row>
    <row r="324" spans="1:32" x14ac:dyDescent="0.35">
      <c r="A324" s="3" t="s">
        <v>608</v>
      </c>
      <c r="B324" s="3" t="s">
        <v>608</v>
      </c>
      <c r="C324" s="3" t="s">
        <v>608</v>
      </c>
      <c r="D324" s="3" t="s">
        <v>608</v>
      </c>
      <c r="E324" s="3" t="s">
        <v>608</v>
      </c>
      <c r="F324" s="3" t="s">
        <v>640</v>
      </c>
      <c r="G324" s="3" t="s">
        <v>541</v>
      </c>
      <c r="H324" s="3" t="s">
        <v>541</v>
      </c>
      <c r="I324" s="3" t="s">
        <v>640</v>
      </c>
      <c r="J324" s="3" t="s">
        <v>4</v>
      </c>
      <c r="K324" s="3" t="s">
        <v>640</v>
      </c>
      <c r="L324" s="3" t="s">
        <v>448</v>
      </c>
      <c r="M324" s="3" t="s">
        <v>14</v>
      </c>
      <c r="N324">
        <v>3700000</v>
      </c>
      <c r="O324">
        <v>88.753</v>
      </c>
      <c r="Q324">
        <v>0</v>
      </c>
      <c r="R324">
        <v>23</v>
      </c>
      <c r="S324" s="3" t="s">
        <v>640</v>
      </c>
      <c r="T324">
        <v>0</v>
      </c>
      <c r="U324">
        <v>0</v>
      </c>
      <c r="V324">
        <v>0</v>
      </c>
      <c r="W324">
        <v>0</v>
      </c>
      <c r="X324">
        <v>-3283879</v>
      </c>
      <c r="Y324" s="3" t="s">
        <v>640</v>
      </c>
      <c r="Z324">
        <v>88.753</v>
      </c>
      <c r="AA324">
        <v>3700000</v>
      </c>
      <c r="AB324" s="3" t="s">
        <v>449</v>
      </c>
      <c r="AC324" s="3" t="s">
        <v>10</v>
      </c>
      <c r="AD324">
        <v>0</v>
      </c>
      <c r="AE324">
        <v>0</v>
      </c>
      <c r="AF324" s="3" t="s">
        <v>640</v>
      </c>
    </row>
    <row r="325" spans="1:32" x14ac:dyDescent="0.35">
      <c r="A325" s="3" t="s">
        <v>608</v>
      </c>
      <c r="B325" s="3" t="s">
        <v>608</v>
      </c>
      <c r="C325" s="3" t="s">
        <v>608</v>
      </c>
      <c r="D325" s="3" t="s">
        <v>608</v>
      </c>
      <c r="E325" s="3" t="s">
        <v>608</v>
      </c>
      <c r="F325" s="3" t="s">
        <v>640</v>
      </c>
      <c r="G325" s="3" t="s">
        <v>502</v>
      </c>
      <c r="H325" s="3" t="s">
        <v>502</v>
      </c>
      <c r="I325" s="3" t="s">
        <v>640</v>
      </c>
      <c r="J325" s="3" t="s">
        <v>4</v>
      </c>
      <c r="K325" s="3" t="s">
        <v>640</v>
      </c>
      <c r="L325" s="3" t="s">
        <v>448</v>
      </c>
      <c r="M325" s="3" t="s">
        <v>14</v>
      </c>
      <c r="N325">
        <v>1500000</v>
      </c>
      <c r="O325">
        <v>87.034999999999997</v>
      </c>
      <c r="Q325">
        <v>0</v>
      </c>
      <c r="R325">
        <v>9</v>
      </c>
      <c r="S325" s="3" t="s">
        <v>640</v>
      </c>
      <c r="T325">
        <v>0</v>
      </c>
      <c r="U325">
        <v>0</v>
      </c>
      <c r="V325">
        <v>0</v>
      </c>
      <c r="W325">
        <v>0</v>
      </c>
      <c r="X325">
        <v>-1305523</v>
      </c>
      <c r="Y325" s="3" t="s">
        <v>640</v>
      </c>
      <c r="Z325">
        <v>87.034999999999997</v>
      </c>
      <c r="AA325">
        <v>1500000</v>
      </c>
      <c r="AB325" s="3" t="s">
        <v>449</v>
      </c>
      <c r="AC325" s="3" t="s">
        <v>10</v>
      </c>
      <c r="AD325">
        <v>0</v>
      </c>
      <c r="AE325">
        <v>0</v>
      </c>
      <c r="AF325" s="3" t="s">
        <v>640</v>
      </c>
    </row>
    <row r="326" spans="1:32" x14ac:dyDescent="0.35">
      <c r="A326" s="3" t="s">
        <v>608</v>
      </c>
      <c r="B326" s="3" t="s">
        <v>608</v>
      </c>
      <c r="C326" s="3" t="s">
        <v>608</v>
      </c>
      <c r="D326" s="3" t="s">
        <v>608</v>
      </c>
      <c r="E326" s="3" t="s">
        <v>608</v>
      </c>
      <c r="F326" s="3" t="s">
        <v>640</v>
      </c>
      <c r="G326" s="3" t="s">
        <v>524</v>
      </c>
      <c r="H326" s="3" t="s">
        <v>524</v>
      </c>
      <c r="I326" s="3" t="s">
        <v>640</v>
      </c>
      <c r="J326" s="3" t="s">
        <v>4</v>
      </c>
      <c r="K326" s="3" t="s">
        <v>640</v>
      </c>
      <c r="L326" s="3" t="s">
        <v>448</v>
      </c>
      <c r="M326" s="3" t="s">
        <v>14</v>
      </c>
      <c r="N326">
        <v>1000000</v>
      </c>
      <c r="O326">
        <v>110.819</v>
      </c>
      <c r="Q326">
        <v>0</v>
      </c>
      <c r="R326">
        <v>8</v>
      </c>
      <c r="S326" s="3" t="s">
        <v>640</v>
      </c>
      <c r="T326">
        <v>0</v>
      </c>
      <c r="U326">
        <v>0</v>
      </c>
      <c r="V326">
        <v>0</v>
      </c>
      <c r="W326">
        <v>0</v>
      </c>
      <c r="X326">
        <v>-1108192</v>
      </c>
      <c r="Y326" s="3" t="s">
        <v>640</v>
      </c>
      <c r="Z326">
        <v>110.819</v>
      </c>
      <c r="AA326">
        <v>1000000</v>
      </c>
      <c r="AB326" s="3" t="s">
        <v>449</v>
      </c>
      <c r="AC326" s="3" t="s">
        <v>10</v>
      </c>
      <c r="AD326">
        <v>0</v>
      </c>
      <c r="AE326">
        <v>0</v>
      </c>
      <c r="AF326" s="3" t="s">
        <v>640</v>
      </c>
    </row>
    <row r="327" spans="1:32" x14ac:dyDescent="0.35">
      <c r="A327" s="3" t="s">
        <v>608</v>
      </c>
      <c r="B327" s="3" t="s">
        <v>608</v>
      </c>
      <c r="C327" s="3" t="s">
        <v>608</v>
      </c>
      <c r="D327" s="3" t="s">
        <v>608</v>
      </c>
      <c r="E327" s="3" t="s">
        <v>608</v>
      </c>
      <c r="F327" s="3" t="s">
        <v>640</v>
      </c>
      <c r="G327" s="3" t="s">
        <v>503</v>
      </c>
      <c r="H327" s="3" t="s">
        <v>503</v>
      </c>
      <c r="I327" s="3" t="s">
        <v>640</v>
      </c>
      <c r="J327" s="3" t="s">
        <v>4</v>
      </c>
      <c r="K327" s="3" t="s">
        <v>640</v>
      </c>
      <c r="L327" s="3" t="s">
        <v>448</v>
      </c>
      <c r="M327" s="3" t="s">
        <v>14</v>
      </c>
      <c r="N327">
        <v>-14200000</v>
      </c>
      <c r="O327">
        <v>103.113</v>
      </c>
      <c r="Q327">
        <v>0</v>
      </c>
      <c r="R327">
        <v>-395</v>
      </c>
      <c r="S327" s="3" t="s">
        <v>640</v>
      </c>
      <c r="T327">
        <v>0</v>
      </c>
      <c r="U327">
        <v>0</v>
      </c>
      <c r="V327">
        <v>0</v>
      </c>
      <c r="W327">
        <v>0</v>
      </c>
      <c r="X327">
        <v>14650069</v>
      </c>
      <c r="Y327" s="3" t="s">
        <v>640</v>
      </c>
      <c r="Z327">
        <v>103.113</v>
      </c>
      <c r="AA327">
        <v>-14200000</v>
      </c>
      <c r="AB327" s="3" t="s">
        <v>449</v>
      </c>
      <c r="AC327" s="3" t="s">
        <v>10</v>
      </c>
      <c r="AD327">
        <v>0</v>
      </c>
      <c r="AE327">
        <v>0</v>
      </c>
      <c r="AF327" s="3" t="s">
        <v>640</v>
      </c>
    </row>
    <row r="328" spans="1:32" x14ac:dyDescent="0.35">
      <c r="A328" s="3" t="s">
        <v>608</v>
      </c>
      <c r="B328" s="3" t="s">
        <v>608</v>
      </c>
      <c r="C328" s="3" t="s">
        <v>608</v>
      </c>
      <c r="D328" s="3" t="s">
        <v>608</v>
      </c>
      <c r="E328" s="3" t="s">
        <v>608</v>
      </c>
      <c r="F328" s="3" t="s">
        <v>640</v>
      </c>
      <c r="G328" s="3" t="s">
        <v>452</v>
      </c>
      <c r="H328" s="3" t="s">
        <v>452</v>
      </c>
      <c r="I328" s="3" t="s">
        <v>640</v>
      </c>
      <c r="J328" s="3" t="s">
        <v>4</v>
      </c>
      <c r="K328" s="3" t="s">
        <v>640</v>
      </c>
      <c r="L328" s="3" t="s">
        <v>448</v>
      </c>
      <c r="M328" s="3" t="s">
        <v>14</v>
      </c>
      <c r="N328">
        <v>-8167000</v>
      </c>
      <c r="O328">
        <v>107.19499999999999</v>
      </c>
      <c r="Q328">
        <v>0</v>
      </c>
      <c r="R328">
        <v>-228</v>
      </c>
      <c r="S328" s="3" t="s">
        <v>640</v>
      </c>
      <c r="T328">
        <v>0</v>
      </c>
      <c r="U328">
        <v>0</v>
      </c>
      <c r="V328">
        <v>0</v>
      </c>
      <c r="W328">
        <v>0</v>
      </c>
      <c r="X328">
        <v>8642045</v>
      </c>
      <c r="Y328" s="3" t="s">
        <v>640</v>
      </c>
      <c r="Z328">
        <v>107.19499999999999</v>
      </c>
      <c r="AA328">
        <v>-8167000</v>
      </c>
      <c r="AB328" s="3" t="s">
        <v>449</v>
      </c>
      <c r="AC328" s="3" t="s">
        <v>10</v>
      </c>
      <c r="AD328">
        <v>0</v>
      </c>
      <c r="AE328">
        <v>0</v>
      </c>
      <c r="AF328" s="3" t="s">
        <v>640</v>
      </c>
    </row>
    <row r="329" spans="1:32" x14ac:dyDescent="0.35">
      <c r="A329" s="3" t="s">
        <v>608</v>
      </c>
      <c r="B329" s="3" t="s">
        <v>608</v>
      </c>
      <c r="C329" s="3" t="s">
        <v>608</v>
      </c>
      <c r="D329" s="3" t="s">
        <v>608</v>
      </c>
      <c r="E329" s="3" t="s">
        <v>608</v>
      </c>
      <c r="F329" s="3" t="s">
        <v>640</v>
      </c>
      <c r="G329" s="3" t="s">
        <v>872</v>
      </c>
      <c r="H329" s="3" t="s">
        <v>872</v>
      </c>
      <c r="I329" s="3" t="s">
        <v>640</v>
      </c>
      <c r="J329" s="3" t="s">
        <v>4</v>
      </c>
      <c r="K329" s="3" t="s">
        <v>640</v>
      </c>
      <c r="L329" s="3" t="s">
        <v>448</v>
      </c>
      <c r="M329" s="3" t="s">
        <v>14</v>
      </c>
      <c r="N329">
        <v>0</v>
      </c>
      <c r="O329">
        <v>91.853999999999999</v>
      </c>
      <c r="Q329">
        <v>0</v>
      </c>
      <c r="R329">
        <v>7</v>
      </c>
      <c r="S329" s="3" t="s">
        <v>640</v>
      </c>
      <c r="T329">
        <v>0</v>
      </c>
      <c r="U329">
        <v>0</v>
      </c>
      <c r="V329">
        <v>0</v>
      </c>
      <c r="W329">
        <v>0</v>
      </c>
      <c r="X329">
        <v>0</v>
      </c>
      <c r="Y329" s="3" t="s">
        <v>640</v>
      </c>
      <c r="Z329">
        <v>91.853999999999999</v>
      </c>
      <c r="AA329">
        <v>1050000</v>
      </c>
      <c r="AB329" s="3" t="s">
        <v>449</v>
      </c>
      <c r="AC329" s="3" t="s">
        <v>10</v>
      </c>
      <c r="AD329">
        <v>0</v>
      </c>
      <c r="AE329">
        <v>0</v>
      </c>
      <c r="AF329" s="3" t="s">
        <v>640</v>
      </c>
    </row>
    <row r="330" spans="1:32" x14ac:dyDescent="0.35">
      <c r="A330" s="3" t="s">
        <v>608</v>
      </c>
      <c r="B330" s="3" t="s">
        <v>608</v>
      </c>
      <c r="C330" s="3" t="s">
        <v>608</v>
      </c>
      <c r="D330" s="3" t="s">
        <v>608</v>
      </c>
      <c r="E330" s="3" t="s">
        <v>608</v>
      </c>
      <c r="F330" s="3" t="s">
        <v>640</v>
      </c>
      <c r="G330" s="3" t="s">
        <v>873</v>
      </c>
      <c r="H330" s="3" t="s">
        <v>873</v>
      </c>
      <c r="I330" s="3" t="s">
        <v>640</v>
      </c>
      <c r="J330" s="3" t="s">
        <v>4</v>
      </c>
      <c r="K330" s="3" t="s">
        <v>640</v>
      </c>
      <c r="L330" s="3" t="s">
        <v>448</v>
      </c>
      <c r="M330" s="3" t="s">
        <v>14</v>
      </c>
      <c r="N330">
        <v>9700000</v>
      </c>
      <c r="O330">
        <v>79.176000000000002</v>
      </c>
      <c r="Q330">
        <v>0</v>
      </c>
      <c r="R330">
        <v>53</v>
      </c>
      <c r="S330" s="3" t="s">
        <v>640</v>
      </c>
      <c r="T330">
        <v>0</v>
      </c>
      <c r="U330">
        <v>0</v>
      </c>
      <c r="V330">
        <v>0</v>
      </c>
      <c r="W330">
        <v>0</v>
      </c>
      <c r="X330">
        <v>-7680058</v>
      </c>
      <c r="Y330" s="3" t="s">
        <v>640</v>
      </c>
      <c r="Z330">
        <v>79.176000000000002</v>
      </c>
      <c r="AA330">
        <v>9700000</v>
      </c>
      <c r="AB330" s="3" t="s">
        <v>449</v>
      </c>
      <c r="AC330" s="3" t="s">
        <v>10</v>
      </c>
      <c r="AD330">
        <v>0</v>
      </c>
      <c r="AE330">
        <v>0</v>
      </c>
      <c r="AF330" s="3" t="s">
        <v>640</v>
      </c>
    </row>
    <row r="331" spans="1:32" x14ac:dyDescent="0.35">
      <c r="A331" s="3" t="s">
        <v>608</v>
      </c>
      <c r="B331" s="3" t="s">
        <v>608</v>
      </c>
      <c r="C331" s="3" t="s">
        <v>608</v>
      </c>
      <c r="D331" s="3" t="s">
        <v>608</v>
      </c>
      <c r="E331" s="3" t="s">
        <v>608</v>
      </c>
      <c r="F331" s="3" t="s">
        <v>640</v>
      </c>
      <c r="G331" s="3" t="s">
        <v>481</v>
      </c>
      <c r="H331" s="3" t="s">
        <v>481</v>
      </c>
      <c r="I331" s="3" t="s">
        <v>640</v>
      </c>
      <c r="J331" s="3" t="s">
        <v>4</v>
      </c>
      <c r="K331" s="3" t="s">
        <v>640</v>
      </c>
      <c r="L331" s="3" t="s">
        <v>448</v>
      </c>
      <c r="M331" s="3" t="s">
        <v>14</v>
      </c>
      <c r="N331">
        <v>-2500000</v>
      </c>
      <c r="O331">
        <v>107.65300000000001</v>
      </c>
      <c r="Q331">
        <v>0</v>
      </c>
      <c r="R331">
        <v>-71</v>
      </c>
      <c r="S331" s="3" t="s">
        <v>640</v>
      </c>
      <c r="T331">
        <v>0</v>
      </c>
      <c r="U331">
        <v>0</v>
      </c>
      <c r="V331">
        <v>0</v>
      </c>
      <c r="W331">
        <v>0</v>
      </c>
      <c r="X331">
        <v>2674529</v>
      </c>
      <c r="Y331" s="3" t="s">
        <v>640</v>
      </c>
      <c r="Z331">
        <v>107.65300000000001</v>
      </c>
      <c r="AA331">
        <v>-2500000</v>
      </c>
      <c r="AB331" s="3" t="s">
        <v>449</v>
      </c>
      <c r="AC331" s="3" t="s">
        <v>10</v>
      </c>
      <c r="AD331">
        <v>0</v>
      </c>
      <c r="AE331">
        <v>0</v>
      </c>
      <c r="AF331" s="3" t="s">
        <v>640</v>
      </c>
    </row>
    <row r="332" spans="1:32" x14ac:dyDescent="0.35">
      <c r="A332" s="3" t="s">
        <v>608</v>
      </c>
      <c r="B332" s="3" t="s">
        <v>608</v>
      </c>
      <c r="C332" s="3" t="s">
        <v>608</v>
      </c>
      <c r="D332" s="3" t="s">
        <v>608</v>
      </c>
      <c r="E332" s="3" t="s">
        <v>608</v>
      </c>
      <c r="F332" s="3" t="s">
        <v>640</v>
      </c>
      <c r="G332" s="3" t="s">
        <v>453</v>
      </c>
      <c r="H332" s="3" t="s">
        <v>453</v>
      </c>
      <c r="I332" s="3" t="s">
        <v>640</v>
      </c>
      <c r="J332" s="3" t="s">
        <v>4</v>
      </c>
      <c r="K332" s="3" t="s">
        <v>640</v>
      </c>
      <c r="L332" s="3" t="s">
        <v>448</v>
      </c>
      <c r="M332" s="3" t="s">
        <v>14</v>
      </c>
      <c r="N332">
        <v>5000000</v>
      </c>
      <c r="O332">
        <v>91.668000000000006</v>
      </c>
      <c r="Q332">
        <v>0</v>
      </c>
      <c r="R332">
        <v>32</v>
      </c>
      <c r="S332" s="3" t="s">
        <v>640</v>
      </c>
      <c r="T332">
        <v>0</v>
      </c>
      <c r="U332">
        <v>0</v>
      </c>
      <c r="V332">
        <v>0</v>
      </c>
      <c r="W332">
        <v>0</v>
      </c>
      <c r="X332">
        <v>-4583414</v>
      </c>
      <c r="Y332" s="3" t="s">
        <v>640</v>
      </c>
      <c r="Z332">
        <v>91.668000000000006</v>
      </c>
      <c r="AA332">
        <v>5000000</v>
      </c>
      <c r="AB332" s="3" t="s">
        <v>449</v>
      </c>
      <c r="AC332" s="3" t="s">
        <v>10</v>
      </c>
      <c r="AD332">
        <v>0</v>
      </c>
      <c r="AE332">
        <v>0</v>
      </c>
      <c r="AF332" s="3" t="s">
        <v>640</v>
      </c>
    </row>
    <row r="333" spans="1:32" x14ac:dyDescent="0.35">
      <c r="A333" s="3" t="s">
        <v>608</v>
      </c>
      <c r="B333" s="3" t="s">
        <v>608</v>
      </c>
      <c r="C333" s="3" t="s">
        <v>608</v>
      </c>
      <c r="D333" s="3" t="s">
        <v>608</v>
      </c>
      <c r="E333" s="3" t="s">
        <v>608</v>
      </c>
      <c r="F333" s="3" t="s">
        <v>640</v>
      </c>
      <c r="G333" s="3" t="s">
        <v>550</v>
      </c>
      <c r="H333" s="3" t="s">
        <v>550</v>
      </c>
      <c r="I333" s="3" t="s">
        <v>640</v>
      </c>
      <c r="J333" s="3" t="s">
        <v>4</v>
      </c>
      <c r="K333" s="3" t="s">
        <v>640</v>
      </c>
      <c r="L333" s="3" t="s">
        <v>448</v>
      </c>
      <c r="M333" s="3" t="s">
        <v>14</v>
      </c>
      <c r="N333">
        <v>1500000</v>
      </c>
      <c r="O333">
        <v>105.896</v>
      </c>
      <c r="Q333">
        <v>0</v>
      </c>
      <c r="R333">
        <v>11</v>
      </c>
      <c r="S333" s="3" t="s">
        <v>640</v>
      </c>
      <c r="T333">
        <v>0</v>
      </c>
      <c r="U333">
        <v>0</v>
      </c>
      <c r="V333">
        <v>0</v>
      </c>
      <c r="W333">
        <v>0</v>
      </c>
      <c r="X333">
        <v>-1588437</v>
      </c>
      <c r="Y333" s="3" t="s">
        <v>640</v>
      </c>
      <c r="Z333">
        <v>105.896</v>
      </c>
      <c r="AA333">
        <v>1500000</v>
      </c>
      <c r="AB333" s="3" t="s">
        <v>449</v>
      </c>
      <c r="AC333" s="3" t="s">
        <v>10</v>
      </c>
      <c r="AD333">
        <v>0</v>
      </c>
      <c r="AE333">
        <v>0</v>
      </c>
      <c r="AF333" s="3" t="s">
        <v>640</v>
      </c>
    </row>
    <row r="334" spans="1:32" x14ac:dyDescent="0.35">
      <c r="A334" s="3" t="s">
        <v>608</v>
      </c>
      <c r="B334" s="3" t="s">
        <v>608</v>
      </c>
      <c r="C334" s="3" t="s">
        <v>608</v>
      </c>
      <c r="D334" s="3" t="s">
        <v>608</v>
      </c>
      <c r="E334" s="3" t="s">
        <v>608</v>
      </c>
      <c r="F334" s="3" t="s">
        <v>640</v>
      </c>
      <c r="G334" s="3" t="s">
        <v>476</v>
      </c>
      <c r="H334" s="3" t="s">
        <v>476</v>
      </c>
      <c r="I334" s="3" t="s">
        <v>640</v>
      </c>
      <c r="J334" s="3" t="s">
        <v>4</v>
      </c>
      <c r="K334" s="3" t="s">
        <v>640</v>
      </c>
      <c r="L334" s="3" t="s">
        <v>448</v>
      </c>
      <c r="M334" s="3" t="s">
        <v>14</v>
      </c>
      <c r="N334">
        <v>-1600000</v>
      </c>
      <c r="O334">
        <v>104.819</v>
      </c>
      <c r="Q334">
        <v>0</v>
      </c>
      <c r="R334">
        <v>-44</v>
      </c>
      <c r="S334" s="3" t="s">
        <v>640</v>
      </c>
      <c r="T334">
        <v>0</v>
      </c>
      <c r="U334">
        <v>0</v>
      </c>
      <c r="V334">
        <v>0</v>
      </c>
      <c r="W334">
        <v>0</v>
      </c>
      <c r="X334">
        <v>1677103</v>
      </c>
      <c r="Y334" s="3" t="s">
        <v>640</v>
      </c>
      <c r="Z334">
        <v>104.819</v>
      </c>
      <c r="AA334">
        <v>-1600000</v>
      </c>
      <c r="AB334" s="3" t="s">
        <v>449</v>
      </c>
      <c r="AC334" s="3" t="s">
        <v>10</v>
      </c>
      <c r="AD334">
        <v>0</v>
      </c>
      <c r="AE334">
        <v>0</v>
      </c>
      <c r="AF334" s="3" t="s">
        <v>640</v>
      </c>
    </row>
    <row r="335" spans="1:32" x14ac:dyDescent="0.35">
      <c r="A335" s="3" t="s">
        <v>608</v>
      </c>
      <c r="B335" s="3" t="s">
        <v>608</v>
      </c>
      <c r="C335" s="3" t="s">
        <v>608</v>
      </c>
      <c r="D335" s="3" t="s">
        <v>608</v>
      </c>
      <c r="E335" s="3" t="s">
        <v>608</v>
      </c>
      <c r="F335" s="3" t="s">
        <v>478</v>
      </c>
      <c r="G335" s="3" t="s">
        <v>479</v>
      </c>
      <c r="H335" s="3" t="s">
        <v>479</v>
      </c>
      <c r="I335" s="3" t="s">
        <v>640</v>
      </c>
      <c r="J335" s="3" t="s">
        <v>283</v>
      </c>
      <c r="K335" s="3" t="s">
        <v>640</v>
      </c>
      <c r="L335" s="3" t="s">
        <v>13</v>
      </c>
      <c r="M335" s="3" t="s">
        <v>14</v>
      </c>
      <c r="N335">
        <v>40</v>
      </c>
      <c r="O335">
        <v>0.90200000000000002</v>
      </c>
      <c r="Q335">
        <v>16159</v>
      </c>
      <c r="R335">
        <v>0</v>
      </c>
      <c r="S335" s="3" t="s">
        <v>640</v>
      </c>
      <c r="T335">
        <v>0</v>
      </c>
      <c r="U335">
        <v>0</v>
      </c>
      <c r="V335">
        <v>0</v>
      </c>
      <c r="W335">
        <v>0</v>
      </c>
      <c r="X335">
        <v>-62592</v>
      </c>
      <c r="Y335" s="3" t="s">
        <v>15</v>
      </c>
      <c r="Z335">
        <v>0.89900000000000002</v>
      </c>
      <c r="AA335">
        <v>40</v>
      </c>
      <c r="AB335" s="3" t="s">
        <v>449</v>
      </c>
      <c r="AC335" s="3" t="s">
        <v>10</v>
      </c>
      <c r="AD335">
        <v>0</v>
      </c>
      <c r="AE335">
        <v>0</v>
      </c>
      <c r="AF335" s="3" t="s">
        <v>640</v>
      </c>
    </row>
    <row r="336" spans="1:32" x14ac:dyDescent="0.35">
      <c r="A336" s="3" t="s">
        <v>608</v>
      </c>
      <c r="B336" s="3" t="s">
        <v>608</v>
      </c>
      <c r="C336" s="3" t="s">
        <v>608</v>
      </c>
      <c r="D336" s="3" t="s">
        <v>608</v>
      </c>
      <c r="E336" s="3" t="s">
        <v>608</v>
      </c>
      <c r="F336" s="3" t="s">
        <v>551</v>
      </c>
      <c r="G336" s="3" t="s">
        <v>552</v>
      </c>
      <c r="H336" s="3" t="s">
        <v>552</v>
      </c>
      <c r="I336" s="3" t="s">
        <v>640</v>
      </c>
      <c r="J336" s="3" t="s">
        <v>266</v>
      </c>
      <c r="K336" s="3" t="s">
        <v>640</v>
      </c>
      <c r="L336" s="3" t="s">
        <v>13</v>
      </c>
      <c r="M336" s="3" t="s">
        <v>14</v>
      </c>
      <c r="N336">
        <v>76</v>
      </c>
      <c r="O336">
        <v>1.1639999999999999</v>
      </c>
      <c r="Q336">
        <v>-9355</v>
      </c>
      <c r="R336">
        <v>0</v>
      </c>
      <c r="S336" s="3" t="s">
        <v>640</v>
      </c>
      <c r="T336">
        <v>0</v>
      </c>
      <c r="U336">
        <v>0</v>
      </c>
      <c r="V336">
        <v>0</v>
      </c>
      <c r="W336">
        <v>0</v>
      </c>
      <c r="X336">
        <v>-150017</v>
      </c>
      <c r="Y336" s="3" t="s">
        <v>15</v>
      </c>
      <c r="Z336">
        <v>1.1659999999999999</v>
      </c>
      <c r="AA336">
        <v>76</v>
      </c>
      <c r="AB336" s="3" t="s">
        <v>449</v>
      </c>
      <c r="AC336" s="3" t="s">
        <v>10</v>
      </c>
      <c r="AD336">
        <v>0</v>
      </c>
      <c r="AE336">
        <v>0</v>
      </c>
      <c r="AF336" s="3" t="s">
        <v>640</v>
      </c>
    </row>
    <row r="337" spans="1:32" x14ac:dyDescent="0.35">
      <c r="A337" s="3" t="s">
        <v>608</v>
      </c>
      <c r="B337" s="3" t="s">
        <v>608</v>
      </c>
      <c r="C337" s="3" t="s">
        <v>608</v>
      </c>
      <c r="D337" s="3" t="s">
        <v>608</v>
      </c>
      <c r="E337" s="3" t="s">
        <v>608</v>
      </c>
      <c r="F337" s="3" t="s">
        <v>640</v>
      </c>
      <c r="G337" s="3" t="s">
        <v>482</v>
      </c>
      <c r="H337" s="3" t="s">
        <v>482</v>
      </c>
      <c r="I337" s="3" t="s">
        <v>640</v>
      </c>
      <c r="J337" s="3" t="s">
        <v>4</v>
      </c>
      <c r="K337" s="3" t="s">
        <v>640</v>
      </c>
      <c r="L337" s="3" t="s">
        <v>448</v>
      </c>
      <c r="M337" s="3" t="s">
        <v>14</v>
      </c>
      <c r="N337">
        <v>3080000</v>
      </c>
      <c r="O337">
        <v>75.209999999999994</v>
      </c>
      <c r="Q337">
        <v>0</v>
      </c>
      <c r="R337">
        <v>19</v>
      </c>
      <c r="S337" s="3" t="s">
        <v>640</v>
      </c>
      <c r="T337">
        <v>0</v>
      </c>
      <c r="U337">
        <v>0</v>
      </c>
      <c r="V337">
        <v>0</v>
      </c>
      <c r="W337">
        <v>0</v>
      </c>
      <c r="X337">
        <v>-2306476</v>
      </c>
      <c r="Y337" s="3" t="s">
        <v>640</v>
      </c>
      <c r="Z337">
        <v>75.209999999999994</v>
      </c>
      <c r="AA337">
        <v>3080000</v>
      </c>
      <c r="AB337" s="3" t="s">
        <v>449</v>
      </c>
      <c r="AC337" s="3" t="s">
        <v>10</v>
      </c>
      <c r="AD337">
        <v>0</v>
      </c>
      <c r="AE337">
        <v>0</v>
      </c>
      <c r="AF337" s="3" t="s">
        <v>640</v>
      </c>
    </row>
    <row r="338" spans="1:32" x14ac:dyDescent="0.35">
      <c r="A338" s="3" t="s">
        <v>608</v>
      </c>
      <c r="B338" s="3" t="s">
        <v>608</v>
      </c>
      <c r="C338" s="3" t="s">
        <v>608</v>
      </c>
      <c r="D338" s="3" t="s">
        <v>608</v>
      </c>
      <c r="E338" s="3" t="s">
        <v>608</v>
      </c>
      <c r="F338" s="3" t="s">
        <v>640</v>
      </c>
      <c r="G338" s="3" t="s">
        <v>454</v>
      </c>
      <c r="H338" s="3" t="s">
        <v>454</v>
      </c>
      <c r="I338" s="3" t="s">
        <v>640</v>
      </c>
      <c r="J338" s="3" t="s">
        <v>4</v>
      </c>
      <c r="K338" s="3" t="s">
        <v>640</v>
      </c>
      <c r="L338" s="3" t="s">
        <v>448</v>
      </c>
      <c r="M338" s="3" t="s">
        <v>14</v>
      </c>
      <c r="N338">
        <v>-500000</v>
      </c>
      <c r="O338">
        <v>102.212</v>
      </c>
      <c r="Q338">
        <v>0</v>
      </c>
      <c r="R338">
        <v>-13</v>
      </c>
      <c r="S338" s="3" t="s">
        <v>640</v>
      </c>
      <c r="T338">
        <v>0</v>
      </c>
      <c r="U338">
        <v>0</v>
      </c>
      <c r="V338">
        <v>0</v>
      </c>
      <c r="W338">
        <v>0</v>
      </c>
      <c r="X338">
        <v>511060</v>
      </c>
      <c r="Y338" s="3" t="s">
        <v>640</v>
      </c>
      <c r="Z338">
        <v>102.212</v>
      </c>
      <c r="AA338">
        <v>-500000</v>
      </c>
      <c r="AB338" s="3" t="s">
        <v>449</v>
      </c>
      <c r="AC338" s="3" t="s">
        <v>10</v>
      </c>
      <c r="AD338">
        <v>0</v>
      </c>
      <c r="AE338">
        <v>0</v>
      </c>
      <c r="AF338" s="3" t="s">
        <v>640</v>
      </c>
    </row>
    <row r="339" spans="1:32" x14ac:dyDescent="0.35">
      <c r="A339" s="3" t="s">
        <v>608</v>
      </c>
      <c r="B339" s="3" t="s">
        <v>608</v>
      </c>
      <c r="C339" s="3" t="s">
        <v>608</v>
      </c>
      <c r="D339" s="3" t="s">
        <v>608</v>
      </c>
      <c r="E339" s="3" t="s">
        <v>608</v>
      </c>
      <c r="F339" s="3" t="s">
        <v>640</v>
      </c>
      <c r="G339" s="3" t="s">
        <v>586</v>
      </c>
      <c r="H339" s="3" t="s">
        <v>586</v>
      </c>
      <c r="I339" s="3" t="s">
        <v>640</v>
      </c>
      <c r="J339" s="3" t="s">
        <v>4</v>
      </c>
      <c r="K339" s="3" t="s">
        <v>640</v>
      </c>
      <c r="L339" s="3" t="s">
        <v>448</v>
      </c>
      <c r="M339" s="3" t="s">
        <v>14</v>
      </c>
      <c r="N339">
        <v>-1800000</v>
      </c>
      <c r="O339">
        <v>103.246</v>
      </c>
      <c r="Q339">
        <v>0</v>
      </c>
      <c r="R339">
        <v>-49</v>
      </c>
      <c r="S339" s="3" t="s">
        <v>640</v>
      </c>
      <c r="T339">
        <v>0</v>
      </c>
      <c r="U339">
        <v>0</v>
      </c>
      <c r="V339">
        <v>0</v>
      </c>
      <c r="W339">
        <v>0</v>
      </c>
      <c r="X339">
        <v>1859903</v>
      </c>
      <c r="Y339" s="3" t="s">
        <v>640</v>
      </c>
      <c r="Z339">
        <v>103.246</v>
      </c>
      <c r="AA339">
        <v>-1800000</v>
      </c>
      <c r="AB339" s="3" t="s">
        <v>449</v>
      </c>
      <c r="AC339" s="3" t="s">
        <v>10</v>
      </c>
      <c r="AD339">
        <v>0</v>
      </c>
      <c r="AE339">
        <v>0</v>
      </c>
      <c r="AF339" s="3" t="s">
        <v>640</v>
      </c>
    </row>
    <row r="340" spans="1:32" x14ac:dyDescent="0.35">
      <c r="A340" s="3" t="s">
        <v>608</v>
      </c>
      <c r="B340" s="3" t="s">
        <v>608</v>
      </c>
      <c r="C340" s="3" t="s">
        <v>608</v>
      </c>
      <c r="D340" s="3" t="s">
        <v>608</v>
      </c>
      <c r="E340" s="3" t="s">
        <v>608</v>
      </c>
      <c r="F340" s="3" t="s">
        <v>640</v>
      </c>
      <c r="G340" s="3" t="s">
        <v>874</v>
      </c>
      <c r="H340" s="3" t="s">
        <v>874</v>
      </c>
      <c r="I340" s="3" t="s">
        <v>640</v>
      </c>
      <c r="J340" s="3" t="s">
        <v>4</v>
      </c>
      <c r="K340" s="3" t="s">
        <v>640</v>
      </c>
      <c r="L340" s="3" t="s">
        <v>448</v>
      </c>
      <c r="M340" s="3" t="s">
        <v>14</v>
      </c>
      <c r="N340">
        <v>2659000</v>
      </c>
      <c r="O340">
        <v>88.408000000000001</v>
      </c>
      <c r="Q340">
        <v>0</v>
      </c>
      <c r="R340">
        <v>0</v>
      </c>
      <c r="S340" s="3" t="s">
        <v>640</v>
      </c>
      <c r="T340">
        <v>0</v>
      </c>
      <c r="U340">
        <v>0</v>
      </c>
      <c r="V340">
        <v>0</v>
      </c>
      <c r="W340">
        <v>0</v>
      </c>
      <c r="X340">
        <v>-2350770</v>
      </c>
      <c r="Y340" s="3" t="s">
        <v>640</v>
      </c>
      <c r="Z340">
        <v>86.391000000000005</v>
      </c>
      <c r="AA340">
        <v>0</v>
      </c>
      <c r="AB340" s="3" t="s">
        <v>449</v>
      </c>
      <c r="AC340" s="3" t="s">
        <v>10</v>
      </c>
      <c r="AD340">
        <v>0</v>
      </c>
      <c r="AE340">
        <v>0</v>
      </c>
      <c r="AF340" s="3" t="s">
        <v>640</v>
      </c>
    </row>
    <row r="341" spans="1:32" x14ac:dyDescent="0.35">
      <c r="A341" s="3" t="s">
        <v>608</v>
      </c>
      <c r="B341" s="3" t="s">
        <v>608</v>
      </c>
      <c r="C341" s="3" t="s">
        <v>608</v>
      </c>
      <c r="D341" s="3" t="s">
        <v>608</v>
      </c>
      <c r="E341" s="3" t="s">
        <v>608</v>
      </c>
      <c r="F341" s="3" t="s">
        <v>640</v>
      </c>
      <c r="G341" s="3" t="s">
        <v>539</v>
      </c>
      <c r="H341" s="3" t="s">
        <v>539</v>
      </c>
      <c r="I341" s="3" t="s">
        <v>640</v>
      </c>
      <c r="J341" s="3" t="s">
        <v>4</v>
      </c>
      <c r="K341" s="3" t="s">
        <v>640</v>
      </c>
      <c r="L341" s="3" t="s">
        <v>448</v>
      </c>
      <c r="M341" s="3" t="s">
        <v>14</v>
      </c>
      <c r="N341">
        <v>-1050000</v>
      </c>
      <c r="O341">
        <v>104.08499999999999</v>
      </c>
      <c r="Q341">
        <v>0</v>
      </c>
      <c r="R341">
        <v>-29</v>
      </c>
      <c r="S341" s="3" t="s">
        <v>640</v>
      </c>
      <c r="T341">
        <v>0</v>
      </c>
      <c r="U341">
        <v>0</v>
      </c>
      <c r="V341">
        <v>0</v>
      </c>
      <c r="W341">
        <v>0</v>
      </c>
      <c r="X341">
        <v>1092897</v>
      </c>
      <c r="Y341" s="3" t="s">
        <v>640</v>
      </c>
      <c r="Z341">
        <v>104.08499999999999</v>
      </c>
      <c r="AA341">
        <v>-1050000</v>
      </c>
      <c r="AB341" s="3" t="s">
        <v>449</v>
      </c>
      <c r="AC341" s="3" t="s">
        <v>10</v>
      </c>
      <c r="AD341">
        <v>0</v>
      </c>
      <c r="AE341">
        <v>0</v>
      </c>
      <c r="AF341" s="3" t="s">
        <v>640</v>
      </c>
    </row>
    <row r="342" spans="1:32" x14ac:dyDescent="0.35">
      <c r="A342" s="3" t="s">
        <v>608</v>
      </c>
      <c r="B342" s="3" t="s">
        <v>608</v>
      </c>
      <c r="C342" s="3" t="s">
        <v>608</v>
      </c>
      <c r="D342" s="3" t="s">
        <v>608</v>
      </c>
      <c r="E342" s="3" t="s">
        <v>608</v>
      </c>
      <c r="F342" s="3" t="s">
        <v>640</v>
      </c>
      <c r="G342" s="3" t="s">
        <v>504</v>
      </c>
      <c r="H342" s="3" t="s">
        <v>504</v>
      </c>
      <c r="I342" s="3" t="s">
        <v>640</v>
      </c>
      <c r="J342" s="3" t="s">
        <v>4</v>
      </c>
      <c r="K342" s="3" t="s">
        <v>640</v>
      </c>
      <c r="L342" s="3" t="s">
        <v>448</v>
      </c>
      <c r="M342" s="3" t="s">
        <v>14</v>
      </c>
      <c r="N342">
        <v>-3300000</v>
      </c>
      <c r="O342">
        <v>106.14100000000001</v>
      </c>
      <c r="Q342">
        <v>0</v>
      </c>
      <c r="R342">
        <v>-93</v>
      </c>
      <c r="S342" s="3" t="s">
        <v>640</v>
      </c>
      <c r="T342">
        <v>0</v>
      </c>
      <c r="U342">
        <v>0</v>
      </c>
      <c r="V342">
        <v>0</v>
      </c>
      <c r="W342">
        <v>0</v>
      </c>
      <c r="X342">
        <v>3505320</v>
      </c>
      <c r="Y342" s="3" t="s">
        <v>640</v>
      </c>
      <c r="Z342">
        <v>106.14100000000001</v>
      </c>
      <c r="AA342">
        <v>-3300000</v>
      </c>
      <c r="AB342" s="3" t="s">
        <v>449</v>
      </c>
      <c r="AC342" s="3" t="s">
        <v>10</v>
      </c>
      <c r="AD342">
        <v>0</v>
      </c>
      <c r="AE342">
        <v>0</v>
      </c>
      <c r="AF342" s="3" t="s">
        <v>640</v>
      </c>
    </row>
    <row r="343" spans="1:32" x14ac:dyDescent="0.35">
      <c r="A343" s="3" t="s">
        <v>608</v>
      </c>
      <c r="B343" s="3" t="s">
        <v>608</v>
      </c>
      <c r="C343" s="3" t="s">
        <v>608</v>
      </c>
      <c r="D343" s="3" t="s">
        <v>608</v>
      </c>
      <c r="E343" s="3" t="s">
        <v>608</v>
      </c>
      <c r="F343" s="3" t="s">
        <v>640</v>
      </c>
      <c r="G343" s="3" t="s">
        <v>514</v>
      </c>
      <c r="H343" s="3" t="s">
        <v>514</v>
      </c>
      <c r="I343" s="3" t="s">
        <v>640</v>
      </c>
      <c r="J343" s="3" t="s">
        <v>4</v>
      </c>
      <c r="K343" s="3" t="s">
        <v>640</v>
      </c>
      <c r="L343" s="3" t="s">
        <v>448</v>
      </c>
      <c r="M343" s="3" t="s">
        <v>14</v>
      </c>
      <c r="N343">
        <v>-6800000</v>
      </c>
      <c r="O343">
        <v>106.943</v>
      </c>
      <c r="Q343">
        <v>0</v>
      </c>
      <c r="R343">
        <v>-192</v>
      </c>
      <c r="S343" s="3" t="s">
        <v>640</v>
      </c>
      <c r="T343">
        <v>0</v>
      </c>
      <c r="U343">
        <v>0</v>
      </c>
      <c r="V343">
        <v>0</v>
      </c>
      <c r="W343">
        <v>0</v>
      </c>
      <c r="X343">
        <v>7272105</v>
      </c>
      <c r="Y343" s="3" t="s">
        <v>640</v>
      </c>
      <c r="Z343">
        <v>106.943</v>
      </c>
      <c r="AA343">
        <v>-6800000</v>
      </c>
      <c r="AB343" s="3" t="s">
        <v>449</v>
      </c>
      <c r="AC343" s="3" t="s">
        <v>10</v>
      </c>
      <c r="AD343">
        <v>0</v>
      </c>
      <c r="AE343">
        <v>0</v>
      </c>
      <c r="AF343" s="3" t="s">
        <v>640</v>
      </c>
    </row>
    <row r="344" spans="1:32" x14ac:dyDescent="0.35">
      <c r="A344" s="3" t="s">
        <v>608</v>
      </c>
      <c r="B344" s="3" t="s">
        <v>608</v>
      </c>
      <c r="C344" s="3" t="s">
        <v>608</v>
      </c>
      <c r="D344" s="3" t="s">
        <v>608</v>
      </c>
      <c r="E344" s="3" t="s">
        <v>608</v>
      </c>
      <c r="F344" s="3" t="s">
        <v>640</v>
      </c>
      <c r="G344" s="3" t="s">
        <v>505</v>
      </c>
      <c r="H344" s="3" t="s">
        <v>505</v>
      </c>
      <c r="I344" s="3" t="s">
        <v>640</v>
      </c>
      <c r="J344" s="3" t="s">
        <v>4</v>
      </c>
      <c r="K344" s="3" t="s">
        <v>640</v>
      </c>
      <c r="L344" s="3" t="s">
        <v>448</v>
      </c>
      <c r="M344" s="3" t="s">
        <v>14</v>
      </c>
      <c r="N344">
        <v>2600000</v>
      </c>
      <c r="O344">
        <v>97.450999999999993</v>
      </c>
      <c r="Q344">
        <v>0</v>
      </c>
      <c r="R344">
        <v>18</v>
      </c>
      <c r="S344" s="3" t="s">
        <v>640</v>
      </c>
      <c r="T344">
        <v>0</v>
      </c>
      <c r="U344">
        <v>0</v>
      </c>
      <c r="V344">
        <v>0</v>
      </c>
      <c r="W344">
        <v>0</v>
      </c>
      <c r="X344">
        <v>-2533732</v>
      </c>
      <c r="Y344" s="3" t="s">
        <v>640</v>
      </c>
      <c r="Z344">
        <v>97.450999999999993</v>
      </c>
      <c r="AA344">
        <v>2600000</v>
      </c>
      <c r="AB344" s="3" t="s">
        <v>449</v>
      </c>
      <c r="AC344" s="3" t="s">
        <v>10</v>
      </c>
      <c r="AD344">
        <v>0</v>
      </c>
      <c r="AE344">
        <v>0</v>
      </c>
      <c r="AF344" s="3" t="s">
        <v>640</v>
      </c>
    </row>
    <row r="345" spans="1:32" x14ac:dyDescent="0.35">
      <c r="A345" s="3" t="s">
        <v>608</v>
      </c>
      <c r="B345" s="3" t="s">
        <v>608</v>
      </c>
      <c r="C345" s="3" t="s">
        <v>608</v>
      </c>
      <c r="D345" s="3" t="s">
        <v>608</v>
      </c>
      <c r="E345" s="3" t="s">
        <v>608</v>
      </c>
      <c r="F345" s="3" t="s">
        <v>640</v>
      </c>
      <c r="G345" s="3" t="s">
        <v>506</v>
      </c>
      <c r="H345" s="3" t="s">
        <v>506</v>
      </c>
      <c r="I345" s="3" t="s">
        <v>640</v>
      </c>
      <c r="J345" s="3" t="s">
        <v>4</v>
      </c>
      <c r="K345" s="3" t="s">
        <v>640</v>
      </c>
      <c r="L345" s="3" t="s">
        <v>448</v>
      </c>
      <c r="M345" s="3" t="s">
        <v>14</v>
      </c>
      <c r="N345">
        <v>-2600000</v>
      </c>
      <c r="O345">
        <v>107.90600000000001</v>
      </c>
      <c r="Q345">
        <v>0</v>
      </c>
      <c r="R345">
        <v>-74</v>
      </c>
      <c r="S345" s="3" t="s">
        <v>640</v>
      </c>
      <c r="T345">
        <v>0</v>
      </c>
      <c r="U345">
        <v>0</v>
      </c>
      <c r="V345">
        <v>0</v>
      </c>
      <c r="W345">
        <v>0</v>
      </c>
      <c r="X345">
        <v>2807123</v>
      </c>
      <c r="Y345" s="3" t="s">
        <v>640</v>
      </c>
      <c r="Z345">
        <v>107.90600000000001</v>
      </c>
      <c r="AA345">
        <v>-2600000</v>
      </c>
      <c r="AB345" s="3" t="s">
        <v>449</v>
      </c>
      <c r="AC345" s="3" t="s">
        <v>10</v>
      </c>
      <c r="AD345">
        <v>0</v>
      </c>
      <c r="AE345">
        <v>0</v>
      </c>
      <c r="AF345" s="3" t="s">
        <v>640</v>
      </c>
    </row>
    <row r="346" spans="1:32" x14ac:dyDescent="0.35">
      <c r="A346" s="3" t="s">
        <v>608</v>
      </c>
      <c r="B346" s="3" t="s">
        <v>608</v>
      </c>
      <c r="C346" s="3" t="s">
        <v>608</v>
      </c>
      <c r="D346" s="3" t="s">
        <v>608</v>
      </c>
      <c r="E346" s="3" t="s">
        <v>608</v>
      </c>
      <c r="F346" s="3" t="s">
        <v>640</v>
      </c>
      <c r="G346" s="3" t="s">
        <v>525</v>
      </c>
      <c r="H346" s="3" t="s">
        <v>525</v>
      </c>
      <c r="I346" s="3" t="s">
        <v>640</v>
      </c>
      <c r="J346" s="3" t="s">
        <v>4</v>
      </c>
      <c r="K346" s="3" t="s">
        <v>640</v>
      </c>
      <c r="L346" s="3" t="s">
        <v>448</v>
      </c>
      <c r="M346" s="3" t="s">
        <v>14</v>
      </c>
      <c r="N346">
        <v>0</v>
      </c>
      <c r="O346">
        <v>100.218</v>
      </c>
      <c r="Q346">
        <v>0</v>
      </c>
      <c r="R346">
        <v>-16</v>
      </c>
      <c r="S346" s="3" t="s">
        <v>640</v>
      </c>
      <c r="T346">
        <v>0</v>
      </c>
      <c r="U346">
        <v>0</v>
      </c>
      <c r="V346">
        <v>0</v>
      </c>
      <c r="W346">
        <v>0</v>
      </c>
      <c r="X346">
        <v>0</v>
      </c>
      <c r="Y346" s="3" t="s">
        <v>640</v>
      </c>
      <c r="Z346">
        <v>100.218</v>
      </c>
      <c r="AA346">
        <v>-600000</v>
      </c>
      <c r="AB346" s="3" t="s">
        <v>449</v>
      </c>
      <c r="AC346" s="3" t="s">
        <v>10</v>
      </c>
      <c r="AD346">
        <v>0</v>
      </c>
      <c r="AE346">
        <v>0</v>
      </c>
      <c r="AF346" s="3" t="s">
        <v>640</v>
      </c>
    </row>
    <row r="347" spans="1:32" x14ac:dyDescent="0.35">
      <c r="A347" s="3" t="s">
        <v>608</v>
      </c>
      <c r="B347" s="3" t="s">
        <v>608</v>
      </c>
      <c r="C347" s="3" t="s">
        <v>608</v>
      </c>
      <c r="D347" s="3" t="s">
        <v>608</v>
      </c>
      <c r="E347" s="3" t="s">
        <v>608</v>
      </c>
      <c r="F347" s="3" t="s">
        <v>640</v>
      </c>
      <c r="G347" s="3" t="s">
        <v>520</v>
      </c>
      <c r="H347" s="3" t="s">
        <v>520</v>
      </c>
      <c r="I347" s="3" t="s">
        <v>640</v>
      </c>
      <c r="J347" s="3" t="s">
        <v>4</v>
      </c>
      <c r="K347" s="3" t="s">
        <v>640</v>
      </c>
      <c r="L347" s="3" t="s">
        <v>448</v>
      </c>
      <c r="M347" s="3" t="s">
        <v>14</v>
      </c>
      <c r="N347">
        <v>-1285000</v>
      </c>
      <c r="O347">
        <v>107.17</v>
      </c>
      <c r="Q347">
        <v>0</v>
      </c>
      <c r="R347">
        <v>-37</v>
      </c>
      <c r="S347" s="3" t="s">
        <v>640</v>
      </c>
      <c r="T347">
        <v>0</v>
      </c>
      <c r="U347">
        <v>0</v>
      </c>
      <c r="V347">
        <v>0</v>
      </c>
      <c r="W347">
        <v>0</v>
      </c>
      <c r="X347">
        <v>1384515</v>
      </c>
      <c r="Y347" s="3" t="s">
        <v>640</v>
      </c>
      <c r="Z347">
        <v>107.17</v>
      </c>
      <c r="AA347">
        <v>-1285000</v>
      </c>
      <c r="AB347" s="3" t="s">
        <v>449</v>
      </c>
      <c r="AC347" s="3" t="s">
        <v>10</v>
      </c>
      <c r="AD347">
        <v>0</v>
      </c>
      <c r="AE347">
        <v>0</v>
      </c>
      <c r="AF347" s="3" t="s">
        <v>640</v>
      </c>
    </row>
    <row r="348" spans="1:32" x14ac:dyDescent="0.35">
      <c r="A348" s="3" t="s">
        <v>608</v>
      </c>
      <c r="B348" s="3" t="s">
        <v>608</v>
      </c>
      <c r="C348" s="3" t="s">
        <v>608</v>
      </c>
      <c r="D348" s="3" t="s">
        <v>608</v>
      </c>
      <c r="E348" s="3" t="s">
        <v>608</v>
      </c>
      <c r="F348" s="3" t="s">
        <v>640</v>
      </c>
      <c r="G348" s="3" t="s">
        <v>507</v>
      </c>
      <c r="H348" s="3" t="s">
        <v>507</v>
      </c>
      <c r="I348" s="3" t="s">
        <v>640</v>
      </c>
      <c r="J348" s="3" t="s">
        <v>4</v>
      </c>
      <c r="K348" s="3" t="s">
        <v>640</v>
      </c>
      <c r="L348" s="3" t="s">
        <v>448</v>
      </c>
      <c r="M348" s="3" t="s">
        <v>14</v>
      </c>
      <c r="N348">
        <v>1000000</v>
      </c>
      <c r="O348">
        <v>88.147000000000006</v>
      </c>
      <c r="Q348">
        <v>0</v>
      </c>
      <c r="R348">
        <v>6</v>
      </c>
      <c r="S348" s="3" t="s">
        <v>640</v>
      </c>
      <c r="T348">
        <v>0</v>
      </c>
      <c r="U348">
        <v>0</v>
      </c>
      <c r="V348">
        <v>0</v>
      </c>
      <c r="W348">
        <v>0</v>
      </c>
      <c r="X348">
        <v>-881469</v>
      </c>
      <c r="Y348" s="3" t="s">
        <v>640</v>
      </c>
      <c r="Z348">
        <v>88.147000000000006</v>
      </c>
      <c r="AA348">
        <v>1000000</v>
      </c>
      <c r="AB348" s="3" t="s">
        <v>449</v>
      </c>
      <c r="AC348" s="3" t="s">
        <v>10</v>
      </c>
      <c r="AD348">
        <v>0</v>
      </c>
      <c r="AE348">
        <v>0</v>
      </c>
      <c r="AF348" s="3" t="s">
        <v>640</v>
      </c>
    </row>
    <row r="349" spans="1:32" x14ac:dyDescent="0.35">
      <c r="A349" s="3" t="s">
        <v>608</v>
      </c>
      <c r="B349" s="3" t="s">
        <v>608</v>
      </c>
      <c r="C349" s="3" t="s">
        <v>608</v>
      </c>
      <c r="D349" s="3" t="s">
        <v>608</v>
      </c>
      <c r="E349" s="3" t="s">
        <v>608</v>
      </c>
      <c r="F349" s="3" t="s">
        <v>640</v>
      </c>
      <c r="G349" s="3" t="s">
        <v>603</v>
      </c>
      <c r="H349" s="3" t="s">
        <v>603</v>
      </c>
      <c r="I349" s="3" t="s">
        <v>640</v>
      </c>
      <c r="J349" s="3" t="s">
        <v>4</v>
      </c>
      <c r="K349" s="3" t="s">
        <v>640</v>
      </c>
      <c r="L349" s="3" t="s">
        <v>448</v>
      </c>
      <c r="M349" s="3" t="s">
        <v>14</v>
      </c>
      <c r="N349">
        <v>2400000</v>
      </c>
      <c r="O349">
        <v>85.21</v>
      </c>
      <c r="Q349">
        <v>0</v>
      </c>
      <c r="R349">
        <v>17</v>
      </c>
      <c r="S349" s="3" t="s">
        <v>640</v>
      </c>
      <c r="T349">
        <v>0</v>
      </c>
      <c r="U349">
        <v>0</v>
      </c>
      <c r="V349">
        <v>0</v>
      </c>
      <c r="W349">
        <v>0</v>
      </c>
      <c r="X349">
        <v>-2045029</v>
      </c>
      <c r="Y349" s="3" t="s">
        <v>640</v>
      </c>
      <c r="Z349">
        <v>85.21</v>
      </c>
      <c r="AA349">
        <v>2400000</v>
      </c>
      <c r="AB349" s="3" t="s">
        <v>449</v>
      </c>
      <c r="AC349" s="3" t="s">
        <v>10</v>
      </c>
      <c r="AD349">
        <v>0</v>
      </c>
      <c r="AE349">
        <v>0</v>
      </c>
      <c r="AF349" s="3" t="s">
        <v>640</v>
      </c>
    </row>
    <row r="350" spans="1:32" x14ac:dyDescent="0.35">
      <c r="A350" s="3" t="s">
        <v>608</v>
      </c>
      <c r="B350" s="3" t="s">
        <v>608</v>
      </c>
      <c r="C350" s="3" t="s">
        <v>608</v>
      </c>
      <c r="D350" s="3" t="s">
        <v>608</v>
      </c>
      <c r="E350" s="3" t="s">
        <v>608</v>
      </c>
      <c r="F350" s="3" t="s">
        <v>640</v>
      </c>
      <c r="G350" s="3" t="s">
        <v>555</v>
      </c>
      <c r="H350" s="3" t="s">
        <v>555</v>
      </c>
      <c r="I350" s="3" t="s">
        <v>640</v>
      </c>
      <c r="J350" s="3" t="s">
        <v>4</v>
      </c>
      <c r="K350" s="3" t="s">
        <v>640</v>
      </c>
      <c r="L350" s="3" t="s">
        <v>448</v>
      </c>
      <c r="M350" s="3" t="s">
        <v>14</v>
      </c>
      <c r="N350">
        <v>-2425000</v>
      </c>
      <c r="O350">
        <v>109.651</v>
      </c>
      <c r="Q350">
        <v>0</v>
      </c>
      <c r="R350">
        <v>-70</v>
      </c>
      <c r="S350" s="3" t="s">
        <v>640</v>
      </c>
      <c r="T350">
        <v>0</v>
      </c>
      <c r="U350">
        <v>0</v>
      </c>
      <c r="V350">
        <v>0</v>
      </c>
      <c r="W350">
        <v>0</v>
      </c>
      <c r="X350">
        <v>2649258</v>
      </c>
      <c r="Y350" s="3" t="s">
        <v>640</v>
      </c>
      <c r="Z350">
        <v>109.651</v>
      </c>
      <c r="AA350">
        <v>-2425000</v>
      </c>
      <c r="AB350" s="3" t="s">
        <v>449</v>
      </c>
      <c r="AC350" s="3" t="s">
        <v>10</v>
      </c>
      <c r="AD350">
        <v>0</v>
      </c>
      <c r="AE350">
        <v>0</v>
      </c>
      <c r="AF350" s="3" t="s">
        <v>640</v>
      </c>
    </row>
    <row r="351" spans="1:32" x14ac:dyDescent="0.35">
      <c r="A351" s="3" t="s">
        <v>608</v>
      </c>
      <c r="B351" s="3" t="s">
        <v>608</v>
      </c>
      <c r="C351" s="3" t="s">
        <v>608</v>
      </c>
      <c r="D351" s="3" t="s">
        <v>608</v>
      </c>
      <c r="E351" s="3" t="s">
        <v>608</v>
      </c>
      <c r="F351" s="3" t="s">
        <v>640</v>
      </c>
      <c r="G351" s="3" t="s">
        <v>508</v>
      </c>
      <c r="H351" s="3" t="s">
        <v>508</v>
      </c>
      <c r="I351" s="3" t="s">
        <v>640</v>
      </c>
      <c r="J351" s="3" t="s">
        <v>283</v>
      </c>
      <c r="K351" s="3" t="s">
        <v>640</v>
      </c>
      <c r="L351" s="3" t="s">
        <v>448</v>
      </c>
      <c r="M351" s="3" t="s">
        <v>14</v>
      </c>
      <c r="N351">
        <v>1650000</v>
      </c>
      <c r="O351">
        <v>77.162000000000006</v>
      </c>
      <c r="Q351">
        <v>0</v>
      </c>
      <c r="R351">
        <v>-16</v>
      </c>
      <c r="S351" s="3" t="s">
        <v>640</v>
      </c>
      <c r="T351">
        <v>0</v>
      </c>
      <c r="U351">
        <v>0</v>
      </c>
      <c r="V351">
        <v>0</v>
      </c>
      <c r="W351">
        <v>0</v>
      </c>
      <c r="X351">
        <v>-1422490</v>
      </c>
      <c r="Y351" s="3" t="s">
        <v>640</v>
      </c>
      <c r="Z351">
        <v>77.162000000000006</v>
      </c>
      <c r="AA351">
        <v>1650000</v>
      </c>
      <c r="AB351" s="3" t="s">
        <v>449</v>
      </c>
      <c r="AC351" s="3" t="s">
        <v>10</v>
      </c>
      <c r="AD351">
        <v>0</v>
      </c>
      <c r="AE351">
        <v>0</v>
      </c>
      <c r="AF351" s="3" t="s">
        <v>640</v>
      </c>
    </row>
    <row r="352" spans="1:32" x14ac:dyDescent="0.35">
      <c r="A352" s="3" t="s">
        <v>608</v>
      </c>
      <c r="B352" s="3" t="s">
        <v>608</v>
      </c>
      <c r="C352" s="3" t="s">
        <v>608</v>
      </c>
      <c r="D352" s="3" t="s">
        <v>608</v>
      </c>
      <c r="E352" s="3" t="s">
        <v>608</v>
      </c>
      <c r="F352" s="3" t="s">
        <v>640</v>
      </c>
      <c r="G352" s="3" t="s">
        <v>509</v>
      </c>
      <c r="H352" s="3" t="s">
        <v>509</v>
      </c>
      <c r="I352" s="3" t="s">
        <v>640</v>
      </c>
      <c r="J352" s="3" t="s">
        <v>4</v>
      </c>
      <c r="K352" s="3" t="s">
        <v>640</v>
      </c>
      <c r="L352" s="3" t="s">
        <v>448</v>
      </c>
      <c r="M352" s="3" t="s">
        <v>14</v>
      </c>
      <c r="N352">
        <v>-1000000</v>
      </c>
      <c r="O352">
        <v>100.66800000000001</v>
      </c>
      <c r="Q352">
        <v>0</v>
      </c>
      <c r="R352">
        <v>-43</v>
      </c>
      <c r="S352" s="3" t="s">
        <v>640</v>
      </c>
      <c r="T352">
        <v>0</v>
      </c>
      <c r="U352">
        <v>0</v>
      </c>
      <c r="V352">
        <v>0</v>
      </c>
      <c r="W352">
        <v>0</v>
      </c>
      <c r="X352">
        <v>1009321</v>
      </c>
      <c r="Y352" s="3" t="s">
        <v>640</v>
      </c>
      <c r="Z352">
        <v>100.932</v>
      </c>
      <c r="AA352">
        <v>-1600000</v>
      </c>
      <c r="AB352" s="3" t="s">
        <v>449</v>
      </c>
      <c r="AC352" s="3" t="s">
        <v>10</v>
      </c>
      <c r="AD352">
        <v>0</v>
      </c>
      <c r="AE352">
        <v>0</v>
      </c>
      <c r="AF352" s="3" t="s">
        <v>640</v>
      </c>
    </row>
    <row r="353" spans="1:32" x14ac:dyDescent="0.35">
      <c r="A353" s="3" t="s">
        <v>608</v>
      </c>
      <c r="B353" s="3" t="s">
        <v>608</v>
      </c>
      <c r="C353" s="3" t="s">
        <v>608</v>
      </c>
      <c r="D353" s="3" t="s">
        <v>608</v>
      </c>
      <c r="E353" s="3" t="s">
        <v>608</v>
      </c>
      <c r="F353" s="3" t="s">
        <v>640</v>
      </c>
      <c r="G353" s="3" t="s">
        <v>528</v>
      </c>
      <c r="H353" s="3" t="s">
        <v>528</v>
      </c>
      <c r="I353" s="3" t="s">
        <v>640</v>
      </c>
      <c r="J353" s="3" t="s">
        <v>4</v>
      </c>
      <c r="K353" s="3" t="s">
        <v>640</v>
      </c>
      <c r="L353" s="3" t="s">
        <v>448</v>
      </c>
      <c r="M353" s="3" t="s">
        <v>14</v>
      </c>
      <c r="N353">
        <v>4000000</v>
      </c>
      <c r="O353">
        <v>94.058999999999997</v>
      </c>
      <c r="Q353">
        <v>0</v>
      </c>
      <c r="R353">
        <v>26</v>
      </c>
      <c r="S353" s="3" t="s">
        <v>640</v>
      </c>
      <c r="T353">
        <v>0</v>
      </c>
      <c r="U353">
        <v>0</v>
      </c>
      <c r="V353">
        <v>0</v>
      </c>
      <c r="W353">
        <v>0</v>
      </c>
      <c r="X353">
        <v>-3762344</v>
      </c>
      <c r="Y353" s="3" t="s">
        <v>640</v>
      </c>
      <c r="Z353">
        <v>94.058999999999997</v>
      </c>
      <c r="AA353">
        <v>4000000</v>
      </c>
      <c r="AB353" s="3" t="s">
        <v>449</v>
      </c>
      <c r="AC353" s="3" t="s">
        <v>10</v>
      </c>
      <c r="AD353">
        <v>0</v>
      </c>
      <c r="AE353">
        <v>0</v>
      </c>
      <c r="AF353" s="3" t="s">
        <v>640</v>
      </c>
    </row>
    <row r="354" spans="1:32" x14ac:dyDescent="0.35">
      <c r="A354" s="3" t="s">
        <v>608</v>
      </c>
      <c r="B354" s="3" t="s">
        <v>608</v>
      </c>
      <c r="C354" s="3" t="s">
        <v>608</v>
      </c>
      <c r="D354" s="3" t="s">
        <v>608</v>
      </c>
      <c r="E354" s="3" t="s">
        <v>608</v>
      </c>
      <c r="F354" s="3" t="s">
        <v>640</v>
      </c>
      <c r="G354" s="3" t="s">
        <v>921</v>
      </c>
      <c r="H354" s="3" t="s">
        <v>921</v>
      </c>
      <c r="I354" s="3" t="s">
        <v>640</v>
      </c>
      <c r="J354" s="3" t="s">
        <v>4</v>
      </c>
      <c r="K354" s="3" t="s">
        <v>640</v>
      </c>
      <c r="L354" s="3" t="s">
        <v>448</v>
      </c>
      <c r="M354" s="3" t="s">
        <v>14</v>
      </c>
      <c r="N354">
        <v>-996000</v>
      </c>
      <c r="O354">
        <v>109.742</v>
      </c>
      <c r="Q354">
        <v>0</v>
      </c>
      <c r="R354">
        <v>-29</v>
      </c>
      <c r="S354" s="3" t="s">
        <v>640</v>
      </c>
      <c r="T354">
        <v>0</v>
      </c>
      <c r="U354">
        <v>0</v>
      </c>
      <c r="V354">
        <v>0</v>
      </c>
      <c r="W354">
        <v>0</v>
      </c>
      <c r="X354">
        <v>1093030</v>
      </c>
      <c r="Y354" s="3" t="s">
        <v>640</v>
      </c>
      <c r="Z354">
        <v>109.742</v>
      </c>
      <c r="AA354">
        <v>-996000</v>
      </c>
      <c r="AB354" s="3" t="s">
        <v>449</v>
      </c>
      <c r="AC354" s="3" t="s">
        <v>10</v>
      </c>
      <c r="AD354">
        <v>0</v>
      </c>
      <c r="AE354">
        <v>0</v>
      </c>
      <c r="AF354" s="3" t="s">
        <v>640</v>
      </c>
    </row>
    <row r="355" spans="1:32" x14ac:dyDescent="0.35">
      <c r="A355" s="3" t="s">
        <v>608</v>
      </c>
      <c r="B355" s="3" t="s">
        <v>608</v>
      </c>
      <c r="C355" s="3" t="s">
        <v>608</v>
      </c>
      <c r="D355" s="3" t="s">
        <v>608</v>
      </c>
      <c r="E355" s="3" t="s">
        <v>608</v>
      </c>
      <c r="F355" s="3" t="s">
        <v>640</v>
      </c>
      <c r="G355" s="3" t="s">
        <v>512</v>
      </c>
      <c r="H355" s="3" t="s">
        <v>512</v>
      </c>
      <c r="I355" s="3" t="s">
        <v>640</v>
      </c>
      <c r="J355" s="3" t="s">
        <v>4</v>
      </c>
      <c r="K355" s="3" t="s">
        <v>640</v>
      </c>
      <c r="L355" s="3" t="s">
        <v>448</v>
      </c>
      <c r="M355" s="3" t="s">
        <v>14</v>
      </c>
      <c r="N355">
        <v>-1515000</v>
      </c>
      <c r="O355">
        <v>117.57299999999999</v>
      </c>
      <c r="Q355">
        <v>0</v>
      </c>
      <c r="R355">
        <v>-47</v>
      </c>
      <c r="S355" s="3" t="s">
        <v>640</v>
      </c>
      <c r="T355">
        <v>0</v>
      </c>
      <c r="U355">
        <v>0</v>
      </c>
      <c r="V355">
        <v>0</v>
      </c>
      <c r="W355">
        <v>0</v>
      </c>
      <c r="X355">
        <v>1781227</v>
      </c>
      <c r="Y355" s="3" t="s">
        <v>640</v>
      </c>
      <c r="Z355">
        <v>117.57299999999999</v>
      </c>
      <c r="AA355">
        <v>-1515000</v>
      </c>
      <c r="AB355" s="3" t="s">
        <v>449</v>
      </c>
      <c r="AC355" s="3" t="s">
        <v>10</v>
      </c>
      <c r="AD355">
        <v>0</v>
      </c>
      <c r="AE355">
        <v>0</v>
      </c>
      <c r="AF355" s="3" t="s">
        <v>640</v>
      </c>
    </row>
    <row r="356" spans="1:32" x14ac:dyDescent="0.35">
      <c r="A356" s="3" t="s">
        <v>608</v>
      </c>
      <c r="B356" s="3" t="s">
        <v>608</v>
      </c>
      <c r="C356" s="3" t="s">
        <v>608</v>
      </c>
      <c r="D356" s="3" t="s">
        <v>608</v>
      </c>
      <c r="E356" s="3" t="s">
        <v>608</v>
      </c>
      <c r="F356" s="3" t="s">
        <v>640</v>
      </c>
      <c r="G356" s="3" t="s">
        <v>455</v>
      </c>
      <c r="H356" s="3" t="s">
        <v>455</v>
      </c>
      <c r="I356" s="3" t="s">
        <v>640</v>
      </c>
      <c r="J356" s="3" t="s">
        <v>4</v>
      </c>
      <c r="K356" s="3" t="s">
        <v>640</v>
      </c>
      <c r="L356" s="3" t="s">
        <v>448</v>
      </c>
      <c r="M356" s="3" t="s">
        <v>14</v>
      </c>
      <c r="N356">
        <v>-17971000</v>
      </c>
      <c r="O356">
        <v>101.35899999999999</v>
      </c>
      <c r="Q356">
        <v>0</v>
      </c>
      <c r="R356">
        <v>-483</v>
      </c>
      <c r="S356" s="3" t="s">
        <v>640</v>
      </c>
      <c r="T356">
        <v>0</v>
      </c>
      <c r="U356">
        <v>0</v>
      </c>
      <c r="V356">
        <v>0</v>
      </c>
      <c r="W356">
        <v>0</v>
      </c>
      <c r="X356">
        <v>18289760</v>
      </c>
      <c r="Y356" s="3" t="s">
        <v>640</v>
      </c>
      <c r="Z356">
        <v>101.35899999999999</v>
      </c>
      <c r="AA356">
        <v>-17971000</v>
      </c>
      <c r="AB356" s="3" t="s">
        <v>449</v>
      </c>
      <c r="AC356" s="3" t="s">
        <v>10</v>
      </c>
      <c r="AD356">
        <v>0</v>
      </c>
      <c r="AE356">
        <v>0</v>
      </c>
      <c r="AF356" s="3" t="s">
        <v>640</v>
      </c>
    </row>
    <row r="357" spans="1:32" x14ac:dyDescent="0.35">
      <c r="A357" s="3" t="s">
        <v>608</v>
      </c>
      <c r="B357" s="3" t="s">
        <v>608</v>
      </c>
      <c r="C357" s="3" t="s">
        <v>608</v>
      </c>
      <c r="D357" s="3" t="s">
        <v>608</v>
      </c>
      <c r="E357" s="3" t="s">
        <v>608</v>
      </c>
      <c r="F357" s="3" t="s">
        <v>640</v>
      </c>
      <c r="G357" s="3" t="s">
        <v>516</v>
      </c>
      <c r="H357" s="3" t="s">
        <v>516</v>
      </c>
      <c r="I357" s="3" t="s">
        <v>640</v>
      </c>
      <c r="J357" s="3" t="s">
        <v>4</v>
      </c>
      <c r="K357" s="3" t="s">
        <v>640</v>
      </c>
      <c r="L357" s="3" t="s">
        <v>448</v>
      </c>
      <c r="M357" s="3" t="s">
        <v>14</v>
      </c>
      <c r="N357">
        <v>-1000000</v>
      </c>
      <c r="O357">
        <v>110.545</v>
      </c>
      <c r="Q357">
        <v>0</v>
      </c>
      <c r="R357">
        <v>-29</v>
      </c>
      <c r="S357" s="3" t="s">
        <v>640</v>
      </c>
      <c r="T357">
        <v>0</v>
      </c>
      <c r="U357">
        <v>0</v>
      </c>
      <c r="V357">
        <v>0</v>
      </c>
      <c r="W357">
        <v>0</v>
      </c>
      <c r="X357">
        <v>1105446</v>
      </c>
      <c r="Y357" s="3" t="s">
        <v>640</v>
      </c>
      <c r="Z357">
        <v>110.545</v>
      </c>
      <c r="AA357">
        <v>-1000000</v>
      </c>
      <c r="AB357" s="3" t="s">
        <v>449</v>
      </c>
      <c r="AC357" s="3" t="s">
        <v>10</v>
      </c>
      <c r="AD357">
        <v>0</v>
      </c>
      <c r="AE357">
        <v>0</v>
      </c>
      <c r="AF357" s="3" t="s">
        <v>640</v>
      </c>
    </row>
    <row r="358" spans="1:32" x14ac:dyDescent="0.35">
      <c r="A358" s="3" t="s">
        <v>608</v>
      </c>
      <c r="B358" s="3" t="s">
        <v>608</v>
      </c>
      <c r="C358" s="3" t="s">
        <v>608</v>
      </c>
      <c r="D358" s="3" t="s">
        <v>608</v>
      </c>
      <c r="E358" s="3" t="s">
        <v>608</v>
      </c>
      <c r="F358" s="3" t="s">
        <v>640</v>
      </c>
      <c r="G358" s="3" t="s">
        <v>485</v>
      </c>
      <c r="H358" s="3" t="s">
        <v>485</v>
      </c>
      <c r="I358" s="3" t="s">
        <v>640</v>
      </c>
      <c r="J358" s="3" t="s">
        <v>4</v>
      </c>
      <c r="K358" s="3" t="s">
        <v>640</v>
      </c>
      <c r="L358" s="3" t="s">
        <v>448</v>
      </c>
      <c r="M358" s="3" t="s">
        <v>14</v>
      </c>
      <c r="N358">
        <v>1800000</v>
      </c>
      <c r="O358">
        <v>90.174000000000007</v>
      </c>
      <c r="Q358">
        <v>0</v>
      </c>
      <c r="R358">
        <v>11</v>
      </c>
      <c r="S358" s="3" t="s">
        <v>640</v>
      </c>
      <c r="T358">
        <v>0</v>
      </c>
      <c r="U358">
        <v>0</v>
      </c>
      <c r="V358">
        <v>0</v>
      </c>
      <c r="W358">
        <v>0</v>
      </c>
      <c r="X358">
        <v>-1623139</v>
      </c>
      <c r="Y358" s="3" t="s">
        <v>640</v>
      </c>
      <c r="Z358">
        <v>90.174000000000007</v>
      </c>
      <c r="AA358">
        <v>1800000</v>
      </c>
      <c r="AB358" s="3" t="s">
        <v>449</v>
      </c>
      <c r="AC358" s="3" t="s">
        <v>10</v>
      </c>
      <c r="AD358">
        <v>0</v>
      </c>
      <c r="AE358">
        <v>0</v>
      </c>
      <c r="AF358" s="3" t="s">
        <v>640</v>
      </c>
    </row>
    <row r="359" spans="1:32" x14ac:dyDescent="0.35">
      <c r="A359" s="3" t="s">
        <v>608</v>
      </c>
      <c r="B359" s="3" t="s">
        <v>608</v>
      </c>
      <c r="C359" s="3" t="s">
        <v>608</v>
      </c>
      <c r="D359" s="3" t="s">
        <v>608</v>
      </c>
      <c r="E359" s="3" t="s">
        <v>608</v>
      </c>
      <c r="F359" s="3" t="s">
        <v>640</v>
      </c>
      <c r="G359" s="3" t="s">
        <v>553</v>
      </c>
      <c r="H359" s="3" t="s">
        <v>553</v>
      </c>
      <c r="I359" s="3" t="s">
        <v>640</v>
      </c>
      <c r="J359" s="3" t="s">
        <v>4</v>
      </c>
      <c r="K359" s="3" t="s">
        <v>640</v>
      </c>
      <c r="L359" s="3" t="s">
        <v>448</v>
      </c>
      <c r="M359" s="3" t="s">
        <v>14</v>
      </c>
      <c r="N359">
        <v>3000000</v>
      </c>
      <c r="O359">
        <v>91.927000000000007</v>
      </c>
      <c r="Q359">
        <v>0</v>
      </c>
      <c r="R359">
        <v>19</v>
      </c>
      <c r="S359" s="3" t="s">
        <v>640</v>
      </c>
      <c r="T359">
        <v>0</v>
      </c>
      <c r="U359">
        <v>0</v>
      </c>
      <c r="V359">
        <v>0</v>
      </c>
      <c r="W359">
        <v>0</v>
      </c>
      <c r="X359">
        <v>-2757818</v>
      </c>
      <c r="Y359" s="3" t="s">
        <v>640</v>
      </c>
      <c r="Z359">
        <v>91.927000000000007</v>
      </c>
      <c r="AA359">
        <v>3000000</v>
      </c>
      <c r="AB359" s="3" t="s">
        <v>449</v>
      </c>
      <c r="AC359" s="3" t="s">
        <v>10</v>
      </c>
      <c r="AD359">
        <v>0</v>
      </c>
      <c r="AE359">
        <v>0</v>
      </c>
      <c r="AF359" s="3" t="s">
        <v>640</v>
      </c>
    </row>
    <row r="360" spans="1:32" x14ac:dyDescent="0.35">
      <c r="A360" s="3" t="s">
        <v>608</v>
      </c>
      <c r="B360" s="3" t="s">
        <v>608</v>
      </c>
      <c r="C360" s="3" t="s">
        <v>608</v>
      </c>
      <c r="D360" s="3" t="s">
        <v>608</v>
      </c>
      <c r="E360" s="3" t="s">
        <v>608</v>
      </c>
      <c r="F360" s="3" t="s">
        <v>640</v>
      </c>
      <c r="G360" s="3" t="s">
        <v>486</v>
      </c>
      <c r="H360" s="3" t="s">
        <v>486</v>
      </c>
      <c r="I360" s="3" t="s">
        <v>640</v>
      </c>
      <c r="J360" s="3" t="s">
        <v>4</v>
      </c>
      <c r="K360" s="3" t="s">
        <v>640</v>
      </c>
      <c r="L360" s="3" t="s">
        <v>448</v>
      </c>
      <c r="M360" s="3" t="s">
        <v>14</v>
      </c>
      <c r="N360">
        <v>1000000</v>
      </c>
      <c r="O360">
        <v>90.635999999999996</v>
      </c>
      <c r="Q360">
        <v>0</v>
      </c>
      <c r="R360">
        <v>6</v>
      </c>
      <c r="S360" s="3" t="s">
        <v>640</v>
      </c>
      <c r="T360">
        <v>0</v>
      </c>
      <c r="U360">
        <v>0</v>
      </c>
      <c r="V360">
        <v>0</v>
      </c>
      <c r="W360">
        <v>0</v>
      </c>
      <c r="X360">
        <v>-906364</v>
      </c>
      <c r="Y360" s="3" t="s">
        <v>640</v>
      </c>
      <c r="Z360">
        <v>90.635999999999996</v>
      </c>
      <c r="AA360">
        <v>1000000</v>
      </c>
      <c r="AB360" s="3" t="s">
        <v>449</v>
      </c>
      <c r="AC360" s="3" t="s">
        <v>10</v>
      </c>
      <c r="AD360">
        <v>0</v>
      </c>
      <c r="AE360">
        <v>0</v>
      </c>
      <c r="AF360" s="3" t="s">
        <v>640</v>
      </c>
    </row>
    <row r="361" spans="1:32" x14ac:dyDescent="0.35">
      <c r="A361" s="3" t="s">
        <v>608</v>
      </c>
      <c r="B361" s="3" t="s">
        <v>608</v>
      </c>
      <c r="C361" s="3" t="s">
        <v>608</v>
      </c>
      <c r="D361" s="3" t="s">
        <v>608</v>
      </c>
      <c r="E361" s="3" t="s">
        <v>608</v>
      </c>
      <c r="F361" s="3" t="s">
        <v>640</v>
      </c>
      <c r="G361" s="3" t="s">
        <v>487</v>
      </c>
      <c r="H361" s="3" t="s">
        <v>487</v>
      </c>
      <c r="I361" s="3" t="s">
        <v>640</v>
      </c>
      <c r="J361" s="3" t="s">
        <v>4</v>
      </c>
      <c r="K361" s="3" t="s">
        <v>640</v>
      </c>
      <c r="L361" s="3" t="s">
        <v>448</v>
      </c>
      <c r="M361" s="3" t="s">
        <v>14</v>
      </c>
      <c r="N361">
        <v>3000000</v>
      </c>
      <c r="O361">
        <v>98.866</v>
      </c>
      <c r="Q361">
        <v>0</v>
      </c>
      <c r="R361">
        <v>21</v>
      </c>
      <c r="S361" s="3" t="s">
        <v>640</v>
      </c>
      <c r="T361">
        <v>0</v>
      </c>
      <c r="U361">
        <v>0</v>
      </c>
      <c r="V361">
        <v>0</v>
      </c>
      <c r="W361">
        <v>0</v>
      </c>
      <c r="X361">
        <v>-2965984</v>
      </c>
      <c r="Y361" s="3" t="s">
        <v>640</v>
      </c>
      <c r="Z361">
        <v>98.866</v>
      </c>
      <c r="AA361">
        <v>3000000</v>
      </c>
      <c r="AB361" s="3" t="s">
        <v>449</v>
      </c>
      <c r="AC361" s="3" t="s">
        <v>10</v>
      </c>
      <c r="AD361">
        <v>0</v>
      </c>
      <c r="AE361">
        <v>0</v>
      </c>
      <c r="AF361" s="3" t="s">
        <v>640</v>
      </c>
    </row>
    <row r="362" spans="1:32" x14ac:dyDescent="0.35">
      <c r="A362" s="3" t="s">
        <v>608</v>
      </c>
      <c r="B362" s="3" t="s">
        <v>608</v>
      </c>
      <c r="C362" s="3" t="s">
        <v>608</v>
      </c>
      <c r="D362" s="3" t="s">
        <v>608</v>
      </c>
      <c r="E362" s="3" t="s">
        <v>608</v>
      </c>
      <c r="F362" s="3" t="s">
        <v>640</v>
      </c>
      <c r="G362" s="3" t="s">
        <v>488</v>
      </c>
      <c r="H362" s="3" t="s">
        <v>488</v>
      </c>
      <c r="I362" s="3" t="s">
        <v>640</v>
      </c>
      <c r="J362" s="3" t="s">
        <v>4</v>
      </c>
      <c r="K362" s="3" t="s">
        <v>640</v>
      </c>
      <c r="L362" s="3" t="s">
        <v>448</v>
      </c>
      <c r="M362" s="3" t="s">
        <v>14</v>
      </c>
      <c r="N362">
        <v>2000000</v>
      </c>
      <c r="O362">
        <v>93.37</v>
      </c>
      <c r="Q362">
        <v>0</v>
      </c>
      <c r="R362">
        <v>13</v>
      </c>
      <c r="S362" s="3" t="s">
        <v>640</v>
      </c>
      <c r="T362">
        <v>0</v>
      </c>
      <c r="U362">
        <v>0</v>
      </c>
      <c r="V362">
        <v>0</v>
      </c>
      <c r="W362">
        <v>0</v>
      </c>
      <c r="X362">
        <v>-1867403</v>
      </c>
      <c r="Y362" s="3" t="s">
        <v>640</v>
      </c>
      <c r="Z362">
        <v>93.37</v>
      </c>
      <c r="AA362">
        <v>2000000</v>
      </c>
      <c r="AB362" s="3" t="s">
        <v>449</v>
      </c>
      <c r="AC362" s="3" t="s">
        <v>10</v>
      </c>
      <c r="AD362">
        <v>0</v>
      </c>
      <c r="AE362">
        <v>0</v>
      </c>
      <c r="AF362" s="3" t="s">
        <v>640</v>
      </c>
    </row>
    <row r="363" spans="1:32" x14ac:dyDescent="0.35">
      <c r="A363" s="3" t="s">
        <v>608</v>
      </c>
      <c r="B363" s="3" t="s">
        <v>608</v>
      </c>
      <c r="C363" s="3" t="s">
        <v>608</v>
      </c>
      <c r="D363" s="3" t="s">
        <v>608</v>
      </c>
      <c r="E363" s="3" t="s">
        <v>608</v>
      </c>
      <c r="F363" s="3" t="s">
        <v>640</v>
      </c>
      <c r="G363" s="3" t="s">
        <v>489</v>
      </c>
      <c r="H363" s="3" t="s">
        <v>489</v>
      </c>
      <c r="I363" s="3" t="s">
        <v>640</v>
      </c>
      <c r="J363" s="3" t="s">
        <v>4</v>
      </c>
      <c r="K363" s="3" t="s">
        <v>640</v>
      </c>
      <c r="L363" s="3" t="s">
        <v>448</v>
      </c>
      <c r="M363" s="3" t="s">
        <v>14</v>
      </c>
      <c r="N363">
        <v>-4000000</v>
      </c>
      <c r="O363">
        <v>119.532</v>
      </c>
      <c r="Q363">
        <v>0</v>
      </c>
      <c r="R363">
        <v>-126</v>
      </c>
      <c r="S363" s="3" t="s">
        <v>640</v>
      </c>
      <c r="T363">
        <v>0</v>
      </c>
      <c r="U363">
        <v>0</v>
      </c>
      <c r="V363">
        <v>0</v>
      </c>
      <c r="W363">
        <v>0</v>
      </c>
      <c r="X363">
        <v>4773032</v>
      </c>
      <c r="Y363" s="3" t="s">
        <v>640</v>
      </c>
      <c r="Z363">
        <v>119.532</v>
      </c>
      <c r="AA363">
        <v>-4000000</v>
      </c>
      <c r="AB363" s="3" t="s">
        <v>449</v>
      </c>
      <c r="AC363" s="3" t="s">
        <v>10</v>
      </c>
      <c r="AD363">
        <v>0</v>
      </c>
      <c r="AE363">
        <v>0</v>
      </c>
      <c r="AF363" s="3" t="s">
        <v>640</v>
      </c>
    </row>
    <row r="364" spans="1:32" x14ac:dyDescent="0.35">
      <c r="A364" s="3" t="s">
        <v>608</v>
      </c>
      <c r="B364" s="3" t="s">
        <v>608</v>
      </c>
      <c r="C364" s="3" t="s">
        <v>608</v>
      </c>
      <c r="D364" s="3" t="s">
        <v>608</v>
      </c>
      <c r="E364" s="3" t="s">
        <v>608</v>
      </c>
      <c r="F364" s="3" t="s">
        <v>640</v>
      </c>
      <c r="G364" s="3" t="s">
        <v>522</v>
      </c>
      <c r="H364" s="3" t="s">
        <v>522</v>
      </c>
      <c r="I364" s="3" t="s">
        <v>640</v>
      </c>
      <c r="J364" s="3" t="s">
        <v>4</v>
      </c>
      <c r="K364" s="3" t="s">
        <v>640</v>
      </c>
      <c r="L364" s="3" t="s">
        <v>448</v>
      </c>
      <c r="M364" s="3" t="s">
        <v>14</v>
      </c>
      <c r="N364">
        <v>-3850000</v>
      </c>
      <c r="O364">
        <v>108.73099999999999</v>
      </c>
      <c r="Q364">
        <v>0</v>
      </c>
      <c r="R364">
        <v>-121</v>
      </c>
      <c r="S364" s="3" t="s">
        <v>640</v>
      </c>
      <c r="T364">
        <v>0</v>
      </c>
      <c r="U364">
        <v>0</v>
      </c>
      <c r="V364">
        <v>0</v>
      </c>
      <c r="W364">
        <v>0</v>
      </c>
      <c r="X364">
        <v>4186157</v>
      </c>
      <c r="Y364" s="3" t="s">
        <v>640</v>
      </c>
      <c r="Z364">
        <v>108.751</v>
      </c>
      <c r="AA364">
        <v>-4200000</v>
      </c>
      <c r="AB364" s="3" t="s">
        <v>449</v>
      </c>
      <c r="AC364" s="3" t="s">
        <v>10</v>
      </c>
      <c r="AD364">
        <v>0</v>
      </c>
      <c r="AE364">
        <v>0</v>
      </c>
      <c r="AF364" s="3" t="s">
        <v>640</v>
      </c>
    </row>
    <row r="365" spans="1:32" x14ac:dyDescent="0.35">
      <c r="A365" s="3" t="s">
        <v>608</v>
      </c>
      <c r="B365" s="3" t="s">
        <v>608</v>
      </c>
      <c r="C365" s="3" t="s">
        <v>608</v>
      </c>
      <c r="D365" s="3" t="s">
        <v>608</v>
      </c>
      <c r="E365" s="3" t="s">
        <v>608</v>
      </c>
      <c r="F365" s="3" t="s">
        <v>640</v>
      </c>
      <c r="G365" s="3" t="s">
        <v>523</v>
      </c>
      <c r="H365" s="3" t="s">
        <v>523</v>
      </c>
      <c r="I365" s="3" t="s">
        <v>640</v>
      </c>
      <c r="J365" s="3" t="s">
        <v>4</v>
      </c>
      <c r="K365" s="3" t="s">
        <v>640</v>
      </c>
      <c r="L365" s="3" t="s">
        <v>448</v>
      </c>
      <c r="M365" s="3" t="s">
        <v>14</v>
      </c>
      <c r="N365">
        <v>-2850000</v>
      </c>
      <c r="O365">
        <v>105.789</v>
      </c>
      <c r="Q365">
        <v>0</v>
      </c>
      <c r="R365">
        <v>-80</v>
      </c>
      <c r="S365" s="3" t="s">
        <v>640</v>
      </c>
      <c r="T365">
        <v>0</v>
      </c>
      <c r="U365">
        <v>0</v>
      </c>
      <c r="V365">
        <v>0</v>
      </c>
      <c r="W365">
        <v>0</v>
      </c>
      <c r="X365">
        <v>3016798</v>
      </c>
      <c r="Y365" s="3" t="s">
        <v>640</v>
      </c>
      <c r="Z365">
        <v>105.789</v>
      </c>
      <c r="AA365">
        <v>-2850000</v>
      </c>
      <c r="AB365" s="3" t="s">
        <v>449</v>
      </c>
      <c r="AC365" s="3" t="s">
        <v>10</v>
      </c>
      <c r="AD365">
        <v>0</v>
      </c>
      <c r="AE365">
        <v>0</v>
      </c>
      <c r="AF365" s="3" t="s">
        <v>640</v>
      </c>
    </row>
    <row r="366" spans="1:32" x14ac:dyDescent="0.35">
      <c r="A366" s="3" t="s">
        <v>608</v>
      </c>
      <c r="B366" s="3" t="s">
        <v>608</v>
      </c>
      <c r="C366" s="3" t="s">
        <v>608</v>
      </c>
      <c r="D366" s="3" t="s">
        <v>608</v>
      </c>
      <c r="E366" s="3" t="s">
        <v>608</v>
      </c>
      <c r="F366" s="3" t="s">
        <v>640</v>
      </c>
      <c r="G366" s="3" t="s">
        <v>536</v>
      </c>
      <c r="H366" s="3" t="s">
        <v>536</v>
      </c>
      <c r="I366" s="3" t="s">
        <v>640</v>
      </c>
      <c r="J366" s="3" t="s">
        <v>4</v>
      </c>
      <c r="K366" s="3" t="s">
        <v>640</v>
      </c>
      <c r="L366" s="3" t="s">
        <v>448</v>
      </c>
      <c r="M366" s="3" t="s">
        <v>14</v>
      </c>
      <c r="N366">
        <v>-2855000</v>
      </c>
      <c r="O366">
        <v>124.699</v>
      </c>
      <c r="Q366">
        <v>0</v>
      </c>
      <c r="R366">
        <v>-94</v>
      </c>
      <c r="S366" s="3" t="s">
        <v>640</v>
      </c>
      <c r="T366">
        <v>0</v>
      </c>
      <c r="U366">
        <v>0</v>
      </c>
      <c r="V366">
        <v>0</v>
      </c>
      <c r="W366">
        <v>0</v>
      </c>
      <c r="X366">
        <v>3560152</v>
      </c>
      <c r="Y366" s="3" t="s">
        <v>640</v>
      </c>
      <c r="Z366">
        <v>124.699</v>
      </c>
      <c r="AA366">
        <v>-2855000</v>
      </c>
      <c r="AB366" s="3" t="s">
        <v>449</v>
      </c>
      <c r="AC366" s="3" t="s">
        <v>10</v>
      </c>
      <c r="AD366">
        <v>0</v>
      </c>
      <c r="AE366">
        <v>0</v>
      </c>
      <c r="AF366" s="3" t="s">
        <v>640</v>
      </c>
    </row>
    <row r="367" spans="1:32" x14ac:dyDescent="0.35">
      <c r="A367" s="3" t="s">
        <v>608</v>
      </c>
      <c r="B367" s="3" t="s">
        <v>608</v>
      </c>
      <c r="C367" s="3" t="s">
        <v>608</v>
      </c>
      <c r="D367" s="3" t="s">
        <v>608</v>
      </c>
      <c r="E367" s="3" t="s">
        <v>608</v>
      </c>
      <c r="F367" s="3" t="s">
        <v>640</v>
      </c>
      <c r="G367" s="3" t="s">
        <v>875</v>
      </c>
      <c r="H367" s="3" t="s">
        <v>875</v>
      </c>
      <c r="I367" s="3" t="s">
        <v>640</v>
      </c>
      <c r="J367" s="3" t="s">
        <v>4</v>
      </c>
      <c r="K367" s="3" t="s">
        <v>640</v>
      </c>
      <c r="L367" s="3" t="s">
        <v>448</v>
      </c>
      <c r="M367" s="3" t="s">
        <v>14</v>
      </c>
      <c r="N367">
        <v>1000000</v>
      </c>
      <c r="O367">
        <v>84.078999999999994</v>
      </c>
      <c r="Q367">
        <v>0</v>
      </c>
      <c r="R367">
        <v>6</v>
      </c>
      <c r="S367" s="3" t="s">
        <v>640</v>
      </c>
      <c r="T367">
        <v>0</v>
      </c>
      <c r="U367">
        <v>0</v>
      </c>
      <c r="V367">
        <v>0</v>
      </c>
      <c r="W367">
        <v>0</v>
      </c>
      <c r="X367">
        <v>-840788</v>
      </c>
      <c r="Y367" s="3" t="s">
        <v>640</v>
      </c>
      <c r="Z367">
        <v>84.078999999999994</v>
      </c>
      <c r="AA367">
        <v>1000000</v>
      </c>
      <c r="AB367" s="3" t="s">
        <v>449</v>
      </c>
      <c r="AC367" s="3" t="s">
        <v>10</v>
      </c>
      <c r="AD367">
        <v>0</v>
      </c>
      <c r="AE367">
        <v>0</v>
      </c>
      <c r="AF367" s="3" t="s">
        <v>640</v>
      </c>
    </row>
    <row r="368" spans="1:32" x14ac:dyDescent="0.35">
      <c r="A368" s="3" t="s">
        <v>608</v>
      </c>
      <c r="B368" s="3" t="s">
        <v>608</v>
      </c>
      <c r="C368" s="3" t="s">
        <v>608</v>
      </c>
      <c r="D368" s="3" t="s">
        <v>608</v>
      </c>
      <c r="E368" s="3" t="s">
        <v>608</v>
      </c>
      <c r="F368" s="3" t="s">
        <v>640</v>
      </c>
      <c r="G368" s="3" t="s">
        <v>527</v>
      </c>
      <c r="H368" s="3" t="s">
        <v>527</v>
      </c>
      <c r="I368" s="3" t="s">
        <v>640</v>
      </c>
      <c r="J368" s="3" t="s">
        <v>4</v>
      </c>
      <c r="K368" s="3" t="s">
        <v>640</v>
      </c>
      <c r="L368" s="3" t="s">
        <v>448</v>
      </c>
      <c r="M368" s="3" t="s">
        <v>14</v>
      </c>
      <c r="N368">
        <v>3398000</v>
      </c>
      <c r="O368">
        <v>82.2</v>
      </c>
      <c r="Q368">
        <v>0</v>
      </c>
      <c r="R368">
        <v>19</v>
      </c>
      <c r="S368" s="3" t="s">
        <v>640</v>
      </c>
      <c r="T368">
        <v>0</v>
      </c>
      <c r="U368">
        <v>0</v>
      </c>
      <c r="V368">
        <v>0</v>
      </c>
      <c r="W368">
        <v>0</v>
      </c>
      <c r="X368">
        <v>-2793155</v>
      </c>
      <c r="Y368" s="3" t="s">
        <v>640</v>
      </c>
      <c r="Z368">
        <v>82.2</v>
      </c>
      <c r="AA368">
        <v>3398000</v>
      </c>
      <c r="AB368" s="3" t="s">
        <v>449</v>
      </c>
      <c r="AC368" s="3" t="s">
        <v>10</v>
      </c>
      <c r="AD368">
        <v>0</v>
      </c>
      <c r="AE368">
        <v>0</v>
      </c>
      <c r="AF368" s="3" t="s">
        <v>640</v>
      </c>
    </row>
    <row r="369" spans="1:32" x14ac:dyDescent="0.35">
      <c r="A369" s="3" t="s">
        <v>608</v>
      </c>
      <c r="B369" s="3" t="s">
        <v>608</v>
      </c>
      <c r="C369" s="3" t="s">
        <v>608</v>
      </c>
      <c r="D369" s="3" t="s">
        <v>608</v>
      </c>
      <c r="E369" s="3" t="s">
        <v>608</v>
      </c>
      <c r="F369" s="3" t="s">
        <v>640</v>
      </c>
      <c r="G369" s="3" t="s">
        <v>529</v>
      </c>
      <c r="H369" s="3" t="s">
        <v>529</v>
      </c>
      <c r="I369" s="3" t="s">
        <v>640</v>
      </c>
      <c r="J369" s="3" t="s">
        <v>4</v>
      </c>
      <c r="K369" s="3" t="s">
        <v>640</v>
      </c>
      <c r="L369" s="3" t="s">
        <v>448</v>
      </c>
      <c r="M369" s="3" t="s">
        <v>14</v>
      </c>
      <c r="N369">
        <v>14300000</v>
      </c>
      <c r="O369">
        <v>72.989000000000004</v>
      </c>
      <c r="Q369">
        <v>0</v>
      </c>
      <c r="R369">
        <v>73</v>
      </c>
      <c r="S369" s="3" t="s">
        <v>640</v>
      </c>
      <c r="T369">
        <v>0</v>
      </c>
      <c r="U369">
        <v>0</v>
      </c>
      <c r="V369">
        <v>0</v>
      </c>
      <c r="W369">
        <v>0</v>
      </c>
      <c r="X369">
        <v>-10474680</v>
      </c>
      <c r="Y369" s="3" t="s">
        <v>640</v>
      </c>
      <c r="Z369">
        <v>72.989000000000004</v>
      </c>
      <c r="AA369">
        <v>14300000</v>
      </c>
      <c r="AB369" s="3" t="s">
        <v>449</v>
      </c>
      <c r="AC369" s="3" t="s">
        <v>10</v>
      </c>
      <c r="AD369">
        <v>0</v>
      </c>
      <c r="AE369">
        <v>0</v>
      </c>
      <c r="AF369" s="3" t="s">
        <v>640</v>
      </c>
    </row>
    <row r="370" spans="1:32" x14ac:dyDescent="0.35">
      <c r="A370" s="3" t="s">
        <v>608</v>
      </c>
      <c r="B370" s="3" t="s">
        <v>608</v>
      </c>
      <c r="C370" s="3" t="s">
        <v>608</v>
      </c>
      <c r="D370" s="3" t="s">
        <v>608</v>
      </c>
      <c r="E370" s="3" t="s">
        <v>608</v>
      </c>
      <c r="F370" s="3" t="s">
        <v>640</v>
      </c>
      <c r="G370" s="3" t="s">
        <v>530</v>
      </c>
      <c r="H370" s="3" t="s">
        <v>530</v>
      </c>
      <c r="I370" s="3" t="s">
        <v>640</v>
      </c>
      <c r="J370" s="3" t="s">
        <v>4</v>
      </c>
      <c r="K370" s="3" t="s">
        <v>640</v>
      </c>
      <c r="L370" s="3" t="s">
        <v>448</v>
      </c>
      <c r="M370" s="3" t="s">
        <v>14</v>
      </c>
      <c r="N370">
        <v>-200000</v>
      </c>
      <c r="O370">
        <v>115.47</v>
      </c>
      <c r="Q370">
        <v>0</v>
      </c>
      <c r="R370">
        <v>-21</v>
      </c>
      <c r="S370" s="3" t="s">
        <v>640</v>
      </c>
      <c r="T370">
        <v>0</v>
      </c>
      <c r="U370">
        <v>0</v>
      </c>
      <c r="V370">
        <v>0</v>
      </c>
      <c r="W370">
        <v>0</v>
      </c>
      <c r="X370">
        <v>230940</v>
      </c>
      <c r="Y370" s="3" t="s">
        <v>640</v>
      </c>
      <c r="Z370">
        <v>115.642</v>
      </c>
      <c r="AA370">
        <v>-700000</v>
      </c>
      <c r="AB370" s="3" t="s">
        <v>449</v>
      </c>
      <c r="AC370" s="3" t="s">
        <v>10</v>
      </c>
      <c r="AD370">
        <v>0</v>
      </c>
      <c r="AE370">
        <v>0</v>
      </c>
      <c r="AF370" s="3" t="s">
        <v>640</v>
      </c>
    </row>
    <row r="371" spans="1:32" x14ac:dyDescent="0.35">
      <c r="A371" s="3" t="s">
        <v>608</v>
      </c>
      <c r="B371" s="3" t="s">
        <v>608</v>
      </c>
      <c r="C371" s="3" t="s">
        <v>608</v>
      </c>
      <c r="D371" s="3" t="s">
        <v>608</v>
      </c>
      <c r="E371" s="3" t="s">
        <v>608</v>
      </c>
      <c r="F371" s="3" t="s">
        <v>640</v>
      </c>
      <c r="G371" s="3" t="s">
        <v>532</v>
      </c>
      <c r="H371" s="3" t="s">
        <v>532</v>
      </c>
      <c r="I371" s="3" t="s">
        <v>640</v>
      </c>
      <c r="J371" s="3" t="s">
        <v>4</v>
      </c>
      <c r="K371" s="3" t="s">
        <v>640</v>
      </c>
      <c r="L371" s="3" t="s">
        <v>448</v>
      </c>
      <c r="M371" s="3" t="s">
        <v>14</v>
      </c>
      <c r="N371">
        <v>1000000</v>
      </c>
      <c r="O371">
        <v>90.463999999999999</v>
      </c>
      <c r="Q371">
        <v>0</v>
      </c>
      <c r="R371">
        <v>6</v>
      </c>
      <c r="S371" s="3" t="s">
        <v>640</v>
      </c>
      <c r="T371">
        <v>0</v>
      </c>
      <c r="U371">
        <v>0</v>
      </c>
      <c r="V371">
        <v>0</v>
      </c>
      <c r="W371">
        <v>0</v>
      </c>
      <c r="X371">
        <v>-904638</v>
      </c>
      <c r="Y371" s="3" t="s">
        <v>640</v>
      </c>
      <c r="Z371">
        <v>90.463999999999999</v>
      </c>
      <c r="AA371">
        <v>1000000</v>
      </c>
      <c r="AB371" s="3" t="s">
        <v>449</v>
      </c>
      <c r="AC371" s="3" t="s">
        <v>10</v>
      </c>
      <c r="AD371">
        <v>0</v>
      </c>
      <c r="AE371">
        <v>0</v>
      </c>
      <c r="AF371" s="3" t="s">
        <v>640</v>
      </c>
    </row>
    <row r="372" spans="1:32" x14ac:dyDescent="0.35">
      <c r="A372" s="3" t="s">
        <v>608</v>
      </c>
      <c r="B372" s="3" t="s">
        <v>608</v>
      </c>
      <c r="C372" s="3" t="s">
        <v>608</v>
      </c>
      <c r="D372" s="3" t="s">
        <v>608</v>
      </c>
      <c r="E372" s="3" t="s">
        <v>608</v>
      </c>
      <c r="F372" s="3" t="s">
        <v>640</v>
      </c>
      <c r="G372" s="3" t="s">
        <v>534</v>
      </c>
      <c r="H372" s="3" t="s">
        <v>534</v>
      </c>
      <c r="I372" s="3" t="s">
        <v>640</v>
      </c>
      <c r="J372" s="3" t="s">
        <v>266</v>
      </c>
      <c r="K372" s="3" t="s">
        <v>640</v>
      </c>
      <c r="L372" s="3" t="s">
        <v>448</v>
      </c>
      <c r="M372" s="3" t="s">
        <v>14</v>
      </c>
      <c r="N372">
        <v>500000</v>
      </c>
      <c r="O372">
        <v>80.766000000000005</v>
      </c>
      <c r="Q372">
        <v>0</v>
      </c>
      <c r="R372">
        <v>-4</v>
      </c>
      <c r="S372" s="3" t="s">
        <v>640</v>
      </c>
      <c r="T372">
        <v>0</v>
      </c>
      <c r="U372">
        <v>0</v>
      </c>
      <c r="V372">
        <v>0</v>
      </c>
      <c r="W372">
        <v>0</v>
      </c>
      <c r="X372">
        <v>-344328</v>
      </c>
      <c r="Y372" s="3" t="s">
        <v>640</v>
      </c>
      <c r="Z372">
        <v>80.766000000000005</v>
      </c>
      <c r="AA372">
        <v>500000</v>
      </c>
      <c r="AB372" s="3" t="s">
        <v>449</v>
      </c>
      <c r="AC372" s="3" t="s">
        <v>10</v>
      </c>
      <c r="AD372">
        <v>0</v>
      </c>
      <c r="AE372">
        <v>0</v>
      </c>
      <c r="AF372" s="3" t="s">
        <v>640</v>
      </c>
    </row>
    <row r="373" spans="1:32" x14ac:dyDescent="0.35">
      <c r="A373" s="3" t="s">
        <v>608</v>
      </c>
      <c r="B373" s="3" t="s">
        <v>608</v>
      </c>
      <c r="C373" s="3" t="s">
        <v>608</v>
      </c>
      <c r="D373" s="3" t="s">
        <v>608</v>
      </c>
      <c r="E373" s="3" t="s">
        <v>608</v>
      </c>
      <c r="F373" s="3" t="s">
        <v>640</v>
      </c>
      <c r="G373" s="3" t="s">
        <v>538</v>
      </c>
      <c r="H373" s="3" t="s">
        <v>538</v>
      </c>
      <c r="I373" s="3" t="s">
        <v>640</v>
      </c>
      <c r="J373" s="3" t="s">
        <v>4</v>
      </c>
      <c r="K373" s="3" t="s">
        <v>640</v>
      </c>
      <c r="L373" s="3" t="s">
        <v>448</v>
      </c>
      <c r="M373" s="3" t="s">
        <v>14</v>
      </c>
      <c r="N373">
        <v>-2000000</v>
      </c>
      <c r="O373">
        <v>101.062</v>
      </c>
      <c r="Q373">
        <v>0</v>
      </c>
      <c r="R373">
        <v>-53</v>
      </c>
      <c r="S373" s="3" t="s">
        <v>640</v>
      </c>
      <c r="T373">
        <v>0</v>
      </c>
      <c r="U373">
        <v>0</v>
      </c>
      <c r="V373">
        <v>0</v>
      </c>
      <c r="W373">
        <v>0</v>
      </c>
      <c r="X373">
        <v>2021235</v>
      </c>
      <c r="Y373" s="3" t="s">
        <v>640</v>
      </c>
      <c r="Z373">
        <v>101.062</v>
      </c>
      <c r="AA373">
        <v>-2000000</v>
      </c>
      <c r="AB373" s="3" t="s">
        <v>449</v>
      </c>
      <c r="AC373" s="3" t="s">
        <v>10</v>
      </c>
      <c r="AD373">
        <v>0</v>
      </c>
      <c r="AE373">
        <v>0</v>
      </c>
      <c r="AF373" s="3" t="s">
        <v>640</v>
      </c>
    </row>
    <row r="374" spans="1:32" x14ac:dyDescent="0.35">
      <c r="A374" s="3" t="s">
        <v>608</v>
      </c>
      <c r="B374" s="3" t="s">
        <v>608</v>
      </c>
      <c r="C374" s="3" t="s">
        <v>608</v>
      </c>
      <c r="D374" s="3" t="s">
        <v>608</v>
      </c>
      <c r="E374" s="3" t="s">
        <v>608</v>
      </c>
      <c r="F374" s="3" t="s">
        <v>640</v>
      </c>
      <c r="G374" s="3" t="s">
        <v>540</v>
      </c>
      <c r="H374" s="3" t="s">
        <v>540</v>
      </c>
      <c r="I374" s="3" t="s">
        <v>640</v>
      </c>
      <c r="J374" s="3" t="s">
        <v>4</v>
      </c>
      <c r="K374" s="3" t="s">
        <v>640</v>
      </c>
      <c r="L374" s="3" t="s">
        <v>448</v>
      </c>
      <c r="M374" s="3" t="s">
        <v>14</v>
      </c>
      <c r="N374">
        <v>2230000</v>
      </c>
      <c r="O374">
        <v>76.102999999999994</v>
      </c>
      <c r="Q374">
        <v>0</v>
      </c>
      <c r="R374">
        <v>12</v>
      </c>
      <c r="S374" s="3" t="s">
        <v>640</v>
      </c>
      <c r="T374">
        <v>0</v>
      </c>
      <c r="U374">
        <v>0</v>
      </c>
      <c r="V374">
        <v>0</v>
      </c>
      <c r="W374">
        <v>0</v>
      </c>
      <c r="X374">
        <v>-1697086</v>
      </c>
      <c r="Y374" s="3" t="s">
        <v>640</v>
      </c>
      <c r="Z374">
        <v>76.102999999999994</v>
      </c>
      <c r="AA374">
        <v>2230000</v>
      </c>
      <c r="AB374" s="3" t="s">
        <v>449</v>
      </c>
      <c r="AC374" s="3" t="s">
        <v>10</v>
      </c>
      <c r="AD374">
        <v>0</v>
      </c>
      <c r="AE374">
        <v>0</v>
      </c>
      <c r="AF374" s="3" t="s">
        <v>640</v>
      </c>
    </row>
    <row r="375" spans="1:32" x14ac:dyDescent="0.35">
      <c r="A375" s="3" t="s">
        <v>608</v>
      </c>
      <c r="B375" s="3" t="s">
        <v>608</v>
      </c>
      <c r="C375" s="3" t="s">
        <v>608</v>
      </c>
      <c r="D375" s="3" t="s">
        <v>608</v>
      </c>
      <c r="E375" s="3" t="s">
        <v>608</v>
      </c>
      <c r="F375" s="3" t="s">
        <v>640</v>
      </c>
      <c r="G375" s="3" t="s">
        <v>542</v>
      </c>
      <c r="H375" s="3" t="s">
        <v>542</v>
      </c>
      <c r="I375" s="3" t="s">
        <v>640</v>
      </c>
      <c r="J375" s="3" t="s">
        <v>4</v>
      </c>
      <c r="K375" s="3" t="s">
        <v>640</v>
      </c>
      <c r="L375" s="3" t="s">
        <v>448</v>
      </c>
      <c r="M375" s="3" t="s">
        <v>14</v>
      </c>
      <c r="N375">
        <v>4000000</v>
      </c>
      <c r="O375">
        <v>78.334999999999994</v>
      </c>
      <c r="Q375">
        <v>0</v>
      </c>
      <c r="R375">
        <v>22</v>
      </c>
      <c r="S375" s="3" t="s">
        <v>640</v>
      </c>
      <c r="T375">
        <v>0</v>
      </c>
      <c r="U375">
        <v>0</v>
      </c>
      <c r="V375">
        <v>0</v>
      </c>
      <c r="W375">
        <v>0</v>
      </c>
      <c r="X375">
        <v>-3133408</v>
      </c>
      <c r="Y375" s="3" t="s">
        <v>640</v>
      </c>
      <c r="Z375">
        <v>78.334999999999994</v>
      </c>
      <c r="AA375">
        <v>4000000</v>
      </c>
      <c r="AB375" s="3" t="s">
        <v>449</v>
      </c>
      <c r="AC375" s="3" t="s">
        <v>10</v>
      </c>
      <c r="AD375">
        <v>0</v>
      </c>
      <c r="AE375">
        <v>0</v>
      </c>
      <c r="AF375" s="3" t="s">
        <v>640</v>
      </c>
    </row>
    <row r="376" spans="1:32" x14ac:dyDescent="0.35">
      <c r="A376" s="3" t="s">
        <v>608</v>
      </c>
      <c r="B376" s="3" t="s">
        <v>608</v>
      </c>
      <c r="C376" s="3" t="s">
        <v>608</v>
      </c>
      <c r="D376" s="3" t="s">
        <v>608</v>
      </c>
      <c r="E376" s="3" t="s">
        <v>608</v>
      </c>
      <c r="F376" s="3" t="s">
        <v>640</v>
      </c>
      <c r="G376" s="3" t="s">
        <v>851</v>
      </c>
      <c r="H376" s="3" t="s">
        <v>851</v>
      </c>
      <c r="I376" s="3" t="s">
        <v>640</v>
      </c>
      <c r="J376" s="3" t="s">
        <v>4</v>
      </c>
      <c r="K376" s="3" t="s">
        <v>640</v>
      </c>
      <c r="L376" s="3" t="s">
        <v>448</v>
      </c>
      <c r="M376" s="3" t="s">
        <v>14</v>
      </c>
      <c r="N376">
        <v>-4000000</v>
      </c>
      <c r="O376">
        <v>114.501</v>
      </c>
      <c r="Q376">
        <v>0</v>
      </c>
      <c r="R376">
        <v>-121</v>
      </c>
      <c r="S376" s="3" t="s">
        <v>640</v>
      </c>
      <c r="T376">
        <v>0</v>
      </c>
      <c r="U376">
        <v>0</v>
      </c>
      <c r="V376">
        <v>0</v>
      </c>
      <c r="W376">
        <v>0</v>
      </c>
      <c r="X376">
        <v>4580033</v>
      </c>
      <c r="Y376" s="3" t="s">
        <v>640</v>
      </c>
      <c r="Z376">
        <v>114.501</v>
      </c>
      <c r="AA376">
        <v>-4000000</v>
      </c>
      <c r="AB376" s="3" t="s">
        <v>449</v>
      </c>
      <c r="AC376" s="3" t="s">
        <v>10</v>
      </c>
      <c r="AD376">
        <v>0</v>
      </c>
      <c r="AE376">
        <v>0</v>
      </c>
      <c r="AF376" s="3" t="s">
        <v>640</v>
      </c>
    </row>
    <row r="377" spans="1:32" x14ac:dyDescent="0.35">
      <c r="A377" s="3" t="s">
        <v>608</v>
      </c>
      <c r="B377" s="3" t="s">
        <v>608</v>
      </c>
      <c r="C377" s="3" t="s">
        <v>608</v>
      </c>
      <c r="D377" s="3" t="s">
        <v>608</v>
      </c>
      <c r="E377" s="3" t="s">
        <v>608</v>
      </c>
      <c r="F377" s="3" t="s">
        <v>640</v>
      </c>
      <c r="G377" s="3" t="s">
        <v>852</v>
      </c>
      <c r="H377" s="3" t="s">
        <v>852</v>
      </c>
      <c r="I377" s="3" t="s">
        <v>640</v>
      </c>
      <c r="J377" s="3" t="s">
        <v>4</v>
      </c>
      <c r="K377" s="3" t="s">
        <v>640</v>
      </c>
      <c r="L377" s="3" t="s">
        <v>448</v>
      </c>
      <c r="M377" s="3" t="s">
        <v>14</v>
      </c>
      <c r="N377">
        <v>-6000000</v>
      </c>
      <c r="O377">
        <v>108.80500000000001</v>
      </c>
      <c r="Q377">
        <v>0</v>
      </c>
      <c r="R377">
        <v>-172</v>
      </c>
      <c r="S377" s="3" t="s">
        <v>640</v>
      </c>
      <c r="T377">
        <v>0</v>
      </c>
      <c r="U377">
        <v>0</v>
      </c>
      <c r="V377">
        <v>0</v>
      </c>
      <c r="W377">
        <v>0</v>
      </c>
      <c r="X377">
        <v>6528309</v>
      </c>
      <c r="Y377" s="3" t="s">
        <v>640</v>
      </c>
      <c r="Z377">
        <v>108.80500000000001</v>
      </c>
      <c r="AA377">
        <v>-6000000</v>
      </c>
      <c r="AB377" s="3" t="s">
        <v>449</v>
      </c>
      <c r="AC377" s="3" t="s">
        <v>10</v>
      </c>
      <c r="AD377">
        <v>0</v>
      </c>
      <c r="AE377">
        <v>0</v>
      </c>
      <c r="AF377" s="3" t="s">
        <v>640</v>
      </c>
    </row>
    <row r="378" spans="1:32" x14ac:dyDescent="0.35">
      <c r="A378" s="3" t="s">
        <v>608</v>
      </c>
      <c r="B378" s="3" t="s">
        <v>608</v>
      </c>
      <c r="C378" s="3" t="s">
        <v>608</v>
      </c>
      <c r="D378" s="3" t="s">
        <v>608</v>
      </c>
      <c r="E378" s="3" t="s">
        <v>608</v>
      </c>
      <c r="F378" s="3" t="s">
        <v>640</v>
      </c>
      <c r="G378" s="3" t="s">
        <v>853</v>
      </c>
      <c r="H378" s="3" t="s">
        <v>853</v>
      </c>
      <c r="I378" s="3" t="s">
        <v>640</v>
      </c>
      <c r="J378" s="3" t="s">
        <v>4</v>
      </c>
      <c r="K378" s="3" t="s">
        <v>640</v>
      </c>
      <c r="L378" s="3" t="s">
        <v>448</v>
      </c>
      <c r="M378" s="3" t="s">
        <v>14</v>
      </c>
      <c r="N378">
        <v>-2700000</v>
      </c>
      <c r="O378">
        <v>101.98699999999999</v>
      </c>
      <c r="Q378">
        <v>0</v>
      </c>
      <c r="R378">
        <v>-73</v>
      </c>
      <c r="S378" s="3" t="s">
        <v>640</v>
      </c>
      <c r="T378">
        <v>0</v>
      </c>
      <c r="U378">
        <v>0</v>
      </c>
      <c r="V378">
        <v>0</v>
      </c>
      <c r="W378">
        <v>0</v>
      </c>
      <c r="X378">
        <v>2753651</v>
      </c>
      <c r="Y378" s="3" t="s">
        <v>640</v>
      </c>
      <c r="Z378">
        <v>101.98699999999999</v>
      </c>
      <c r="AA378">
        <v>-2700000</v>
      </c>
      <c r="AB378" s="3" t="s">
        <v>449</v>
      </c>
      <c r="AC378" s="3" t="s">
        <v>10</v>
      </c>
      <c r="AD378">
        <v>0</v>
      </c>
      <c r="AE378">
        <v>0</v>
      </c>
      <c r="AF378" s="3" t="s">
        <v>640</v>
      </c>
    </row>
    <row r="379" spans="1:32" x14ac:dyDescent="0.35">
      <c r="A379" s="3" t="s">
        <v>608</v>
      </c>
      <c r="B379" s="3" t="s">
        <v>608</v>
      </c>
      <c r="C379" s="3" t="s">
        <v>608</v>
      </c>
      <c r="D379" s="3" t="s">
        <v>608</v>
      </c>
      <c r="E379" s="3" t="s">
        <v>608</v>
      </c>
      <c r="F379" s="3" t="s">
        <v>640</v>
      </c>
      <c r="G379" s="3" t="s">
        <v>876</v>
      </c>
      <c r="H379" s="3" t="s">
        <v>876</v>
      </c>
      <c r="I379" s="3" t="s">
        <v>640</v>
      </c>
      <c r="J379" s="3" t="s">
        <v>4</v>
      </c>
      <c r="K379" s="3" t="s">
        <v>640</v>
      </c>
      <c r="L379" s="3" t="s">
        <v>448</v>
      </c>
      <c r="M379" s="3" t="s">
        <v>14</v>
      </c>
      <c r="N379">
        <v>15000000</v>
      </c>
      <c r="O379">
        <v>86.099000000000004</v>
      </c>
      <c r="Q379">
        <v>0</v>
      </c>
      <c r="R379">
        <v>90</v>
      </c>
      <c r="S379" s="3" t="s">
        <v>640</v>
      </c>
      <c r="T379">
        <v>0</v>
      </c>
      <c r="U379">
        <v>0</v>
      </c>
      <c r="V379">
        <v>0</v>
      </c>
      <c r="W379">
        <v>0</v>
      </c>
      <c r="X379">
        <v>-12914827</v>
      </c>
      <c r="Y379" s="3" t="s">
        <v>640</v>
      </c>
      <c r="Z379">
        <v>86.099000000000004</v>
      </c>
      <c r="AA379">
        <v>15000000</v>
      </c>
      <c r="AB379" s="3" t="s">
        <v>449</v>
      </c>
      <c r="AC379" s="3" t="s">
        <v>10</v>
      </c>
      <c r="AD379">
        <v>0</v>
      </c>
      <c r="AE379">
        <v>0</v>
      </c>
      <c r="AF379" s="3" t="s">
        <v>640</v>
      </c>
    </row>
    <row r="380" spans="1:32" x14ac:dyDescent="0.35">
      <c r="A380" s="3" t="s">
        <v>608</v>
      </c>
      <c r="B380" s="3" t="s">
        <v>608</v>
      </c>
      <c r="C380" s="3" t="s">
        <v>608</v>
      </c>
      <c r="D380" s="3" t="s">
        <v>608</v>
      </c>
      <c r="E380" s="3" t="s">
        <v>608</v>
      </c>
      <c r="F380" s="3" t="s">
        <v>640</v>
      </c>
      <c r="G380" s="3" t="s">
        <v>877</v>
      </c>
      <c r="H380" s="3" t="s">
        <v>877</v>
      </c>
      <c r="I380" s="3" t="s">
        <v>640</v>
      </c>
      <c r="J380" s="3" t="s">
        <v>4</v>
      </c>
      <c r="K380" s="3" t="s">
        <v>640</v>
      </c>
      <c r="L380" s="3" t="s">
        <v>448</v>
      </c>
      <c r="M380" s="3" t="s">
        <v>14</v>
      </c>
      <c r="N380">
        <v>3000000</v>
      </c>
      <c r="O380">
        <v>74.462000000000003</v>
      </c>
      <c r="Q380">
        <v>0</v>
      </c>
      <c r="R380">
        <v>16</v>
      </c>
      <c r="S380" s="3" t="s">
        <v>640</v>
      </c>
      <c r="T380">
        <v>0</v>
      </c>
      <c r="U380">
        <v>0</v>
      </c>
      <c r="V380">
        <v>0</v>
      </c>
      <c r="W380">
        <v>0</v>
      </c>
      <c r="X380">
        <v>-2233849</v>
      </c>
      <c r="Y380" s="3" t="s">
        <v>640</v>
      </c>
      <c r="Z380">
        <v>74.462000000000003</v>
      </c>
      <c r="AA380">
        <v>3000000</v>
      </c>
      <c r="AB380" s="3" t="s">
        <v>449</v>
      </c>
      <c r="AC380" s="3" t="s">
        <v>10</v>
      </c>
      <c r="AD380">
        <v>0</v>
      </c>
      <c r="AE380">
        <v>0</v>
      </c>
      <c r="AF380" s="3" t="s">
        <v>640</v>
      </c>
    </row>
    <row r="381" spans="1:32" x14ac:dyDescent="0.35">
      <c r="A381" s="3" t="s">
        <v>608</v>
      </c>
      <c r="B381" s="3" t="s">
        <v>608</v>
      </c>
      <c r="C381" s="3" t="s">
        <v>608</v>
      </c>
      <c r="D381" s="3" t="s">
        <v>608</v>
      </c>
      <c r="E381" s="3" t="s">
        <v>608</v>
      </c>
      <c r="F381" s="3" t="s">
        <v>640</v>
      </c>
      <c r="G381" s="3" t="s">
        <v>878</v>
      </c>
      <c r="H381" s="3" t="s">
        <v>878</v>
      </c>
      <c r="I381" s="3" t="s">
        <v>640</v>
      </c>
      <c r="J381" s="3" t="s">
        <v>4</v>
      </c>
      <c r="K381" s="3" t="s">
        <v>640</v>
      </c>
      <c r="L381" s="3" t="s">
        <v>448</v>
      </c>
      <c r="M381" s="3" t="s">
        <v>14</v>
      </c>
      <c r="N381">
        <v>0</v>
      </c>
      <c r="O381">
        <v>85.034000000000006</v>
      </c>
      <c r="Q381">
        <v>0</v>
      </c>
      <c r="R381">
        <v>7</v>
      </c>
      <c r="S381" s="3" t="s">
        <v>640</v>
      </c>
      <c r="T381">
        <v>0</v>
      </c>
      <c r="U381">
        <v>0</v>
      </c>
      <c r="V381">
        <v>0</v>
      </c>
      <c r="W381">
        <v>0</v>
      </c>
      <c r="X381">
        <v>0</v>
      </c>
      <c r="Y381" s="3" t="s">
        <v>640</v>
      </c>
      <c r="Z381">
        <v>85.034000000000006</v>
      </c>
      <c r="AA381">
        <v>1000000</v>
      </c>
      <c r="AB381" s="3" t="s">
        <v>449</v>
      </c>
      <c r="AC381" s="3" t="s">
        <v>10</v>
      </c>
      <c r="AD381">
        <v>0</v>
      </c>
      <c r="AE381">
        <v>0</v>
      </c>
      <c r="AF381" s="3" t="s">
        <v>640</v>
      </c>
    </row>
    <row r="382" spans="1:32" x14ac:dyDescent="0.35">
      <c r="A382" s="3" t="s">
        <v>608</v>
      </c>
      <c r="B382" s="3" t="s">
        <v>608</v>
      </c>
      <c r="C382" s="3" t="s">
        <v>608</v>
      </c>
      <c r="D382" s="3" t="s">
        <v>608</v>
      </c>
      <c r="E382" s="3" t="s">
        <v>608</v>
      </c>
      <c r="F382" s="3" t="s">
        <v>640</v>
      </c>
      <c r="G382" s="3" t="s">
        <v>879</v>
      </c>
      <c r="H382" s="3" t="s">
        <v>879</v>
      </c>
      <c r="I382" s="3" t="s">
        <v>640</v>
      </c>
      <c r="J382" s="3" t="s">
        <v>266</v>
      </c>
      <c r="K382" s="3" t="s">
        <v>640</v>
      </c>
      <c r="L382" s="3" t="s">
        <v>448</v>
      </c>
      <c r="M382" s="3" t="s">
        <v>14</v>
      </c>
      <c r="N382">
        <v>5520000</v>
      </c>
      <c r="O382">
        <v>79.402000000000001</v>
      </c>
      <c r="Q382">
        <v>0</v>
      </c>
      <c r="R382">
        <v>-39</v>
      </c>
      <c r="S382" s="3" t="s">
        <v>640</v>
      </c>
      <c r="T382">
        <v>0</v>
      </c>
      <c r="U382">
        <v>0</v>
      </c>
      <c r="V382">
        <v>0</v>
      </c>
      <c r="W382">
        <v>0</v>
      </c>
      <c r="X382">
        <v>-3826289</v>
      </c>
      <c r="Y382" s="3" t="s">
        <v>640</v>
      </c>
      <c r="Z382">
        <v>79.402000000000001</v>
      </c>
      <c r="AA382">
        <v>5520000</v>
      </c>
      <c r="AB382" s="3" t="s">
        <v>449</v>
      </c>
      <c r="AC382" s="3" t="s">
        <v>10</v>
      </c>
      <c r="AD382">
        <v>0</v>
      </c>
      <c r="AE382">
        <v>0</v>
      </c>
      <c r="AF382" s="3" t="s">
        <v>640</v>
      </c>
    </row>
    <row r="383" spans="1:32" x14ac:dyDescent="0.35">
      <c r="A383" s="3" t="s">
        <v>608</v>
      </c>
      <c r="B383" s="3" t="s">
        <v>608</v>
      </c>
      <c r="C383" s="3" t="s">
        <v>608</v>
      </c>
      <c r="D383" s="3" t="s">
        <v>608</v>
      </c>
      <c r="E383" s="3" t="s">
        <v>608</v>
      </c>
      <c r="F383" s="3" t="s">
        <v>640</v>
      </c>
      <c r="G383" s="3" t="s">
        <v>880</v>
      </c>
      <c r="H383" s="3" t="s">
        <v>880</v>
      </c>
      <c r="I383" s="3" t="s">
        <v>640</v>
      </c>
      <c r="J383" s="3" t="s">
        <v>4</v>
      </c>
      <c r="K383" s="3" t="s">
        <v>640</v>
      </c>
      <c r="L383" s="3" t="s">
        <v>448</v>
      </c>
      <c r="M383" s="3" t="s">
        <v>14</v>
      </c>
      <c r="N383">
        <v>3500000</v>
      </c>
      <c r="O383">
        <v>86.361000000000004</v>
      </c>
      <c r="Q383">
        <v>0</v>
      </c>
      <c r="R383">
        <v>21</v>
      </c>
      <c r="S383" s="3" t="s">
        <v>640</v>
      </c>
      <c r="T383">
        <v>0</v>
      </c>
      <c r="U383">
        <v>0</v>
      </c>
      <c r="V383">
        <v>0</v>
      </c>
      <c r="W383">
        <v>0</v>
      </c>
      <c r="X383">
        <v>-3022630</v>
      </c>
      <c r="Y383" s="3" t="s">
        <v>640</v>
      </c>
      <c r="Z383">
        <v>86.361000000000004</v>
      </c>
      <c r="AA383">
        <v>3500000</v>
      </c>
      <c r="AB383" s="3" t="s">
        <v>449</v>
      </c>
      <c r="AC383" s="3" t="s">
        <v>10</v>
      </c>
      <c r="AD383">
        <v>0</v>
      </c>
      <c r="AE383">
        <v>0</v>
      </c>
      <c r="AF383" s="3" t="s">
        <v>640</v>
      </c>
    </row>
    <row r="384" spans="1:32" x14ac:dyDescent="0.35">
      <c r="A384" s="3" t="s">
        <v>608</v>
      </c>
      <c r="B384" s="3" t="s">
        <v>608</v>
      </c>
      <c r="C384" s="3" t="s">
        <v>608</v>
      </c>
      <c r="D384" s="3" t="s">
        <v>608</v>
      </c>
      <c r="E384" s="3" t="s">
        <v>608</v>
      </c>
      <c r="F384" s="3" t="s">
        <v>640</v>
      </c>
      <c r="G384" s="3" t="s">
        <v>881</v>
      </c>
      <c r="H384" s="3" t="s">
        <v>881</v>
      </c>
      <c r="I384" s="3" t="s">
        <v>640</v>
      </c>
      <c r="J384" s="3" t="s">
        <v>4</v>
      </c>
      <c r="K384" s="3" t="s">
        <v>640</v>
      </c>
      <c r="L384" s="3" t="s">
        <v>448</v>
      </c>
      <c r="M384" s="3" t="s">
        <v>14</v>
      </c>
      <c r="N384">
        <v>0</v>
      </c>
      <c r="O384">
        <v>87.504000000000005</v>
      </c>
      <c r="Q384">
        <v>0</v>
      </c>
      <c r="R384">
        <v>0</v>
      </c>
      <c r="S384" s="3" t="s">
        <v>640</v>
      </c>
      <c r="T384">
        <v>0</v>
      </c>
      <c r="U384">
        <v>0</v>
      </c>
      <c r="V384">
        <v>0</v>
      </c>
      <c r="W384">
        <v>0</v>
      </c>
      <c r="X384">
        <v>0</v>
      </c>
      <c r="Y384" s="3" t="s">
        <v>640</v>
      </c>
      <c r="Z384">
        <v>87.504000000000005</v>
      </c>
      <c r="AA384">
        <v>0</v>
      </c>
      <c r="AB384" s="3" t="s">
        <v>449</v>
      </c>
      <c r="AC384" s="3" t="s">
        <v>10</v>
      </c>
      <c r="AD384">
        <v>0</v>
      </c>
      <c r="AE384">
        <v>0</v>
      </c>
      <c r="AF384" s="3" t="s">
        <v>640</v>
      </c>
    </row>
    <row r="385" spans="1:32" x14ac:dyDescent="0.35">
      <c r="A385" s="3" t="s">
        <v>608</v>
      </c>
      <c r="B385" s="3" t="s">
        <v>608</v>
      </c>
      <c r="C385" s="3" t="s">
        <v>608</v>
      </c>
      <c r="D385" s="3" t="s">
        <v>608</v>
      </c>
      <c r="E385" s="3" t="s">
        <v>608</v>
      </c>
      <c r="F385" s="3" t="s">
        <v>640</v>
      </c>
      <c r="G385" s="3" t="s">
        <v>905</v>
      </c>
      <c r="H385" s="3" t="s">
        <v>905</v>
      </c>
      <c r="I385" s="3" t="s">
        <v>640</v>
      </c>
      <c r="J385" s="3" t="s">
        <v>4</v>
      </c>
      <c r="K385" s="3" t="s">
        <v>640</v>
      </c>
      <c r="L385" s="3" t="s">
        <v>448</v>
      </c>
      <c r="M385" s="3" t="s">
        <v>14</v>
      </c>
      <c r="N385">
        <v>-3000000</v>
      </c>
      <c r="O385">
        <v>106.89</v>
      </c>
      <c r="Q385">
        <v>0</v>
      </c>
      <c r="R385">
        <v>-102</v>
      </c>
      <c r="S385" s="3" t="s">
        <v>640</v>
      </c>
      <c r="T385">
        <v>0</v>
      </c>
      <c r="U385">
        <v>0</v>
      </c>
      <c r="V385">
        <v>0</v>
      </c>
      <c r="W385">
        <v>0</v>
      </c>
      <c r="X385">
        <v>3206700</v>
      </c>
      <c r="Y385" s="3" t="s">
        <v>640</v>
      </c>
      <c r="Z385">
        <v>106.89</v>
      </c>
      <c r="AA385">
        <v>-3000000</v>
      </c>
      <c r="AB385" s="3" t="s">
        <v>449</v>
      </c>
      <c r="AC385" s="3" t="s">
        <v>10</v>
      </c>
      <c r="AD385">
        <v>0</v>
      </c>
      <c r="AE385">
        <v>0</v>
      </c>
      <c r="AF385" s="3" t="s">
        <v>640</v>
      </c>
    </row>
    <row r="386" spans="1:32" x14ac:dyDescent="0.35">
      <c r="A386" s="3" t="s">
        <v>608</v>
      </c>
      <c r="B386" s="3" t="s">
        <v>608</v>
      </c>
      <c r="C386" s="3" t="s">
        <v>608</v>
      </c>
      <c r="D386" s="3" t="s">
        <v>608</v>
      </c>
      <c r="E386" s="3" t="s">
        <v>608</v>
      </c>
      <c r="F386" s="3" t="s">
        <v>640</v>
      </c>
      <c r="G386" s="3" t="s">
        <v>906</v>
      </c>
      <c r="H386" s="3" t="s">
        <v>906</v>
      </c>
      <c r="I386" s="3" t="s">
        <v>640</v>
      </c>
      <c r="J386" s="3" t="s">
        <v>4</v>
      </c>
      <c r="K386" s="3" t="s">
        <v>640</v>
      </c>
      <c r="L386" s="3" t="s">
        <v>448</v>
      </c>
      <c r="M386" s="3" t="s">
        <v>14</v>
      </c>
      <c r="N386">
        <v>-7100000</v>
      </c>
      <c r="O386">
        <v>100.944</v>
      </c>
      <c r="Q386">
        <v>0</v>
      </c>
      <c r="R386">
        <v>-219</v>
      </c>
      <c r="S386" s="3" t="s">
        <v>640</v>
      </c>
      <c r="T386">
        <v>0</v>
      </c>
      <c r="U386">
        <v>0</v>
      </c>
      <c r="V386">
        <v>0</v>
      </c>
      <c r="W386">
        <v>0</v>
      </c>
      <c r="X386">
        <v>7167008</v>
      </c>
      <c r="Y386" s="3" t="s">
        <v>640</v>
      </c>
      <c r="Z386">
        <v>100.944</v>
      </c>
      <c r="AA386">
        <v>-7100000</v>
      </c>
      <c r="AB386" s="3" t="s">
        <v>449</v>
      </c>
      <c r="AC386" s="3" t="s">
        <v>10</v>
      </c>
      <c r="AD386">
        <v>0</v>
      </c>
      <c r="AE386">
        <v>0</v>
      </c>
      <c r="AF386" s="3" t="s">
        <v>640</v>
      </c>
    </row>
    <row r="387" spans="1:32" x14ac:dyDescent="0.35">
      <c r="A387" s="3" t="s">
        <v>608</v>
      </c>
      <c r="B387" s="3" t="s">
        <v>608</v>
      </c>
      <c r="C387" s="3" t="s">
        <v>608</v>
      </c>
      <c r="D387" s="3" t="s">
        <v>608</v>
      </c>
      <c r="E387" s="3" t="s">
        <v>608</v>
      </c>
      <c r="F387" s="3" t="s">
        <v>640</v>
      </c>
      <c r="G387" s="3" t="s">
        <v>922</v>
      </c>
      <c r="H387" s="3" t="s">
        <v>922</v>
      </c>
      <c r="I387" s="3" t="s">
        <v>640</v>
      </c>
      <c r="J387" s="3" t="s">
        <v>4</v>
      </c>
      <c r="K387" s="3" t="s">
        <v>640</v>
      </c>
      <c r="L387" s="3" t="s">
        <v>448</v>
      </c>
      <c r="M387" s="3" t="s">
        <v>14</v>
      </c>
      <c r="N387">
        <v>-200000</v>
      </c>
      <c r="O387">
        <v>101.167</v>
      </c>
      <c r="Q387">
        <v>0</v>
      </c>
      <c r="R387">
        <v>-6</v>
      </c>
      <c r="S387" s="3" t="s">
        <v>640</v>
      </c>
      <c r="T387">
        <v>0</v>
      </c>
      <c r="U387">
        <v>0</v>
      </c>
      <c r="V387">
        <v>0</v>
      </c>
      <c r="W387">
        <v>0</v>
      </c>
      <c r="X387">
        <v>202333</v>
      </c>
      <c r="Y387" s="3" t="s">
        <v>640</v>
      </c>
      <c r="Z387">
        <v>101.167</v>
      </c>
      <c r="AA387">
        <v>-200000</v>
      </c>
      <c r="AB387" s="3" t="s">
        <v>449</v>
      </c>
      <c r="AC387" s="3" t="s">
        <v>10</v>
      </c>
      <c r="AD387">
        <v>0</v>
      </c>
      <c r="AE387">
        <v>0</v>
      </c>
      <c r="AF387" s="3" t="s">
        <v>640</v>
      </c>
    </row>
    <row r="388" spans="1:32" x14ac:dyDescent="0.35">
      <c r="A388" s="3" t="s">
        <v>608</v>
      </c>
      <c r="B388" s="3" t="s">
        <v>608</v>
      </c>
      <c r="C388" s="3" t="s">
        <v>608</v>
      </c>
      <c r="D388" s="3" t="s">
        <v>608</v>
      </c>
      <c r="E388" s="3" t="s">
        <v>608</v>
      </c>
      <c r="F388" s="3" t="s">
        <v>640</v>
      </c>
      <c r="G388" s="3" t="s">
        <v>923</v>
      </c>
      <c r="H388" s="3" t="s">
        <v>923</v>
      </c>
      <c r="I388" s="3" t="s">
        <v>640</v>
      </c>
      <c r="J388" s="3" t="s">
        <v>4</v>
      </c>
      <c r="K388" s="3" t="s">
        <v>640</v>
      </c>
      <c r="L388" s="3" t="s">
        <v>448</v>
      </c>
      <c r="M388" s="3" t="s">
        <v>14</v>
      </c>
      <c r="N388">
        <v>-1000000</v>
      </c>
      <c r="O388">
        <v>108.58499999999999</v>
      </c>
      <c r="Q388">
        <v>0</v>
      </c>
      <c r="R388">
        <v>-29</v>
      </c>
      <c r="S388" s="3" t="s">
        <v>640</v>
      </c>
      <c r="T388">
        <v>0</v>
      </c>
      <c r="U388">
        <v>0</v>
      </c>
      <c r="V388">
        <v>0</v>
      </c>
      <c r="W388">
        <v>0</v>
      </c>
      <c r="X388">
        <v>1085849</v>
      </c>
      <c r="Y388" s="3" t="s">
        <v>640</v>
      </c>
      <c r="Z388">
        <v>108.58499999999999</v>
      </c>
      <c r="AA388">
        <v>-1000000</v>
      </c>
      <c r="AB388" s="3" t="s">
        <v>449</v>
      </c>
      <c r="AC388" s="3" t="s">
        <v>10</v>
      </c>
      <c r="AD388">
        <v>0</v>
      </c>
      <c r="AE388">
        <v>0</v>
      </c>
      <c r="AF388" s="3" t="s">
        <v>640</v>
      </c>
    </row>
    <row r="389" spans="1:32" x14ac:dyDescent="0.35">
      <c r="A389" s="3" t="s">
        <v>608</v>
      </c>
      <c r="B389" s="3" t="s">
        <v>608</v>
      </c>
      <c r="C389" s="3" t="s">
        <v>608</v>
      </c>
      <c r="D389" s="3" t="s">
        <v>608</v>
      </c>
      <c r="E389" s="3" t="s">
        <v>608</v>
      </c>
      <c r="F389" s="3" t="s">
        <v>640</v>
      </c>
      <c r="G389" s="3" t="s">
        <v>953</v>
      </c>
      <c r="H389" s="3" t="s">
        <v>953</v>
      </c>
      <c r="I389" s="3" t="s">
        <v>640</v>
      </c>
      <c r="J389" s="3" t="s">
        <v>4</v>
      </c>
      <c r="K389" s="3" t="s">
        <v>640</v>
      </c>
      <c r="L389" s="3" t="s">
        <v>448</v>
      </c>
      <c r="M389" s="3" t="s">
        <v>14</v>
      </c>
      <c r="N389">
        <v>7000000</v>
      </c>
      <c r="O389">
        <v>82.867999999999995</v>
      </c>
      <c r="Q389">
        <v>0</v>
      </c>
      <c r="R389">
        <v>30</v>
      </c>
      <c r="S389" s="3" t="s">
        <v>640</v>
      </c>
      <c r="T389">
        <v>0</v>
      </c>
      <c r="U389">
        <v>0</v>
      </c>
      <c r="V389">
        <v>0</v>
      </c>
      <c r="W389">
        <v>0</v>
      </c>
      <c r="X389">
        <v>-5948643</v>
      </c>
      <c r="Y389" s="3" t="s">
        <v>640</v>
      </c>
      <c r="Z389">
        <v>85.825000000000003</v>
      </c>
      <c r="AA389">
        <v>5000000</v>
      </c>
      <c r="AB389" s="3" t="s">
        <v>449</v>
      </c>
      <c r="AC389" s="3" t="s">
        <v>10</v>
      </c>
      <c r="AD389">
        <v>0</v>
      </c>
      <c r="AE389">
        <v>0</v>
      </c>
      <c r="AF389" s="3" t="s">
        <v>640</v>
      </c>
    </row>
    <row r="390" spans="1:32" x14ac:dyDescent="0.35">
      <c r="A390" s="3" t="s">
        <v>608</v>
      </c>
      <c r="B390" s="3" t="s">
        <v>608</v>
      </c>
      <c r="C390" s="3" t="s">
        <v>608</v>
      </c>
      <c r="D390" s="3" t="s">
        <v>608</v>
      </c>
      <c r="E390" s="3" t="s">
        <v>608</v>
      </c>
      <c r="F390" s="3" t="s">
        <v>640</v>
      </c>
      <c r="G390" s="3" t="s">
        <v>1002</v>
      </c>
      <c r="H390" s="3" t="s">
        <v>1002</v>
      </c>
      <c r="I390" s="3" t="s">
        <v>640</v>
      </c>
      <c r="J390" s="3" t="s">
        <v>4</v>
      </c>
      <c r="K390" s="3" t="s">
        <v>640</v>
      </c>
      <c r="L390" s="3" t="s">
        <v>448</v>
      </c>
      <c r="M390" s="3" t="s">
        <v>14</v>
      </c>
      <c r="N390">
        <v>-2500000</v>
      </c>
      <c r="O390">
        <v>126.25</v>
      </c>
      <c r="Q390">
        <v>0</v>
      </c>
      <c r="R390">
        <v>0</v>
      </c>
      <c r="S390" s="3" t="s">
        <v>640</v>
      </c>
      <c r="T390">
        <v>0</v>
      </c>
      <c r="U390">
        <v>0</v>
      </c>
      <c r="V390">
        <v>0</v>
      </c>
      <c r="W390">
        <v>0</v>
      </c>
      <c r="X390">
        <v>3156250</v>
      </c>
      <c r="Y390" s="3" t="s">
        <v>640</v>
      </c>
      <c r="Z390">
        <v>0</v>
      </c>
      <c r="AA390">
        <v>0</v>
      </c>
      <c r="AB390" s="3" t="s">
        <v>449</v>
      </c>
      <c r="AC390" s="3" t="s">
        <v>10</v>
      </c>
      <c r="AD390">
        <v>0</v>
      </c>
      <c r="AE390">
        <v>0</v>
      </c>
      <c r="AF390" s="3" t="s">
        <v>640</v>
      </c>
    </row>
    <row r="391" spans="1:32" x14ac:dyDescent="0.35">
      <c r="A391" s="3" t="s">
        <v>608</v>
      </c>
      <c r="B391" s="3" t="s">
        <v>608</v>
      </c>
      <c r="C391" s="3" t="s">
        <v>608</v>
      </c>
      <c r="D391" s="3" t="s">
        <v>608</v>
      </c>
      <c r="E391" s="3" t="s">
        <v>608</v>
      </c>
      <c r="F391" s="3" t="s">
        <v>640</v>
      </c>
      <c r="G391" s="3" t="s">
        <v>1198</v>
      </c>
      <c r="H391" s="3" t="s">
        <v>1198</v>
      </c>
      <c r="I391" s="3" t="s">
        <v>640</v>
      </c>
      <c r="J391" s="3" t="s">
        <v>4</v>
      </c>
      <c r="K391" s="3" t="s">
        <v>640</v>
      </c>
      <c r="L391" s="3" t="s">
        <v>448</v>
      </c>
      <c r="M391" s="3" t="s">
        <v>14</v>
      </c>
      <c r="N391">
        <v>4769000</v>
      </c>
      <c r="O391">
        <v>72.021000000000001</v>
      </c>
      <c r="Q391">
        <v>0</v>
      </c>
      <c r="R391">
        <v>0</v>
      </c>
      <c r="S391" s="3" t="s">
        <v>640</v>
      </c>
      <c r="T391">
        <v>0</v>
      </c>
      <c r="U391">
        <v>0</v>
      </c>
      <c r="V391">
        <v>0</v>
      </c>
      <c r="W391">
        <v>0</v>
      </c>
      <c r="X391">
        <v>-3434669</v>
      </c>
      <c r="Y391" s="3" t="s">
        <v>640</v>
      </c>
      <c r="Z391">
        <v>0</v>
      </c>
      <c r="AA391">
        <v>0</v>
      </c>
      <c r="AB391" s="3" t="s">
        <v>449</v>
      </c>
      <c r="AC391" s="3" t="s">
        <v>10</v>
      </c>
      <c r="AD391">
        <v>0</v>
      </c>
      <c r="AE391">
        <v>0</v>
      </c>
      <c r="AF391" s="3" t="s">
        <v>640</v>
      </c>
    </row>
    <row r="392" spans="1:32" x14ac:dyDescent="0.35">
      <c r="A392" s="3" t="s">
        <v>608</v>
      </c>
      <c r="B392" s="3" t="s">
        <v>608</v>
      </c>
      <c r="C392" s="3" t="s">
        <v>608</v>
      </c>
      <c r="D392" s="3" t="s">
        <v>608</v>
      </c>
      <c r="E392" s="3" t="s">
        <v>608</v>
      </c>
      <c r="F392" s="3" t="s">
        <v>640</v>
      </c>
      <c r="G392" s="3" t="s">
        <v>1199</v>
      </c>
      <c r="H392" s="3" t="s">
        <v>1199</v>
      </c>
      <c r="I392" s="3" t="s">
        <v>640</v>
      </c>
      <c r="J392" s="3" t="s">
        <v>4</v>
      </c>
      <c r="K392" s="3" t="s">
        <v>640</v>
      </c>
      <c r="L392" s="3" t="s">
        <v>448</v>
      </c>
      <c r="M392" s="3" t="s">
        <v>14</v>
      </c>
      <c r="N392">
        <v>2200000</v>
      </c>
      <c r="O392">
        <v>82.516999999999996</v>
      </c>
      <c r="Q392">
        <v>0</v>
      </c>
      <c r="R392">
        <v>0</v>
      </c>
      <c r="S392" s="3" t="s">
        <v>640</v>
      </c>
      <c r="T392">
        <v>0</v>
      </c>
      <c r="U392">
        <v>0</v>
      </c>
      <c r="V392">
        <v>0</v>
      </c>
      <c r="W392">
        <v>0</v>
      </c>
      <c r="X392">
        <v>-1815385</v>
      </c>
      <c r="Y392" s="3" t="s">
        <v>640</v>
      </c>
      <c r="Z392">
        <v>0</v>
      </c>
      <c r="AA392">
        <v>0</v>
      </c>
      <c r="AB392" s="3" t="s">
        <v>449</v>
      </c>
      <c r="AC392" s="3" t="s">
        <v>10</v>
      </c>
      <c r="AD392">
        <v>0</v>
      </c>
      <c r="AE392">
        <v>0</v>
      </c>
      <c r="AF392" s="3" t="s">
        <v>640</v>
      </c>
    </row>
    <row r="393" spans="1:32" x14ac:dyDescent="0.35">
      <c r="A393" s="3" t="s">
        <v>608</v>
      </c>
      <c r="B393" s="3" t="s">
        <v>608</v>
      </c>
      <c r="C393" s="3" t="s">
        <v>608</v>
      </c>
      <c r="D393" s="3" t="s">
        <v>608</v>
      </c>
      <c r="E393" s="3" t="s">
        <v>608</v>
      </c>
      <c r="F393" s="3" t="s">
        <v>640</v>
      </c>
      <c r="G393" s="3" t="s">
        <v>1200</v>
      </c>
      <c r="H393" s="3" t="s">
        <v>1200</v>
      </c>
      <c r="I393" s="3" t="s">
        <v>640</v>
      </c>
      <c r="J393" s="3" t="s">
        <v>4</v>
      </c>
      <c r="K393" s="3" t="s">
        <v>640</v>
      </c>
      <c r="L393" s="3" t="s">
        <v>448</v>
      </c>
      <c r="M393" s="3" t="s">
        <v>14</v>
      </c>
      <c r="N393">
        <v>4000000</v>
      </c>
      <c r="O393">
        <v>85.801000000000002</v>
      </c>
      <c r="Q393">
        <v>0</v>
      </c>
      <c r="R393">
        <v>0</v>
      </c>
      <c r="S393" s="3" t="s">
        <v>640</v>
      </c>
      <c r="T393">
        <v>0</v>
      </c>
      <c r="U393">
        <v>0</v>
      </c>
      <c r="V393">
        <v>0</v>
      </c>
      <c r="W393">
        <v>0</v>
      </c>
      <c r="X393">
        <v>-3432048</v>
      </c>
      <c r="Y393" s="3" t="s">
        <v>640</v>
      </c>
      <c r="Z393">
        <v>0</v>
      </c>
      <c r="AA393">
        <v>0</v>
      </c>
      <c r="AB393" s="3" t="s">
        <v>449</v>
      </c>
      <c r="AC393" s="3" t="s">
        <v>10</v>
      </c>
      <c r="AD393">
        <v>0</v>
      </c>
      <c r="AE393">
        <v>0</v>
      </c>
      <c r="AF393" s="3" t="s">
        <v>640</v>
      </c>
    </row>
    <row r="394" spans="1:32" x14ac:dyDescent="0.35">
      <c r="A394" s="3" t="s">
        <v>608</v>
      </c>
      <c r="B394" s="3" t="s">
        <v>608</v>
      </c>
      <c r="C394" s="3" t="s">
        <v>608</v>
      </c>
      <c r="D394" s="3" t="s">
        <v>608</v>
      </c>
      <c r="E394" s="3" t="s">
        <v>608</v>
      </c>
      <c r="F394" s="3" t="s">
        <v>560</v>
      </c>
      <c r="G394" s="3" t="s">
        <v>560</v>
      </c>
      <c r="H394" s="3" t="s">
        <v>561</v>
      </c>
      <c r="I394" s="3" t="s">
        <v>562</v>
      </c>
      <c r="J394" s="3" t="s">
        <v>4</v>
      </c>
      <c r="K394" s="3" t="s">
        <v>823</v>
      </c>
      <c r="L394" s="3" t="s">
        <v>30</v>
      </c>
      <c r="M394" s="3" t="s">
        <v>14</v>
      </c>
      <c r="N394">
        <v>-500000</v>
      </c>
      <c r="O394">
        <v>100.776</v>
      </c>
      <c r="P394">
        <v>504</v>
      </c>
      <c r="Q394">
        <v>-4260</v>
      </c>
      <c r="R394">
        <v>-66</v>
      </c>
      <c r="S394" s="3" t="s">
        <v>263</v>
      </c>
      <c r="T394">
        <v>-293</v>
      </c>
      <c r="U394">
        <v>-297</v>
      </c>
      <c r="V394">
        <v>-1496</v>
      </c>
      <c r="W394">
        <v>-4.83</v>
      </c>
      <c r="X394">
        <v>-503880</v>
      </c>
      <c r="Y394" s="3" t="s">
        <v>31</v>
      </c>
      <c r="Z394">
        <v>99.924000000000007</v>
      </c>
      <c r="AA394">
        <v>-500000</v>
      </c>
      <c r="AB394" s="3" t="s">
        <v>563</v>
      </c>
      <c r="AC394" s="3" t="s">
        <v>10</v>
      </c>
      <c r="AD394">
        <v>-506701</v>
      </c>
      <c r="AE394">
        <v>506701</v>
      </c>
      <c r="AF394" s="3" t="s">
        <v>640</v>
      </c>
    </row>
    <row r="395" spans="1:32" x14ac:dyDescent="0.35">
      <c r="A395" s="3" t="s">
        <v>608</v>
      </c>
      <c r="B395" s="3" t="s">
        <v>608</v>
      </c>
      <c r="C395" s="3" t="s">
        <v>608</v>
      </c>
      <c r="D395" s="3" t="s">
        <v>608</v>
      </c>
      <c r="E395" s="3" t="s">
        <v>608</v>
      </c>
      <c r="F395" s="3" t="s">
        <v>564</v>
      </c>
      <c r="G395" s="3" t="s">
        <v>564</v>
      </c>
      <c r="H395" s="3" t="s">
        <v>565</v>
      </c>
      <c r="I395" s="3" t="s">
        <v>566</v>
      </c>
      <c r="J395" s="3" t="s">
        <v>266</v>
      </c>
      <c r="K395" s="3" t="s">
        <v>824</v>
      </c>
      <c r="L395" s="3" t="s">
        <v>30</v>
      </c>
      <c r="M395" s="3" t="s">
        <v>14</v>
      </c>
      <c r="N395">
        <v>1000000</v>
      </c>
      <c r="O395">
        <v>108.136</v>
      </c>
      <c r="P395">
        <v>422</v>
      </c>
      <c r="Q395">
        <v>5067</v>
      </c>
      <c r="R395">
        <v>163</v>
      </c>
      <c r="S395" s="3" t="s">
        <v>263</v>
      </c>
      <c r="T395">
        <v>315</v>
      </c>
      <c r="U395">
        <v>320</v>
      </c>
      <c r="V395">
        <v>1350</v>
      </c>
      <c r="W395">
        <v>4.3600000000000003</v>
      </c>
      <c r="X395">
        <v>922033</v>
      </c>
      <c r="Y395" s="3" t="s">
        <v>31</v>
      </c>
      <c r="Z395">
        <v>107.511</v>
      </c>
      <c r="AA395">
        <v>1000000</v>
      </c>
      <c r="AB395" s="3" t="s">
        <v>563</v>
      </c>
      <c r="AC395" s="3" t="s">
        <v>10</v>
      </c>
      <c r="AD395">
        <v>929863</v>
      </c>
      <c r="AE395">
        <v>929863</v>
      </c>
      <c r="AF395" s="3" t="s">
        <v>640</v>
      </c>
    </row>
    <row r="396" spans="1:32" x14ac:dyDescent="0.35">
      <c r="A396" s="3" t="s">
        <v>608</v>
      </c>
      <c r="B396" s="3" t="s">
        <v>608</v>
      </c>
      <c r="C396" s="3" t="s">
        <v>608</v>
      </c>
      <c r="D396" s="3" t="s">
        <v>608</v>
      </c>
      <c r="E396" s="3" t="s">
        <v>608</v>
      </c>
      <c r="F396" s="3" t="s">
        <v>567</v>
      </c>
      <c r="G396" s="3" t="s">
        <v>567</v>
      </c>
      <c r="H396" s="3" t="s">
        <v>568</v>
      </c>
      <c r="I396" s="3" t="s">
        <v>569</v>
      </c>
      <c r="J396" s="3" t="s">
        <v>283</v>
      </c>
      <c r="K396" s="3" t="s">
        <v>825</v>
      </c>
      <c r="L396" s="3" t="s">
        <v>30</v>
      </c>
      <c r="M396" s="3" t="s">
        <v>14</v>
      </c>
      <c r="N396">
        <v>-200000</v>
      </c>
      <c r="O396">
        <v>97.881</v>
      </c>
      <c r="P396">
        <v>633</v>
      </c>
      <c r="Q396">
        <v>-1686</v>
      </c>
      <c r="R396">
        <v>-36</v>
      </c>
      <c r="S396" s="3" t="s">
        <v>263</v>
      </c>
      <c r="T396">
        <v>-75</v>
      </c>
      <c r="U396">
        <v>-76</v>
      </c>
      <c r="V396">
        <v>-480</v>
      </c>
      <c r="W396">
        <v>-1.55</v>
      </c>
      <c r="X396">
        <v>-217833</v>
      </c>
      <c r="Y396" s="3" t="s">
        <v>31</v>
      </c>
      <c r="Z396">
        <v>97.149000000000001</v>
      </c>
      <c r="AA396">
        <v>-200000</v>
      </c>
      <c r="AB396" s="3" t="s">
        <v>563</v>
      </c>
      <c r="AC396" s="3" t="s">
        <v>10</v>
      </c>
      <c r="AD396">
        <v>-219447</v>
      </c>
      <c r="AE396">
        <v>219447</v>
      </c>
      <c r="AF396" s="3" t="s">
        <v>640</v>
      </c>
    </row>
    <row r="397" spans="1:32" x14ac:dyDescent="0.35">
      <c r="A397" s="3" t="s">
        <v>608</v>
      </c>
      <c r="B397" s="3" t="s">
        <v>608</v>
      </c>
      <c r="C397" s="3" t="s">
        <v>608</v>
      </c>
      <c r="D397" s="3" t="s">
        <v>608</v>
      </c>
      <c r="E397" s="3" t="s">
        <v>608</v>
      </c>
      <c r="F397" s="3" t="s">
        <v>570</v>
      </c>
      <c r="G397" s="3" t="s">
        <v>570</v>
      </c>
      <c r="H397" s="3" t="s">
        <v>571</v>
      </c>
      <c r="I397" s="3" t="s">
        <v>569</v>
      </c>
      <c r="J397" s="3" t="s">
        <v>283</v>
      </c>
      <c r="K397" s="3" t="s">
        <v>826</v>
      </c>
      <c r="L397" s="3" t="s">
        <v>30</v>
      </c>
      <c r="M397" s="3" t="s">
        <v>14</v>
      </c>
      <c r="N397">
        <v>200000</v>
      </c>
      <c r="O397">
        <v>103.883</v>
      </c>
      <c r="P397">
        <v>540</v>
      </c>
      <c r="Q397">
        <v>1433</v>
      </c>
      <c r="R397">
        <v>44</v>
      </c>
      <c r="S397" s="3" t="s">
        <v>263</v>
      </c>
      <c r="T397">
        <v>50</v>
      </c>
      <c r="U397">
        <v>51</v>
      </c>
      <c r="V397">
        <v>274</v>
      </c>
      <c r="W397">
        <v>0.88</v>
      </c>
      <c r="X397">
        <v>231190</v>
      </c>
      <c r="Y397" s="3" t="s">
        <v>31</v>
      </c>
      <c r="Z397">
        <v>103.251</v>
      </c>
      <c r="AA397">
        <v>200000</v>
      </c>
      <c r="AB397" s="3" t="s">
        <v>563</v>
      </c>
      <c r="AC397" s="3" t="s">
        <v>10</v>
      </c>
      <c r="AD397">
        <v>233182</v>
      </c>
      <c r="AE397">
        <v>233182</v>
      </c>
      <c r="AF397" s="3" t="s">
        <v>640</v>
      </c>
    </row>
    <row r="398" spans="1:32" x14ac:dyDescent="0.35">
      <c r="A398" s="3" t="s">
        <v>608</v>
      </c>
      <c r="B398" s="3" t="s">
        <v>608</v>
      </c>
      <c r="C398" s="3" t="s">
        <v>608</v>
      </c>
      <c r="D398" s="3" t="s">
        <v>608</v>
      </c>
      <c r="E398" s="3" t="s">
        <v>608</v>
      </c>
      <c r="F398" s="3" t="s">
        <v>572</v>
      </c>
      <c r="G398" s="3" t="s">
        <v>572</v>
      </c>
      <c r="H398" s="3" t="s">
        <v>573</v>
      </c>
      <c r="I398" s="3" t="s">
        <v>574</v>
      </c>
      <c r="J398" s="3" t="s">
        <v>266</v>
      </c>
      <c r="K398" s="3" t="s">
        <v>827</v>
      </c>
      <c r="L398" s="3" t="s">
        <v>30</v>
      </c>
      <c r="M398" s="3" t="s">
        <v>14</v>
      </c>
      <c r="N398">
        <v>250000</v>
      </c>
      <c r="O398">
        <v>106.96</v>
      </c>
      <c r="P398">
        <v>408</v>
      </c>
      <c r="Q398">
        <v>1083</v>
      </c>
      <c r="R398">
        <v>39</v>
      </c>
      <c r="S398" s="3" t="s">
        <v>263</v>
      </c>
      <c r="T398">
        <v>69</v>
      </c>
      <c r="U398">
        <v>70</v>
      </c>
      <c r="V398">
        <v>286</v>
      </c>
      <c r="W398">
        <v>0.92</v>
      </c>
      <c r="X398">
        <v>228001</v>
      </c>
      <c r="Y398" s="3" t="s">
        <v>31</v>
      </c>
      <c r="Z398">
        <v>106.447</v>
      </c>
      <c r="AA398">
        <v>250000</v>
      </c>
      <c r="AB398" s="3" t="s">
        <v>563</v>
      </c>
      <c r="AC398" s="3" t="s">
        <v>10</v>
      </c>
      <c r="AD398">
        <v>229796</v>
      </c>
      <c r="AE398">
        <v>229796</v>
      </c>
      <c r="AF398" s="3" t="s">
        <v>640</v>
      </c>
    </row>
    <row r="399" spans="1:32" x14ac:dyDescent="0.35">
      <c r="A399" s="3" t="s">
        <v>608</v>
      </c>
      <c r="B399" s="3" t="s">
        <v>608</v>
      </c>
      <c r="C399" s="3" t="s">
        <v>608</v>
      </c>
      <c r="D399" s="3" t="s">
        <v>608</v>
      </c>
      <c r="E399" s="3" t="s">
        <v>608</v>
      </c>
      <c r="F399" s="3" t="s">
        <v>575</v>
      </c>
      <c r="G399" s="3" t="s">
        <v>575</v>
      </c>
      <c r="H399" s="3" t="s">
        <v>576</v>
      </c>
      <c r="I399" s="3" t="s">
        <v>577</v>
      </c>
      <c r="J399" s="3" t="s">
        <v>283</v>
      </c>
      <c r="K399" s="3" t="s">
        <v>828</v>
      </c>
      <c r="L399" s="3" t="s">
        <v>30</v>
      </c>
      <c r="M399" s="3" t="s">
        <v>14</v>
      </c>
      <c r="N399">
        <v>-300000</v>
      </c>
      <c r="O399">
        <v>94.869</v>
      </c>
      <c r="P399">
        <v>806</v>
      </c>
      <c r="Q399">
        <v>-3355</v>
      </c>
      <c r="R399">
        <v>-65</v>
      </c>
      <c r="S399" s="3" t="s">
        <v>263</v>
      </c>
      <c r="T399">
        <v>-138</v>
      </c>
      <c r="U399">
        <v>-140</v>
      </c>
      <c r="V399">
        <v>-1130</v>
      </c>
      <c r="W399">
        <v>-3.65</v>
      </c>
      <c r="X399">
        <v>-316694</v>
      </c>
      <c r="Y399" s="3" t="s">
        <v>31</v>
      </c>
      <c r="Z399">
        <v>93.897000000000006</v>
      </c>
      <c r="AA399">
        <v>-300000</v>
      </c>
      <c r="AB399" s="3" t="s">
        <v>563</v>
      </c>
      <c r="AC399" s="3" t="s">
        <v>10</v>
      </c>
      <c r="AD399">
        <v>-327704</v>
      </c>
      <c r="AE399">
        <v>327704</v>
      </c>
      <c r="AF399" s="3" t="s">
        <v>640</v>
      </c>
    </row>
    <row r="400" spans="1:32" x14ac:dyDescent="0.35">
      <c r="A400" s="3" t="s">
        <v>608</v>
      </c>
      <c r="B400" s="3" t="s">
        <v>608</v>
      </c>
      <c r="C400" s="3" t="s">
        <v>608</v>
      </c>
      <c r="D400" s="3" t="s">
        <v>608</v>
      </c>
      <c r="E400" s="3" t="s">
        <v>608</v>
      </c>
      <c r="F400" s="3" t="s">
        <v>578</v>
      </c>
      <c r="G400" s="3" t="s">
        <v>578</v>
      </c>
      <c r="H400" s="3" t="s">
        <v>579</v>
      </c>
      <c r="I400" s="3" t="s">
        <v>580</v>
      </c>
      <c r="J400" s="3" t="s">
        <v>266</v>
      </c>
      <c r="K400" s="3" t="s">
        <v>829</v>
      </c>
      <c r="L400" s="3" t="s">
        <v>30</v>
      </c>
      <c r="M400" s="3" t="s">
        <v>14</v>
      </c>
      <c r="N400">
        <v>50000</v>
      </c>
      <c r="O400">
        <v>105.273</v>
      </c>
      <c r="P400">
        <v>416</v>
      </c>
      <c r="Q400">
        <v>266</v>
      </c>
      <c r="R400">
        <v>7</v>
      </c>
      <c r="S400" s="3" t="s">
        <v>263</v>
      </c>
      <c r="T400">
        <v>23</v>
      </c>
      <c r="U400">
        <v>23</v>
      </c>
      <c r="V400">
        <v>97</v>
      </c>
      <c r="W400">
        <v>0.31</v>
      </c>
      <c r="X400">
        <v>44881</v>
      </c>
      <c r="Y400" s="3" t="s">
        <v>31</v>
      </c>
      <c r="Z400">
        <v>104.611</v>
      </c>
      <c r="AA400">
        <v>50000</v>
      </c>
      <c r="AB400" s="3" t="s">
        <v>563</v>
      </c>
      <c r="AC400" s="3" t="s">
        <v>10</v>
      </c>
      <c r="AD400">
        <v>46223</v>
      </c>
      <c r="AE400">
        <v>46223</v>
      </c>
      <c r="AF400" s="3" t="s">
        <v>640</v>
      </c>
    </row>
    <row r="401" spans="1:32" x14ac:dyDescent="0.35">
      <c r="A401" s="3" t="s">
        <v>608</v>
      </c>
      <c r="B401" s="3" t="s">
        <v>608</v>
      </c>
      <c r="C401" s="3" t="s">
        <v>608</v>
      </c>
      <c r="D401" s="3" t="s">
        <v>608</v>
      </c>
      <c r="E401" s="3" t="s">
        <v>608</v>
      </c>
      <c r="F401" s="3" t="s">
        <v>581</v>
      </c>
      <c r="G401" s="3" t="s">
        <v>581</v>
      </c>
      <c r="H401" s="3" t="s">
        <v>582</v>
      </c>
      <c r="I401" s="3" t="s">
        <v>580</v>
      </c>
      <c r="J401" s="3" t="s">
        <v>266</v>
      </c>
      <c r="K401" s="3" t="s">
        <v>830</v>
      </c>
      <c r="L401" s="3" t="s">
        <v>30</v>
      </c>
      <c r="M401" s="3" t="s">
        <v>14</v>
      </c>
      <c r="N401">
        <v>500000</v>
      </c>
      <c r="O401">
        <v>107.03</v>
      </c>
      <c r="P401">
        <v>421</v>
      </c>
      <c r="Q401">
        <v>2308</v>
      </c>
      <c r="R401">
        <v>80</v>
      </c>
      <c r="S401" s="3" t="s">
        <v>263</v>
      </c>
      <c r="T401">
        <v>140</v>
      </c>
      <c r="U401">
        <v>143</v>
      </c>
      <c r="V401">
        <v>599</v>
      </c>
      <c r="W401">
        <v>1.93</v>
      </c>
      <c r="X401">
        <v>456301</v>
      </c>
      <c r="Y401" s="3" t="s">
        <v>31</v>
      </c>
      <c r="Z401">
        <v>106.444</v>
      </c>
      <c r="AA401">
        <v>500000</v>
      </c>
      <c r="AB401" s="3" t="s">
        <v>563</v>
      </c>
      <c r="AC401" s="3" t="s">
        <v>10</v>
      </c>
      <c r="AD401">
        <v>457989</v>
      </c>
      <c r="AE401">
        <v>457989</v>
      </c>
      <c r="AF401" s="3" t="s">
        <v>640</v>
      </c>
    </row>
    <row r="402" spans="1:32" x14ac:dyDescent="0.35">
      <c r="A402" s="3" t="s">
        <v>608</v>
      </c>
      <c r="B402" s="3" t="s">
        <v>608</v>
      </c>
      <c r="C402" s="3" t="s">
        <v>608</v>
      </c>
      <c r="D402" s="3" t="s">
        <v>608</v>
      </c>
      <c r="E402" s="3" t="s">
        <v>608</v>
      </c>
      <c r="F402" s="3" t="s">
        <v>882</v>
      </c>
      <c r="G402" s="3" t="s">
        <v>882</v>
      </c>
      <c r="H402" s="3" t="s">
        <v>883</v>
      </c>
      <c r="I402" s="3" t="s">
        <v>884</v>
      </c>
      <c r="J402" s="3" t="s">
        <v>4</v>
      </c>
      <c r="K402" s="3" t="s">
        <v>913</v>
      </c>
      <c r="L402" s="3" t="s">
        <v>30</v>
      </c>
      <c r="M402" s="3" t="s">
        <v>14</v>
      </c>
      <c r="N402">
        <v>200000</v>
      </c>
      <c r="O402">
        <v>113.252</v>
      </c>
      <c r="P402">
        <v>567</v>
      </c>
      <c r="Q402">
        <v>2072</v>
      </c>
      <c r="R402">
        <v>42</v>
      </c>
      <c r="S402" s="3" t="s">
        <v>263</v>
      </c>
      <c r="T402">
        <v>113</v>
      </c>
      <c r="U402">
        <v>114</v>
      </c>
      <c r="V402">
        <v>647</v>
      </c>
      <c r="W402">
        <v>2.09</v>
      </c>
      <c r="X402">
        <v>226504</v>
      </c>
      <c r="Y402" s="3" t="s">
        <v>31</v>
      </c>
      <c r="Z402">
        <v>112.21599999999999</v>
      </c>
      <c r="AA402">
        <v>200000</v>
      </c>
      <c r="AB402" s="3" t="s">
        <v>563</v>
      </c>
      <c r="AC402" s="3" t="s">
        <v>10</v>
      </c>
      <c r="AD402">
        <v>231390</v>
      </c>
      <c r="AE402">
        <v>231390</v>
      </c>
      <c r="AF402" s="3" t="s">
        <v>640</v>
      </c>
    </row>
    <row r="403" spans="1:32" x14ac:dyDescent="0.35">
      <c r="A403" s="3" t="s">
        <v>608</v>
      </c>
      <c r="B403" s="3" t="s">
        <v>608</v>
      </c>
      <c r="C403" s="3" t="s">
        <v>608</v>
      </c>
      <c r="D403" s="3" t="s">
        <v>608</v>
      </c>
      <c r="E403" s="3" t="s">
        <v>608</v>
      </c>
      <c r="F403" s="3" t="s">
        <v>885</v>
      </c>
      <c r="G403" s="3" t="s">
        <v>885</v>
      </c>
      <c r="H403" s="3" t="s">
        <v>886</v>
      </c>
      <c r="I403" s="3" t="s">
        <v>887</v>
      </c>
      <c r="J403" s="3" t="s">
        <v>4</v>
      </c>
      <c r="K403" s="3" t="s">
        <v>914</v>
      </c>
      <c r="L403" s="3" t="s">
        <v>30</v>
      </c>
      <c r="M403" s="3" t="s">
        <v>14</v>
      </c>
      <c r="N403">
        <v>-200000</v>
      </c>
      <c r="O403">
        <v>98.114999999999995</v>
      </c>
      <c r="P403">
        <v>691</v>
      </c>
      <c r="Q403">
        <v>-1926</v>
      </c>
      <c r="R403">
        <v>-32</v>
      </c>
      <c r="S403" s="3" t="s">
        <v>263</v>
      </c>
      <c r="T403">
        <v>-72</v>
      </c>
      <c r="U403">
        <v>-73</v>
      </c>
      <c r="V403">
        <v>-503</v>
      </c>
      <c r="W403">
        <v>-1.62</v>
      </c>
      <c r="X403">
        <v>-196230</v>
      </c>
      <c r="Y403" s="3" t="s">
        <v>31</v>
      </c>
      <c r="Z403">
        <v>97.152000000000001</v>
      </c>
      <c r="AA403">
        <v>-200000</v>
      </c>
      <c r="AB403" s="3" t="s">
        <v>563</v>
      </c>
      <c r="AC403" s="3" t="s">
        <v>10</v>
      </c>
      <c r="AD403">
        <v>-200628</v>
      </c>
      <c r="AE403">
        <v>200628</v>
      </c>
      <c r="AF403" s="3" t="s">
        <v>640</v>
      </c>
    </row>
    <row r="404" spans="1:32" x14ac:dyDescent="0.35">
      <c r="A404" s="3" t="s">
        <v>608</v>
      </c>
      <c r="B404" s="3" t="s">
        <v>608</v>
      </c>
      <c r="C404" s="3" t="s">
        <v>608</v>
      </c>
      <c r="D404" s="3" t="s">
        <v>608</v>
      </c>
      <c r="E404" s="3" t="s">
        <v>608</v>
      </c>
      <c r="F404" s="3" t="s">
        <v>831</v>
      </c>
      <c r="G404" s="3" t="s">
        <v>831</v>
      </c>
      <c r="H404" s="3" t="s">
        <v>640</v>
      </c>
      <c r="I404" s="3" t="s">
        <v>640</v>
      </c>
      <c r="J404" s="3" t="s">
        <v>4</v>
      </c>
      <c r="K404" s="3" t="s">
        <v>640</v>
      </c>
      <c r="L404" s="3" t="s">
        <v>832</v>
      </c>
      <c r="M404" s="3" t="s">
        <v>14</v>
      </c>
      <c r="N404">
        <v>2348</v>
      </c>
      <c r="O404">
        <v>106.49</v>
      </c>
      <c r="Q404">
        <v>0</v>
      </c>
      <c r="R404">
        <v>0</v>
      </c>
      <c r="S404" s="3" t="s">
        <v>640</v>
      </c>
      <c r="T404">
        <v>0</v>
      </c>
      <c r="U404">
        <v>0</v>
      </c>
      <c r="V404">
        <v>0</v>
      </c>
      <c r="W404">
        <v>0</v>
      </c>
      <c r="X404">
        <v>250000</v>
      </c>
      <c r="Y404" s="3" t="s">
        <v>640</v>
      </c>
      <c r="Z404">
        <v>106.49</v>
      </c>
      <c r="AA404">
        <v>2348</v>
      </c>
      <c r="AB404" s="3" t="s">
        <v>449</v>
      </c>
      <c r="AC404" s="3" t="s">
        <v>833</v>
      </c>
      <c r="AD404">
        <v>0</v>
      </c>
      <c r="AE404">
        <v>0</v>
      </c>
      <c r="AF404" s="3" t="s">
        <v>640</v>
      </c>
    </row>
    <row r="405" spans="1:32" x14ac:dyDescent="0.35">
      <c r="A405" s="3" t="s">
        <v>608</v>
      </c>
      <c r="B405" s="3" t="s">
        <v>608</v>
      </c>
      <c r="C405" s="3" t="s">
        <v>608</v>
      </c>
      <c r="D405" s="3" t="s">
        <v>608</v>
      </c>
      <c r="E405" s="3" t="s">
        <v>608</v>
      </c>
      <c r="F405" s="3" t="s">
        <v>834</v>
      </c>
      <c r="G405" s="3" t="s">
        <v>835</v>
      </c>
      <c r="H405" s="3" t="s">
        <v>640</v>
      </c>
      <c r="I405" s="3" t="s">
        <v>640</v>
      </c>
      <c r="J405" s="3" t="s">
        <v>4</v>
      </c>
      <c r="K405" s="3" t="s">
        <v>640</v>
      </c>
      <c r="L405" s="3" t="s">
        <v>832</v>
      </c>
      <c r="M405" s="3" t="s">
        <v>14</v>
      </c>
      <c r="N405">
        <v>21028</v>
      </c>
      <c r="O405">
        <v>118.89100000000001</v>
      </c>
      <c r="Q405">
        <v>0</v>
      </c>
      <c r="R405">
        <v>0</v>
      </c>
      <c r="S405" s="3" t="s">
        <v>640</v>
      </c>
      <c r="T405">
        <v>0</v>
      </c>
      <c r="U405">
        <v>0</v>
      </c>
      <c r="V405">
        <v>0</v>
      </c>
      <c r="W405">
        <v>0</v>
      </c>
      <c r="X405">
        <v>2500004</v>
      </c>
      <c r="Y405" s="3" t="s">
        <v>836</v>
      </c>
      <c r="Z405">
        <v>118.89100000000001</v>
      </c>
      <c r="AA405">
        <v>21028</v>
      </c>
      <c r="AB405" s="3" t="s">
        <v>449</v>
      </c>
      <c r="AC405" s="3" t="s">
        <v>833</v>
      </c>
      <c r="AD405">
        <v>0</v>
      </c>
      <c r="AE405">
        <v>0</v>
      </c>
      <c r="AF405" s="3" t="s">
        <v>640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593A4-ADEE-4DBD-BBD3-C63866851138}">
  <sheetPr codeName="Sheet4"/>
  <dimension ref="A1:AF404"/>
  <sheetViews>
    <sheetView workbookViewId="0"/>
  </sheetViews>
  <sheetFormatPr defaultRowHeight="14.5" x14ac:dyDescent="0.35"/>
  <cols>
    <col min="1" max="1" width="22.54296875" bestFit="1" customWidth="1"/>
    <col min="2" max="2" width="21.26953125" bestFit="1" customWidth="1"/>
    <col min="3" max="3" width="16.453125" bestFit="1" customWidth="1"/>
    <col min="4" max="4" width="21.26953125" bestFit="1" customWidth="1"/>
    <col min="5" max="5" width="20.54296875" bestFit="1" customWidth="1"/>
    <col min="6" max="6" width="21.1796875" bestFit="1" customWidth="1"/>
    <col min="7" max="7" width="25.81640625" bestFit="1" customWidth="1"/>
    <col min="8" max="8" width="21.81640625" bestFit="1" customWidth="1"/>
    <col min="9" max="9" width="21.26953125" bestFit="1" customWidth="1"/>
    <col min="10" max="10" width="6.36328125" bestFit="1" customWidth="1"/>
    <col min="11" max="11" width="22.90625" bestFit="1" customWidth="1"/>
    <col min="12" max="12" width="20.1796875" bestFit="1" customWidth="1"/>
    <col min="13" max="13" width="23.90625" bestFit="1" customWidth="1"/>
    <col min="14" max="14" width="10.36328125" bestFit="1" customWidth="1"/>
    <col min="15" max="15" width="14.26953125" bestFit="1" customWidth="1"/>
    <col min="16" max="16" width="30.54296875" bestFit="1" customWidth="1"/>
    <col min="17" max="17" width="18.26953125" bestFit="1" customWidth="1"/>
    <col min="18" max="18" width="20.08984375" bestFit="1" customWidth="1"/>
    <col min="19" max="19" width="17.81640625" bestFit="1" customWidth="1"/>
    <col min="20" max="20" width="14.90625" bestFit="1" customWidth="1"/>
    <col min="21" max="21" width="14.54296875" bestFit="1" customWidth="1"/>
    <col min="22" max="22" width="9.6328125" bestFit="1" customWidth="1"/>
    <col min="23" max="23" width="13.90625" bestFit="1" customWidth="1"/>
    <col min="24" max="24" width="15" bestFit="1" customWidth="1"/>
    <col min="25" max="25" width="25.54296875" bestFit="1" customWidth="1"/>
    <col min="26" max="26" width="16.7265625" bestFit="1" customWidth="1"/>
    <col min="27" max="27" width="19.54296875" bestFit="1" customWidth="1"/>
    <col min="28" max="28" width="20.36328125" bestFit="1" customWidth="1"/>
    <col min="29" max="29" width="31.36328125" bestFit="1" customWidth="1"/>
    <col min="30" max="30" width="26" bestFit="1" customWidth="1"/>
    <col min="31" max="31" width="19.54296875" bestFit="1" customWidth="1"/>
    <col min="32" max="32" width="18.90625" bestFit="1" customWidth="1"/>
  </cols>
  <sheetData>
    <row r="1" spans="1:32" x14ac:dyDescent="0.35">
      <c r="A1" t="s">
        <v>608</v>
      </c>
      <c r="B1" t="s">
        <v>609</v>
      </c>
      <c r="C1" t="s">
        <v>610</v>
      </c>
      <c r="D1" t="s">
        <v>611</v>
      </c>
      <c r="E1" t="s">
        <v>612</v>
      </c>
      <c r="F1" t="s">
        <v>613</v>
      </c>
      <c r="G1" t="s">
        <v>614</v>
      </c>
      <c r="H1" t="s">
        <v>615</v>
      </c>
      <c r="I1" t="s">
        <v>616</v>
      </c>
      <c r="J1" t="s">
        <v>617</v>
      </c>
      <c r="K1" t="s">
        <v>618</v>
      </c>
      <c r="L1" t="s">
        <v>619</v>
      </c>
      <c r="M1" t="s">
        <v>620</v>
      </c>
      <c r="N1" t="s">
        <v>621</v>
      </c>
      <c r="O1" t="s">
        <v>622</v>
      </c>
      <c r="P1" t="s">
        <v>623</v>
      </c>
      <c r="Q1" t="s">
        <v>624</v>
      </c>
      <c r="R1" t="s">
        <v>625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632</v>
      </c>
      <c r="Z1" t="s">
        <v>633</v>
      </c>
      <c r="AA1" t="s">
        <v>634</v>
      </c>
      <c r="AB1" t="s">
        <v>635</v>
      </c>
      <c r="AC1" t="s">
        <v>636</v>
      </c>
      <c r="AD1" t="s">
        <v>637</v>
      </c>
      <c r="AE1" t="s">
        <v>638</v>
      </c>
      <c r="AF1" t="s">
        <v>639</v>
      </c>
    </row>
    <row r="2" spans="1:32" x14ac:dyDescent="0.35">
      <c r="A2" s="3" t="s">
        <v>640</v>
      </c>
      <c r="B2" s="3" t="s">
        <v>641</v>
      </c>
      <c r="C2" s="3" t="s">
        <v>642</v>
      </c>
      <c r="D2" s="3" t="s">
        <v>643</v>
      </c>
      <c r="E2" s="3" t="s">
        <v>644</v>
      </c>
      <c r="F2" s="3" t="s">
        <v>640</v>
      </c>
      <c r="G2" s="3" t="s">
        <v>640</v>
      </c>
      <c r="H2" s="3" t="s">
        <v>640</v>
      </c>
      <c r="I2" s="3" t="s">
        <v>640</v>
      </c>
      <c r="J2" s="3" t="s">
        <v>640</v>
      </c>
      <c r="K2" s="3" t="s">
        <v>640</v>
      </c>
      <c r="L2" s="3" t="s">
        <v>640</v>
      </c>
      <c r="M2" s="3" t="s">
        <v>640</v>
      </c>
      <c r="S2" s="3" t="s">
        <v>640</v>
      </c>
      <c r="Y2" s="3" t="s">
        <v>640</v>
      </c>
      <c r="AB2" s="3" t="s">
        <v>640</v>
      </c>
      <c r="AC2" s="3" t="s">
        <v>640</v>
      </c>
      <c r="AF2" s="3" t="s">
        <v>640</v>
      </c>
    </row>
    <row r="3" spans="1:32" x14ac:dyDescent="0.35">
      <c r="A3" s="3" t="s">
        <v>645</v>
      </c>
      <c r="B3" s="3" t="s">
        <v>1159</v>
      </c>
      <c r="C3" s="3" t="s">
        <v>1160</v>
      </c>
      <c r="D3" s="3" t="s">
        <v>1161</v>
      </c>
      <c r="E3" s="3" t="s">
        <v>1162</v>
      </c>
      <c r="F3" s="3" t="s">
        <v>640</v>
      </c>
      <c r="G3" s="3" t="s">
        <v>640</v>
      </c>
      <c r="H3" s="3" t="s">
        <v>640</v>
      </c>
      <c r="I3" s="3" t="s">
        <v>640</v>
      </c>
      <c r="J3" s="3" t="s">
        <v>640</v>
      </c>
      <c r="K3" s="3" t="s">
        <v>640</v>
      </c>
      <c r="L3" s="3" t="s">
        <v>640</v>
      </c>
      <c r="M3" s="3" t="s">
        <v>640</v>
      </c>
      <c r="S3" s="3" t="s">
        <v>640</v>
      </c>
      <c r="Y3" s="3" t="s">
        <v>640</v>
      </c>
      <c r="AB3" s="3" t="s">
        <v>640</v>
      </c>
      <c r="AC3" s="3" t="s">
        <v>640</v>
      </c>
      <c r="AF3" s="3" t="s">
        <v>640</v>
      </c>
    </row>
    <row r="4" spans="1:32" x14ac:dyDescent="0.35">
      <c r="A4" s="3" t="s">
        <v>646</v>
      </c>
      <c r="B4" s="3" t="s">
        <v>1163</v>
      </c>
      <c r="C4" s="3" t="s">
        <v>1164</v>
      </c>
      <c r="D4" s="3" t="s">
        <v>1165</v>
      </c>
      <c r="E4" s="3" t="s">
        <v>1166</v>
      </c>
      <c r="F4" s="3" t="s">
        <v>640</v>
      </c>
      <c r="G4" s="3" t="s">
        <v>640</v>
      </c>
      <c r="H4" s="3" t="s">
        <v>640</v>
      </c>
      <c r="I4" s="3" t="s">
        <v>640</v>
      </c>
      <c r="J4" s="3" t="s">
        <v>640</v>
      </c>
      <c r="K4" s="3" t="s">
        <v>640</v>
      </c>
      <c r="L4" s="3" t="s">
        <v>640</v>
      </c>
      <c r="M4" s="3" t="s">
        <v>640</v>
      </c>
      <c r="S4" s="3" t="s">
        <v>640</v>
      </c>
      <c r="Y4" s="3" t="s">
        <v>640</v>
      </c>
      <c r="AB4" s="3" t="s">
        <v>640</v>
      </c>
      <c r="AC4" s="3" t="s">
        <v>640</v>
      </c>
      <c r="AF4" s="3" t="s">
        <v>640</v>
      </c>
    </row>
    <row r="5" spans="1:32" x14ac:dyDescent="0.35">
      <c r="A5" s="3" t="s">
        <v>1</v>
      </c>
      <c r="B5" s="3" t="s">
        <v>1167</v>
      </c>
      <c r="C5" s="3" t="s">
        <v>1168</v>
      </c>
      <c r="D5" s="3" t="s">
        <v>1169</v>
      </c>
      <c r="E5" s="3" t="s">
        <v>1170</v>
      </c>
      <c r="F5" s="3" t="s">
        <v>640</v>
      </c>
      <c r="G5" s="3" t="s">
        <v>640</v>
      </c>
      <c r="H5" s="3" t="s">
        <v>640</v>
      </c>
      <c r="I5" s="3" t="s">
        <v>640</v>
      </c>
      <c r="J5" s="3" t="s">
        <v>640</v>
      </c>
      <c r="K5" s="3" t="s">
        <v>640</v>
      </c>
      <c r="L5" s="3" t="s">
        <v>640</v>
      </c>
      <c r="M5" s="3" t="s">
        <v>640</v>
      </c>
      <c r="S5" s="3" t="s">
        <v>640</v>
      </c>
      <c r="Y5" s="3" t="s">
        <v>640</v>
      </c>
      <c r="AB5" s="3" t="s">
        <v>640</v>
      </c>
      <c r="AC5" s="3" t="s">
        <v>640</v>
      </c>
      <c r="AF5" s="3" t="s">
        <v>640</v>
      </c>
    </row>
    <row r="6" spans="1:32" x14ac:dyDescent="0.35">
      <c r="A6" s="3" t="s">
        <v>647</v>
      </c>
      <c r="B6" s="3" t="s">
        <v>1171</v>
      </c>
      <c r="C6" s="3" t="s">
        <v>1172</v>
      </c>
      <c r="D6" s="3" t="s">
        <v>1173</v>
      </c>
      <c r="E6" s="3" t="s">
        <v>1174</v>
      </c>
      <c r="F6" s="3" t="s">
        <v>640</v>
      </c>
      <c r="G6" s="3" t="s">
        <v>640</v>
      </c>
      <c r="H6" s="3" t="s">
        <v>640</v>
      </c>
      <c r="I6" s="3" t="s">
        <v>640</v>
      </c>
      <c r="J6" s="3" t="s">
        <v>640</v>
      </c>
      <c r="K6" s="3" t="s">
        <v>640</v>
      </c>
      <c r="L6" s="3" t="s">
        <v>640</v>
      </c>
      <c r="M6" s="3" t="s">
        <v>640</v>
      </c>
      <c r="S6" s="3" t="s">
        <v>640</v>
      </c>
      <c r="Y6" s="3" t="s">
        <v>640</v>
      </c>
      <c r="AB6" s="3" t="s">
        <v>640</v>
      </c>
      <c r="AC6" s="3" t="s">
        <v>640</v>
      </c>
      <c r="AF6" s="3" t="s">
        <v>640</v>
      </c>
    </row>
    <row r="7" spans="1:32" x14ac:dyDescent="0.35">
      <c r="A7" s="3" t="s">
        <v>648</v>
      </c>
      <c r="B7" s="3" t="s">
        <v>1175</v>
      </c>
      <c r="C7" s="3" t="s">
        <v>640</v>
      </c>
      <c r="D7" s="3" t="s">
        <v>1176</v>
      </c>
      <c r="E7" s="3" t="s">
        <v>1177</v>
      </c>
      <c r="F7" s="3" t="s">
        <v>640</v>
      </c>
      <c r="G7" s="3" t="s">
        <v>640</v>
      </c>
      <c r="H7" s="3" t="s">
        <v>640</v>
      </c>
      <c r="I7" s="3" t="s">
        <v>640</v>
      </c>
      <c r="J7" s="3" t="s">
        <v>640</v>
      </c>
      <c r="K7" s="3" t="s">
        <v>640</v>
      </c>
      <c r="L7" s="3" t="s">
        <v>640</v>
      </c>
      <c r="M7" s="3" t="s">
        <v>640</v>
      </c>
      <c r="S7" s="3" t="s">
        <v>640</v>
      </c>
      <c r="Y7" s="3" t="s">
        <v>640</v>
      </c>
      <c r="AB7" s="3" t="s">
        <v>640</v>
      </c>
      <c r="AC7" s="3" t="s">
        <v>640</v>
      </c>
      <c r="AF7" s="3" t="s">
        <v>640</v>
      </c>
    </row>
    <row r="8" spans="1:32" x14ac:dyDescent="0.35">
      <c r="A8" s="3" t="s">
        <v>649</v>
      </c>
      <c r="B8" s="3" t="s">
        <v>1178</v>
      </c>
      <c r="C8" s="3" t="s">
        <v>640</v>
      </c>
      <c r="D8" s="3" t="s">
        <v>1179</v>
      </c>
      <c r="E8" s="3" t="s">
        <v>1180</v>
      </c>
      <c r="F8" s="3" t="s">
        <v>640</v>
      </c>
      <c r="G8" s="3" t="s">
        <v>640</v>
      </c>
      <c r="H8" s="3" t="s">
        <v>640</v>
      </c>
      <c r="I8" s="3" t="s">
        <v>640</v>
      </c>
      <c r="J8" s="3" t="s">
        <v>640</v>
      </c>
      <c r="K8" s="3" t="s">
        <v>640</v>
      </c>
      <c r="L8" s="3" t="s">
        <v>640</v>
      </c>
      <c r="M8" s="3" t="s">
        <v>640</v>
      </c>
      <c r="S8" s="3" t="s">
        <v>640</v>
      </c>
      <c r="Y8" s="3" t="s">
        <v>640</v>
      </c>
      <c r="AB8" s="3" t="s">
        <v>640</v>
      </c>
      <c r="AC8" s="3" t="s">
        <v>640</v>
      </c>
      <c r="AF8" s="3" t="s">
        <v>640</v>
      </c>
    </row>
    <row r="9" spans="1:32" x14ac:dyDescent="0.35">
      <c r="A9" s="3" t="s">
        <v>650</v>
      </c>
      <c r="B9" s="3" t="s">
        <v>651</v>
      </c>
      <c r="C9" s="3" t="s">
        <v>640</v>
      </c>
      <c r="D9" s="3" t="s">
        <v>640</v>
      </c>
      <c r="E9" s="3" t="s">
        <v>640</v>
      </c>
      <c r="F9" s="3" t="s">
        <v>640</v>
      </c>
      <c r="G9" s="3" t="s">
        <v>640</v>
      </c>
      <c r="H9" s="3" t="s">
        <v>640</v>
      </c>
      <c r="I9" s="3" t="s">
        <v>640</v>
      </c>
      <c r="J9" s="3" t="s">
        <v>640</v>
      </c>
      <c r="K9" s="3" t="s">
        <v>640</v>
      </c>
      <c r="L9" s="3" t="s">
        <v>640</v>
      </c>
      <c r="M9" s="3" t="s">
        <v>640</v>
      </c>
      <c r="S9" s="3" t="s">
        <v>640</v>
      </c>
      <c r="Y9" s="3" t="s">
        <v>640</v>
      </c>
      <c r="AB9" s="3" t="s">
        <v>640</v>
      </c>
      <c r="AC9" s="3" t="s">
        <v>640</v>
      </c>
      <c r="AF9" s="3" t="s">
        <v>640</v>
      </c>
    </row>
    <row r="10" spans="1:32" x14ac:dyDescent="0.35">
      <c r="A10" s="3" t="s">
        <v>608</v>
      </c>
      <c r="B10" s="3" t="s">
        <v>608</v>
      </c>
      <c r="C10" s="3" t="s">
        <v>608</v>
      </c>
      <c r="D10" s="3" t="s">
        <v>608</v>
      </c>
      <c r="E10" s="3" t="s">
        <v>608</v>
      </c>
      <c r="F10" s="3" t="s">
        <v>2</v>
      </c>
      <c r="G10" s="3" t="s">
        <v>3</v>
      </c>
      <c r="H10" s="3" t="s">
        <v>3</v>
      </c>
      <c r="I10" s="3" t="s">
        <v>640</v>
      </c>
      <c r="J10" s="3" t="s">
        <v>4</v>
      </c>
      <c r="K10" s="3" t="s">
        <v>652</v>
      </c>
      <c r="L10" s="3" t="s">
        <v>5</v>
      </c>
      <c r="M10" s="3" t="s">
        <v>6</v>
      </c>
      <c r="N10">
        <v>5000000</v>
      </c>
      <c r="O10">
        <v>-1.9279999999999999</v>
      </c>
      <c r="P10">
        <v>62</v>
      </c>
      <c r="Q10">
        <v>0</v>
      </c>
      <c r="R10">
        <v>-139</v>
      </c>
      <c r="S10" s="3" t="s">
        <v>7</v>
      </c>
      <c r="T10">
        <v>26</v>
      </c>
      <c r="U10">
        <v>-2608</v>
      </c>
      <c r="V10">
        <v>-1629</v>
      </c>
      <c r="W10">
        <v>-5.26</v>
      </c>
      <c r="X10">
        <v>-96404</v>
      </c>
      <c r="Y10" s="3" t="s">
        <v>640</v>
      </c>
      <c r="Z10">
        <v>-1.9279999999999999</v>
      </c>
      <c r="AA10">
        <v>5000000</v>
      </c>
      <c r="AB10" s="3" t="s">
        <v>9</v>
      </c>
      <c r="AC10" s="3" t="s">
        <v>10</v>
      </c>
      <c r="AD10">
        <v>-5000000</v>
      </c>
      <c r="AE10">
        <v>5000000</v>
      </c>
      <c r="AF10" s="3" t="s">
        <v>640</v>
      </c>
    </row>
    <row r="11" spans="1:32" x14ac:dyDescent="0.35">
      <c r="A11" s="3" t="s">
        <v>608</v>
      </c>
      <c r="B11" s="3" t="s">
        <v>608</v>
      </c>
      <c r="C11" s="3" t="s">
        <v>608</v>
      </c>
      <c r="D11" s="3" t="s">
        <v>608</v>
      </c>
      <c r="E11" s="3" t="s">
        <v>608</v>
      </c>
      <c r="F11" s="3" t="s">
        <v>21</v>
      </c>
      <c r="G11" s="3" t="s">
        <v>22</v>
      </c>
      <c r="H11" s="3" t="s">
        <v>22</v>
      </c>
      <c r="I11" s="3" t="s">
        <v>640</v>
      </c>
      <c r="J11" s="3" t="s">
        <v>4</v>
      </c>
      <c r="K11" s="3" t="s">
        <v>640</v>
      </c>
      <c r="L11" s="3" t="s">
        <v>20</v>
      </c>
      <c r="M11" s="3" t="s">
        <v>14</v>
      </c>
      <c r="N11">
        <v>50500</v>
      </c>
      <c r="O11">
        <v>101.5</v>
      </c>
      <c r="Q11">
        <v>0</v>
      </c>
      <c r="R11">
        <v>0</v>
      </c>
      <c r="S11" s="3" t="s">
        <v>7</v>
      </c>
      <c r="T11">
        <v>2454</v>
      </c>
      <c r="U11">
        <v>2454</v>
      </c>
      <c r="V11">
        <v>1318</v>
      </c>
      <c r="W11">
        <v>4.25</v>
      </c>
      <c r="X11">
        <v>5125750</v>
      </c>
      <c r="Y11" s="3" t="s">
        <v>653</v>
      </c>
      <c r="Z11">
        <v>101.5</v>
      </c>
      <c r="AA11">
        <v>50500</v>
      </c>
      <c r="AB11" s="3" t="s">
        <v>9</v>
      </c>
      <c r="AC11" s="3" t="s">
        <v>10</v>
      </c>
      <c r="AD11">
        <v>5125750</v>
      </c>
      <c r="AE11">
        <v>5125750</v>
      </c>
      <c r="AF11" s="3" t="s">
        <v>640</v>
      </c>
    </row>
    <row r="12" spans="1:32" x14ac:dyDescent="0.35">
      <c r="A12" s="3" t="s">
        <v>608</v>
      </c>
      <c r="B12" s="3" t="s">
        <v>608</v>
      </c>
      <c r="C12" s="3" t="s">
        <v>608</v>
      </c>
      <c r="D12" s="3" t="s">
        <v>608</v>
      </c>
      <c r="E12" s="3" t="s">
        <v>608</v>
      </c>
      <c r="F12" s="3" t="s">
        <v>18</v>
      </c>
      <c r="G12" s="3" t="s">
        <v>19</v>
      </c>
      <c r="H12" s="3" t="s">
        <v>19</v>
      </c>
      <c r="I12" s="3" t="s">
        <v>640</v>
      </c>
      <c r="J12" s="3" t="s">
        <v>4</v>
      </c>
      <c r="K12" s="3" t="s">
        <v>640</v>
      </c>
      <c r="L12" s="3" t="s">
        <v>20</v>
      </c>
      <c r="M12" s="3" t="s">
        <v>14</v>
      </c>
      <c r="N12">
        <v>-38050</v>
      </c>
      <c r="O12">
        <v>134.86000000000001</v>
      </c>
      <c r="Q12">
        <v>0</v>
      </c>
      <c r="R12">
        <v>0</v>
      </c>
      <c r="S12" s="3" t="s">
        <v>7</v>
      </c>
      <c r="T12">
        <v>-2749</v>
      </c>
      <c r="U12">
        <v>-2749</v>
      </c>
      <c r="V12">
        <v>-2783</v>
      </c>
      <c r="W12">
        <v>-8.98</v>
      </c>
      <c r="X12">
        <v>-5131423</v>
      </c>
      <c r="Y12" s="3" t="s">
        <v>653</v>
      </c>
      <c r="Z12">
        <v>134.86000000000001</v>
      </c>
      <c r="AA12">
        <v>-38050</v>
      </c>
      <c r="AB12" s="3" t="s">
        <v>9</v>
      </c>
      <c r="AC12" s="3" t="s">
        <v>10</v>
      </c>
      <c r="AD12">
        <v>-5131423</v>
      </c>
      <c r="AE12">
        <v>5131423</v>
      </c>
      <c r="AF12" s="3" t="s">
        <v>640</v>
      </c>
    </row>
    <row r="13" spans="1:32" x14ac:dyDescent="0.35">
      <c r="A13" s="3" t="s">
        <v>608</v>
      </c>
      <c r="B13" s="3" t="s">
        <v>608</v>
      </c>
      <c r="C13" s="3" t="s">
        <v>608</v>
      </c>
      <c r="D13" s="3" t="s">
        <v>608</v>
      </c>
      <c r="E13" s="3" t="s">
        <v>608</v>
      </c>
      <c r="F13" s="3" t="s">
        <v>11</v>
      </c>
      <c r="G13" s="3" t="s">
        <v>12</v>
      </c>
      <c r="H13" s="3" t="s">
        <v>12</v>
      </c>
      <c r="I13" s="3" t="s">
        <v>640</v>
      </c>
      <c r="J13" s="3" t="s">
        <v>4</v>
      </c>
      <c r="K13" s="3" t="s">
        <v>640</v>
      </c>
      <c r="L13" s="3" t="s">
        <v>13</v>
      </c>
      <c r="M13" s="3" t="s">
        <v>14</v>
      </c>
      <c r="N13">
        <v>5</v>
      </c>
      <c r="O13">
        <v>176.06</v>
      </c>
      <c r="P13">
        <v>-85</v>
      </c>
      <c r="Q13">
        <v>-3640</v>
      </c>
      <c r="R13">
        <v>0</v>
      </c>
      <c r="S13" s="3" t="s">
        <v>640</v>
      </c>
      <c r="T13">
        <v>747</v>
      </c>
      <c r="U13">
        <v>0</v>
      </c>
      <c r="V13">
        <v>0</v>
      </c>
      <c r="W13">
        <v>0</v>
      </c>
      <c r="X13">
        <v>-1290</v>
      </c>
      <c r="Y13" s="3" t="s">
        <v>15</v>
      </c>
      <c r="Z13">
        <v>176.32</v>
      </c>
      <c r="AA13">
        <v>11</v>
      </c>
      <c r="AB13" s="3" t="s">
        <v>9</v>
      </c>
      <c r="AC13" s="3" t="s">
        <v>10</v>
      </c>
      <c r="AD13">
        <v>0</v>
      </c>
      <c r="AE13">
        <v>0</v>
      </c>
      <c r="AF13" s="3" t="s">
        <v>640</v>
      </c>
    </row>
    <row r="14" spans="1:32" x14ac:dyDescent="0.35">
      <c r="A14" s="3" t="s">
        <v>608</v>
      </c>
      <c r="B14" s="3" t="s">
        <v>608</v>
      </c>
      <c r="C14" s="3" t="s">
        <v>608</v>
      </c>
      <c r="D14" s="3" t="s">
        <v>608</v>
      </c>
      <c r="E14" s="3" t="s">
        <v>608</v>
      </c>
      <c r="F14" s="3" t="s">
        <v>16</v>
      </c>
      <c r="G14" s="3" t="s">
        <v>17</v>
      </c>
      <c r="H14" s="3" t="s">
        <v>17</v>
      </c>
      <c r="I14" s="3" t="s">
        <v>640</v>
      </c>
      <c r="J14" s="3" t="s">
        <v>4</v>
      </c>
      <c r="K14" s="3" t="s">
        <v>640</v>
      </c>
      <c r="L14" s="3" t="s">
        <v>13</v>
      </c>
      <c r="M14" s="3" t="s">
        <v>14</v>
      </c>
      <c r="N14">
        <v>-33</v>
      </c>
      <c r="O14">
        <v>135.85</v>
      </c>
      <c r="P14">
        <v>-50</v>
      </c>
      <c r="Q14">
        <v>290</v>
      </c>
      <c r="R14">
        <v>0</v>
      </c>
      <c r="S14" s="3" t="s">
        <v>640</v>
      </c>
      <c r="T14">
        <v>-2053</v>
      </c>
      <c r="U14">
        <v>0</v>
      </c>
      <c r="V14">
        <v>0</v>
      </c>
      <c r="W14">
        <v>0</v>
      </c>
      <c r="X14">
        <v>-1090</v>
      </c>
      <c r="Y14" s="3" t="s">
        <v>15</v>
      </c>
      <c r="Z14">
        <v>135.91999999999999</v>
      </c>
      <c r="AA14">
        <v>-17</v>
      </c>
      <c r="AB14" s="3" t="s">
        <v>9</v>
      </c>
      <c r="AC14" s="3" t="s">
        <v>10</v>
      </c>
      <c r="AD14">
        <v>0</v>
      </c>
      <c r="AE14">
        <v>0</v>
      </c>
      <c r="AF14" s="3" t="s">
        <v>640</v>
      </c>
    </row>
    <row r="15" spans="1:32" x14ac:dyDescent="0.35">
      <c r="A15" s="3" t="s">
        <v>608</v>
      </c>
      <c r="B15" s="3" t="s">
        <v>608</v>
      </c>
      <c r="C15" s="3" t="s">
        <v>608</v>
      </c>
      <c r="D15" s="3" t="s">
        <v>608</v>
      </c>
      <c r="E15" s="3" t="s">
        <v>608</v>
      </c>
      <c r="F15" s="3" t="s">
        <v>25</v>
      </c>
      <c r="G15" s="3" t="s">
        <v>26</v>
      </c>
      <c r="H15" s="3" t="s">
        <v>26</v>
      </c>
      <c r="I15" s="3" t="s">
        <v>640</v>
      </c>
      <c r="J15" s="3" t="s">
        <v>4</v>
      </c>
      <c r="K15" s="3" t="s">
        <v>640</v>
      </c>
      <c r="L15" s="3" t="s">
        <v>13</v>
      </c>
      <c r="M15" s="3" t="s">
        <v>14</v>
      </c>
      <c r="N15">
        <v>-31</v>
      </c>
      <c r="O15">
        <v>229.18</v>
      </c>
      <c r="P15">
        <v>-12</v>
      </c>
      <c r="Q15">
        <v>0</v>
      </c>
      <c r="R15">
        <v>0</v>
      </c>
      <c r="S15" s="3" t="s">
        <v>640</v>
      </c>
      <c r="T15">
        <v>-15838</v>
      </c>
      <c r="U15">
        <v>0</v>
      </c>
      <c r="V15">
        <v>0</v>
      </c>
      <c r="W15">
        <v>0</v>
      </c>
      <c r="X15">
        <v>-78400</v>
      </c>
      <c r="Y15" s="3" t="s">
        <v>15</v>
      </c>
      <c r="Z15">
        <v>229.18</v>
      </c>
      <c r="AA15">
        <v>-31</v>
      </c>
      <c r="AB15" s="3" t="s">
        <v>9</v>
      </c>
      <c r="AC15" s="3" t="s">
        <v>10</v>
      </c>
      <c r="AD15">
        <v>0</v>
      </c>
      <c r="AE15">
        <v>0</v>
      </c>
      <c r="AF15" s="3" t="s">
        <v>640</v>
      </c>
    </row>
    <row r="16" spans="1:32" x14ac:dyDescent="0.35">
      <c r="A16" s="3" t="s">
        <v>608</v>
      </c>
      <c r="B16" s="3" t="s">
        <v>608</v>
      </c>
      <c r="C16" s="3" t="s">
        <v>608</v>
      </c>
      <c r="D16" s="3" t="s">
        <v>608</v>
      </c>
      <c r="E16" s="3" t="s">
        <v>608</v>
      </c>
      <c r="F16" s="3" t="s">
        <v>23</v>
      </c>
      <c r="G16" s="3" t="s">
        <v>24</v>
      </c>
      <c r="H16" s="3" t="s">
        <v>24</v>
      </c>
      <c r="I16" s="3" t="s">
        <v>640</v>
      </c>
      <c r="J16" s="3" t="s">
        <v>4</v>
      </c>
      <c r="K16" s="3" t="s">
        <v>640</v>
      </c>
      <c r="L16" s="3" t="s">
        <v>13</v>
      </c>
      <c r="M16" s="3" t="s">
        <v>14</v>
      </c>
      <c r="N16">
        <v>-75</v>
      </c>
      <c r="O16">
        <v>112.465</v>
      </c>
      <c r="P16">
        <v>27</v>
      </c>
      <c r="Q16">
        <v>-625</v>
      </c>
      <c r="R16">
        <v>0</v>
      </c>
      <c r="S16" s="3" t="s">
        <v>640</v>
      </c>
      <c r="T16">
        <v>-1632</v>
      </c>
      <c r="U16">
        <v>0</v>
      </c>
      <c r="V16">
        <v>0</v>
      </c>
      <c r="W16">
        <v>0</v>
      </c>
      <c r="X16">
        <v>-1500</v>
      </c>
      <c r="Y16" s="3" t="s">
        <v>15</v>
      </c>
      <c r="Z16">
        <v>112.47499999999999</v>
      </c>
      <c r="AA16">
        <v>-25</v>
      </c>
      <c r="AB16" s="3" t="s">
        <v>9</v>
      </c>
      <c r="AC16" s="3" t="s">
        <v>10</v>
      </c>
      <c r="AD16">
        <v>0</v>
      </c>
      <c r="AE16">
        <v>0</v>
      </c>
      <c r="AF16" s="3" t="s">
        <v>640</v>
      </c>
    </row>
    <row r="17" spans="1:32" x14ac:dyDescent="0.35">
      <c r="A17" s="3" t="s">
        <v>608</v>
      </c>
      <c r="B17" s="3" t="s">
        <v>608</v>
      </c>
      <c r="C17" s="3" t="s">
        <v>608</v>
      </c>
      <c r="D17" s="3" t="s">
        <v>608</v>
      </c>
      <c r="E17" s="3" t="s">
        <v>608</v>
      </c>
      <c r="F17" s="3" t="s">
        <v>27</v>
      </c>
      <c r="G17" s="3" t="s">
        <v>27</v>
      </c>
      <c r="H17" s="3" t="s">
        <v>28</v>
      </c>
      <c r="I17" s="3" t="s">
        <v>29</v>
      </c>
      <c r="J17" s="3" t="s">
        <v>4</v>
      </c>
      <c r="K17" s="3" t="s">
        <v>654</v>
      </c>
      <c r="L17" s="3" t="s">
        <v>30</v>
      </c>
      <c r="M17" s="3" t="s">
        <v>14</v>
      </c>
      <c r="N17">
        <v>1000000</v>
      </c>
      <c r="O17">
        <v>133.95699999999999</v>
      </c>
      <c r="P17">
        <v>172</v>
      </c>
      <c r="Q17">
        <v>0</v>
      </c>
      <c r="R17">
        <v>101</v>
      </c>
      <c r="S17" s="3" t="s">
        <v>7</v>
      </c>
      <c r="T17">
        <v>1975</v>
      </c>
      <c r="U17">
        <v>1995</v>
      </c>
      <c r="V17">
        <v>3422</v>
      </c>
      <c r="W17">
        <v>11.04</v>
      </c>
      <c r="X17">
        <v>1339570</v>
      </c>
      <c r="Y17" s="3" t="s">
        <v>31</v>
      </c>
      <c r="Z17">
        <v>133.95699999999999</v>
      </c>
      <c r="AA17">
        <v>1000000</v>
      </c>
      <c r="AB17" s="3" t="s">
        <v>9</v>
      </c>
      <c r="AC17" s="3" t="s">
        <v>10</v>
      </c>
      <c r="AD17">
        <v>1361466</v>
      </c>
      <c r="AE17">
        <v>1361466</v>
      </c>
      <c r="AF17" s="3" t="s">
        <v>640</v>
      </c>
    </row>
    <row r="18" spans="1:32" x14ac:dyDescent="0.35">
      <c r="A18" s="3" t="s">
        <v>608</v>
      </c>
      <c r="B18" s="3" t="s">
        <v>608</v>
      </c>
      <c r="C18" s="3" t="s">
        <v>608</v>
      </c>
      <c r="D18" s="3" t="s">
        <v>608</v>
      </c>
      <c r="E18" s="3" t="s">
        <v>608</v>
      </c>
      <c r="F18" s="3" t="s">
        <v>32</v>
      </c>
      <c r="G18" s="3" t="s">
        <v>32</v>
      </c>
      <c r="H18" s="3" t="s">
        <v>33</v>
      </c>
      <c r="I18" s="3" t="s">
        <v>29</v>
      </c>
      <c r="J18" s="3" t="s">
        <v>4</v>
      </c>
      <c r="K18" s="3" t="s">
        <v>655</v>
      </c>
      <c r="L18" s="3" t="s">
        <v>30</v>
      </c>
      <c r="M18" s="3" t="s">
        <v>14</v>
      </c>
      <c r="N18">
        <v>-1500000</v>
      </c>
      <c r="O18">
        <v>123.024</v>
      </c>
      <c r="P18">
        <v>100</v>
      </c>
      <c r="Q18">
        <v>0</v>
      </c>
      <c r="R18">
        <v>-118</v>
      </c>
      <c r="S18" s="3" t="s">
        <v>7</v>
      </c>
      <c r="T18">
        <v>-1843</v>
      </c>
      <c r="U18">
        <v>-1865</v>
      </c>
      <c r="V18">
        <v>-1858</v>
      </c>
      <c r="W18">
        <v>-5.99</v>
      </c>
      <c r="X18">
        <v>-1845360</v>
      </c>
      <c r="Y18" s="3" t="s">
        <v>31</v>
      </c>
      <c r="Z18">
        <v>123.024</v>
      </c>
      <c r="AA18">
        <v>-1500000</v>
      </c>
      <c r="AB18" s="3" t="s">
        <v>9</v>
      </c>
      <c r="AC18" s="3" t="s">
        <v>10</v>
      </c>
      <c r="AD18">
        <v>-1870881</v>
      </c>
      <c r="AE18">
        <v>1870881</v>
      </c>
      <c r="AF18" s="3" t="s">
        <v>640</v>
      </c>
    </row>
    <row r="19" spans="1:32" x14ac:dyDescent="0.35">
      <c r="A19" s="3" t="s">
        <v>608</v>
      </c>
      <c r="B19" s="3" t="s">
        <v>608</v>
      </c>
      <c r="C19" s="3" t="s">
        <v>608</v>
      </c>
      <c r="D19" s="3" t="s">
        <v>608</v>
      </c>
      <c r="E19" s="3" t="s">
        <v>608</v>
      </c>
      <c r="F19" s="3" t="s">
        <v>35</v>
      </c>
      <c r="G19" s="3" t="s">
        <v>35</v>
      </c>
      <c r="H19" s="3" t="s">
        <v>36</v>
      </c>
      <c r="I19" s="3" t="s">
        <v>34</v>
      </c>
      <c r="J19" s="3" t="s">
        <v>4</v>
      </c>
      <c r="K19" s="3" t="s">
        <v>656</v>
      </c>
      <c r="L19" s="3" t="s">
        <v>30</v>
      </c>
      <c r="M19" s="3" t="s">
        <v>14</v>
      </c>
      <c r="N19">
        <v>1012000</v>
      </c>
      <c r="O19">
        <v>107.459</v>
      </c>
      <c r="P19">
        <v>78</v>
      </c>
      <c r="Q19">
        <v>0</v>
      </c>
      <c r="R19">
        <v>43</v>
      </c>
      <c r="S19" s="3" t="s">
        <v>7</v>
      </c>
      <c r="T19">
        <v>687</v>
      </c>
      <c r="U19">
        <v>694</v>
      </c>
      <c r="V19">
        <v>542</v>
      </c>
      <c r="W19">
        <v>1.75</v>
      </c>
      <c r="X19">
        <v>1087485</v>
      </c>
      <c r="Y19" s="3" t="s">
        <v>31</v>
      </c>
      <c r="Z19">
        <v>107.459</v>
      </c>
      <c r="AA19">
        <v>1012000</v>
      </c>
      <c r="AB19" s="3" t="s">
        <v>9</v>
      </c>
      <c r="AC19" s="3" t="s">
        <v>10</v>
      </c>
      <c r="AD19">
        <v>1093682</v>
      </c>
      <c r="AE19">
        <v>1093682</v>
      </c>
      <c r="AF19" s="3" t="s">
        <v>640</v>
      </c>
    </row>
    <row r="20" spans="1:32" x14ac:dyDescent="0.35">
      <c r="A20" s="3" t="s">
        <v>608</v>
      </c>
      <c r="B20" s="3" t="s">
        <v>608</v>
      </c>
      <c r="C20" s="3" t="s">
        <v>608</v>
      </c>
      <c r="D20" s="3" t="s">
        <v>608</v>
      </c>
      <c r="E20" s="3" t="s">
        <v>608</v>
      </c>
      <c r="F20" s="3" t="s">
        <v>37</v>
      </c>
      <c r="G20" s="3" t="s">
        <v>37</v>
      </c>
      <c r="H20" s="3" t="s">
        <v>38</v>
      </c>
      <c r="I20" s="3" t="s">
        <v>39</v>
      </c>
      <c r="J20" s="3" t="s">
        <v>4</v>
      </c>
      <c r="K20" s="3" t="s">
        <v>657</v>
      </c>
      <c r="L20" s="3" t="s">
        <v>30</v>
      </c>
      <c r="M20" s="3" t="s">
        <v>14</v>
      </c>
      <c r="N20">
        <v>4000000</v>
      </c>
      <c r="O20">
        <v>100.536</v>
      </c>
      <c r="P20">
        <v>78</v>
      </c>
      <c r="Q20">
        <v>0</v>
      </c>
      <c r="R20">
        <v>68</v>
      </c>
      <c r="S20" s="3" t="s">
        <v>7</v>
      </c>
      <c r="T20">
        <v>4630</v>
      </c>
      <c r="U20">
        <v>4689</v>
      </c>
      <c r="V20">
        <v>3645</v>
      </c>
      <c r="W20">
        <v>11.76</v>
      </c>
      <c r="X20">
        <v>4021440</v>
      </c>
      <c r="Y20" s="3" t="s">
        <v>31</v>
      </c>
      <c r="Z20">
        <v>100.536</v>
      </c>
      <c r="AA20">
        <v>4000000</v>
      </c>
      <c r="AB20" s="3" t="s">
        <v>9</v>
      </c>
      <c r="AC20" s="3" t="s">
        <v>10</v>
      </c>
      <c r="AD20">
        <v>4021919</v>
      </c>
      <c r="AE20">
        <v>4021919</v>
      </c>
      <c r="AF20" s="3" t="s">
        <v>640</v>
      </c>
    </row>
    <row r="21" spans="1:32" x14ac:dyDescent="0.35">
      <c r="A21" s="3" t="s">
        <v>608</v>
      </c>
      <c r="B21" s="3" t="s">
        <v>608</v>
      </c>
      <c r="C21" s="3" t="s">
        <v>608</v>
      </c>
      <c r="D21" s="3" t="s">
        <v>608</v>
      </c>
      <c r="E21" s="3" t="s">
        <v>608</v>
      </c>
      <c r="F21" s="3" t="s">
        <v>972</v>
      </c>
      <c r="G21" s="3" t="s">
        <v>972</v>
      </c>
      <c r="H21" s="3" t="s">
        <v>973</v>
      </c>
      <c r="I21" s="3" t="s">
        <v>974</v>
      </c>
      <c r="J21" s="3" t="s">
        <v>4</v>
      </c>
      <c r="K21" s="3" t="s">
        <v>640</v>
      </c>
      <c r="L21" s="3" t="s">
        <v>30</v>
      </c>
      <c r="M21" s="3" t="s">
        <v>14</v>
      </c>
      <c r="N21">
        <v>0</v>
      </c>
      <c r="O21">
        <v>100.78</v>
      </c>
      <c r="P21">
        <v>34</v>
      </c>
      <c r="Q21">
        <v>1674</v>
      </c>
      <c r="R21">
        <v>0</v>
      </c>
      <c r="S21" s="3" t="s">
        <v>7</v>
      </c>
      <c r="T21">
        <v>0</v>
      </c>
      <c r="U21">
        <v>0</v>
      </c>
      <c r="V21">
        <v>0</v>
      </c>
      <c r="W21">
        <v>0</v>
      </c>
      <c r="X21">
        <v>0</v>
      </c>
      <c r="Y21" s="3" t="s">
        <v>640</v>
      </c>
      <c r="Z21">
        <v>0</v>
      </c>
      <c r="AA21">
        <v>0</v>
      </c>
      <c r="AB21" s="3" t="s">
        <v>9</v>
      </c>
      <c r="AC21" s="3" t="s">
        <v>10</v>
      </c>
      <c r="AD21">
        <v>0</v>
      </c>
      <c r="AE21">
        <v>0</v>
      </c>
      <c r="AF21" s="3" t="s">
        <v>640</v>
      </c>
    </row>
    <row r="22" spans="1:32" x14ac:dyDescent="0.35">
      <c r="A22" s="3" t="s">
        <v>608</v>
      </c>
      <c r="B22" s="3" t="s">
        <v>608</v>
      </c>
      <c r="C22" s="3" t="s">
        <v>608</v>
      </c>
      <c r="D22" s="3" t="s">
        <v>608</v>
      </c>
      <c r="E22" s="3" t="s">
        <v>608</v>
      </c>
      <c r="F22" s="3" t="s">
        <v>975</v>
      </c>
      <c r="G22" s="3" t="s">
        <v>975</v>
      </c>
      <c r="H22" s="3" t="s">
        <v>976</v>
      </c>
      <c r="I22" s="3" t="s">
        <v>977</v>
      </c>
      <c r="J22" s="3" t="s">
        <v>4</v>
      </c>
      <c r="K22" s="3" t="s">
        <v>640</v>
      </c>
      <c r="L22" s="3" t="s">
        <v>30</v>
      </c>
      <c r="M22" s="3" t="s">
        <v>14</v>
      </c>
      <c r="N22">
        <v>-600000</v>
      </c>
      <c r="O22">
        <v>113.3</v>
      </c>
      <c r="P22">
        <v>37</v>
      </c>
      <c r="Q22">
        <v>0</v>
      </c>
      <c r="R22">
        <v>0</v>
      </c>
      <c r="S22" s="3" t="s">
        <v>7</v>
      </c>
      <c r="T22">
        <v>-593</v>
      </c>
      <c r="U22">
        <v>-599</v>
      </c>
      <c r="V22">
        <v>-223</v>
      </c>
      <c r="W22">
        <v>-0.72</v>
      </c>
      <c r="X22">
        <v>-679800</v>
      </c>
      <c r="Y22" s="3" t="s">
        <v>640</v>
      </c>
      <c r="Z22">
        <v>0</v>
      </c>
      <c r="AA22">
        <v>0</v>
      </c>
      <c r="AB22" s="3" t="s">
        <v>9</v>
      </c>
      <c r="AC22" s="3" t="s">
        <v>10</v>
      </c>
      <c r="AD22">
        <v>-686808</v>
      </c>
      <c r="AE22">
        <v>686808</v>
      </c>
      <c r="AF22" s="3" t="s">
        <v>640</v>
      </c>
    </row>
    <row r="23" spans="1:32" x14ac:dyDescent="0.35">
      <c r="A23" s="3" t="s">
        <v>608</v>
      </c>
      <c r="B23" s="3" t="s">
        <v>608</v>
      </c>
      <c r="C23" s="3" t="s">
        <v>608</v>
      </c>
      <c r="D23" s="3" t="s">
        <v>608</v>
      </c>
      <c r="E23" s="3" t="s">
        <v>608</v>
      </c>
      <c r="F23" s="3" t="s">
        <v>40</v>
      </c>
      <c r="G23" s="3" t="s">
        <v>40</v>
      </c>
      <c r="H23" s="3" t="s">
        <v>41</v>
      </c>
      <c r="I23" s="3" t="s">
        <v>42</v>
      </c>
      <c r="J23" s="3" t="s">
        <v>4</v>
      </c>
      <c r="K23" s="3" t="s">
        <v>658</v>
      </c>
      <c r="L23" s="3" t="s">
        <v>30</v>
      </c>
      <c r="M23" s="3" t="s">
        <v>14</v>
      </c>
      <c r="N23">
        <v>-2850000</v>
      </c>
      <c r="O23">
        <v>102.47499999999999</v>
      </c>
      <c r="P23">
        <v>58</v>
      </c>
      <c r="Q23">
        <v>0</v>
      </c>
      <c r="R23">
        <v>-97</v>
      </c>
      <c r="S23" s="3" t="s">
        <v>7</v>
      </c>
      <c r="T23">
        <v>-593</v>
      </c>
      <c r="U23">
        <v>-598</v>
      </c>
      <c r="V23">
        <v>-347</v>
      </c>
      <c r="W23">
        <v>-1.1200000000000001</v>
      </c>
      <c r="X23">
        <v>-2920538</v>
      </c>
      <c r="Y23" s="3" t="s">
        <v>31</v>
      </c>
      <c r="Z23">
        <v>102.47499999999999</v>
      </c>
      <c r="AA23">
        <v>-2850000</v>
      </c>
      <c r="AB23" s="3" t="s">
        <v>9</v>
      </c>
      <c r="AC23" s="3" t="s">
        <v>10</v>
      </c>
      <c r="AD23">
        <v>-2954508</v>
      </c>
      <c r="AE23">
        <v>2954508</v>
      </c>
      <c r="AF23" s="3" t="s">
        <v>640</v>
      </c>
    </row>
    <row r="24" spans="1:32" x14ac:dyDescent="0.35">
      <c r="A24" s="3" t="s">
        <v>608</v>
      </c>
      <c r="B24" s="3" t="s">
        <v>608</v>
      </c>
      <c r="C24" s="3" t="s">
        <v>608</v>
      </c>
      <c r="D24" s="3" t="s">
        <v>608</v>
      </c>
      <c r="E24" s="3" t="s">
        <v>608</v>
      </c>
      <c r="F24" s="3" t="s">
        <v>956</v>
      </c>
      <c r="G24" s="3" t="s">
        <v>956</v>
      </c>
      <c r="H24" s="3" t="s">
        <v>957</v>
      </c>
      <c r="I24" s="3" t="s">
        <v>958</v>
      </c>
      <c r="J24" s="3" t="s">
        <v>4</v>
      </c>
      <c r="K24" s="3" t="s">
        <v>640</v>
      </c>
      <c r="L24" s="3" t="s">
        <v>30</v>
      </c>
      <c r="M24" s="3" t="s">
        <v>14</v>
      </c>
      <c r="N24">
        <v>-4560000</v>
      </c>
      <c r="O24">
        <v>100.55</v>
      </c>
      <c r="P24">
        <v>32</v>
      </c>
      <c r="Q24">
        <v>0</v>
      </c>
      <c r="R24">
        <v>0</v>
      </c>
      <c r="S24" s="3" t="s">
        <v>7</v>
      </c>
      <c r="T24">
        <v>-1121</v>
      </c>
      <c r="U24">
        <v>-1130</v>
      </c>
      <c r="V24">
        <v>-357</v>
      </c>
      <c r="W24">
        <v>-1.1499999999999999</v>
      </c>
      <c r="X24">
        <v>-4585080</v>
      </c>
      <c r="Y24" s="3" t="s">
        <v>640</v>
      </c>
      <c r="Z24">
        <v>0</v>
      </c>
      <c r="AA24">
        <v>0</v>
      </c>
      <c r="AB24" s="3" t="s">
        <v>9</v>
      </c>
      <c r="AC24" s="3" t="s">
        <v>10</v>
      </c>
      <c r="AD24">
        <v>-4585080</v>
      </c>
      <c r="AE24">
        <v>4585080</v>
      </c>
      <c r="AF24" s="3" t="s">
        <v>640</v>
      </c>
    </row>
    <row r="25" spans="1:32" x14ac:dyDescent="0.35">
      <c r="A25" s="3" t="s">
        <v>608</v>
      </c>
      <c r="B25" s="3" t="s">
        <v>608</v>
      </c>
      <c r="C25" s="3" t="s">
        <v>608</v>
      </c>
      <c r="D25" s="3" t="s">
        <v>608</v>
      </c>
      <c r="E25" s="3" t="s">
        <v>608</v>
      </c>
      <c r="F25" s="3" t="s">
        <v>43</v>
      </c>
      <c r="G25" s="3" t="s">
        <v>43</v>
      </c>
      <c r="H25" s="3" t="s">
        <v>44</v>
      </c>
      <c r="I25" s="3" t="s">
        <v>45</v>
      </c>
      <c r="J25" s="3" t="s">
        <v>4</v>
      </c>
      <c r="K25" s="3" t="s">
        <v>659</v>
      </c>
      <c r="L25" s="3" t="s">
        <v>30</v>
      </c>
      <c r="M25" s="3" t="s">
        <v>14</v>
      </c>
      <c r="N25">
        <v>-3850000</v>
      </c>
      <c r="O25">
        <v>105.907</v>
      </c>
      <c r="P25">
        <v>91</v>
      </c>
      <c r="Q25">
        <v>0</v>
      </c>
      <c r="R25">
        <v>-130</v>
      </c>
      <c r="S25" s="3" t="s">
        <v>7</v>
      </c>
      <c r="T25">
        <v>-4027</v>
      </c>
      <c r="U25">
        <v>-4075</v>
      </c>
      <c r="V25">
        <v>-3700</v>
      </c>
      <c r="W25">
        <v>-11.94</v>
      </c>
      <c r="X25">
        <v>-4077420</v>
      </c>
      <c r="Y25" s="3" t="s">
        <v>31</v>
      </c>
      <c r="Z25">
        <v>105.907</v>
      </c>
      <c r="AA25">
        <v>-3850000</v>
      </c>
      <c r="AB25" s="3" t="s">
        <v>9</v>
      </c>
      <c r="AC25" s="3" t="s">
        <v>10</v>
      </c>
      <c r="AD25">
        <v>-4100792</v>
      </c>
      <c r="AE25">
        <v>4100792</v>
      </c>
      <c r="AF25" s="3" t="s">
        <v>640</v>
      </c>
    </row>
    <row r="26" spans="1:32" x14ac:dyDescent="0.35">
      <c r="A26" s="3" t="s">
        <v>608</v>
      </c>
      <c r="B26" s="3" t="s">
        <v>608</v>
      </c>
      <c r="C26" s="3" t="s">
        <v>608</v>
      </c>
      <c r="D26" s="3" t="s">
        <v>608</v>
      </c>
      <c r="E26" s="3" t="s">
        <v>608</v>
      </c>
      <c r="F26" s="3" t="s">
        <v>46</v>
      </c>
      <c r="G26" s="3" t="s">
        <v>46</v>
      </c>
      <c r="H26" s="3" t="s">
        <v>47</v>
      </c>
      <c r="I26" s="3" t="s">
        <v>45</v>
      </c>
      <c r="J26" s="3" t="s">
        <v>4</v>
      </c>
      <c r="K26" s="3" t="s">
        <v>660</v>
      </c>
      <c r="L26" s="3" t="s">
        <v>30</v>
      </c>
      <c r="M26" s="3" t="s">
        <v>14</v>
      </c>
      <c r="N26">
        <v>-4000000</v>
      </c>
      <c r="O26">
        <v>115.488</v>
      </c>
      <c r="P26">
        <v>80</v>
      </c>
      <c r="Q26">
        <v>0</v>
      </c>
      <c r="R26">
        <v>-276</v>
      </c>
      <c r="S26" s="3" t="s">
        <v>7</v>
      </c>
      <c r="T26">
        <v>-3179</v>
      </c>
      <c r="U26">
        <v>-3213</v>
      </c>
      <c r="V26">
        <v>-2555</v>
      </c>
      <c r="W26">
        <v>-8.24</v>
      </c>
      <c r="X26">
        <v>-4619520</v>
      </c>
      <c r="Y26" s="3" t="s">
        <v>31</v>
      </c>
      <c r="Z26">
        <v>115.488</v>
      </c>
      <c r="AA26">
        <v>-4000000</v>
      </c>
      <c r="AB26" s="3" t="s">
        <v>9</v>
      </c>
      <c r="AC26" s="3" t="s">
        <v>10</v>
      </c>
      <c r="AD26">
        <v>-4677768</v>
      </c>
      <c r="AE26">
        <v>4677768</v>
      </c>
      <c r="AF26" s="3" t="s">
        <v>640</v>
      </c>
    </row>
    <row r="27" spans="1:32" x14ac:dyDescent="0.35">
      <c r="A27" s="3" t="s">
        <v>608</v>
      </c>
      <c r="B27" s="3" t="s">
        <v>608</v>
      </c>
      <c r="C27" s="3" t="s">
        <v>608</v>
      </c>
      <c r="D27" s="3" t="s">
        <v>608</v>
      </c>
      <c r="E27" s="3" t="s">
        <v>608</v>
      </c>
      <c r="F27" s="3" t="s">
        <v>959</v>
      </c>
      <c r="G27" s="3" t="s">
        <v>959</v>
      </c>
      <c r="H27" s="3" t="s">
        <v>960</v>
      </c>
      <c r="I27" s="3" t="s">
        <v>961</v>
      </c>
      <c r="J27" s="3" t="s">
        <v>4</v>
      </c>
      <c r="K27" s="3" t="s">
        <v>640</v>
      </c>
      <c r="L27" s="3" t="s">
        <v>30</v>
      </c>
      <c r="M27" s="3" t="s">
        <v>14</v>
      </c>
      <c r="N27">
        <v>-1000000</v>
      </c>
      <c r="O27">
        <v>105</v>
      </c>
      <c r="P27">
        <v>89</v>
      </c>
      <c r="Q27">
        <v>0</v>
      </c>
      <c r="R27">
        <v>0</v>
      </c>
      <c r="S27" s="3" t="s">
        <v>7</v>
      </c>
      <c r="T27">
        <v>-960</v>
      </c>
      <c r="U27">
        <v>-971</v>
      </c>
      <c r="V27">
        <v>-862</v>
      </c>
      <c r="W27">
        <v>-2.78</v>
      </c>
      <c r="X27">
        <v>-1050000</v>
      </c>
      <c r="Y27" s="3" t="s">
        <v>640</v>
      </c>
      <c r="Z27">
        <v>0</v>
      </c>
      <c r="AA27">
        <v>0</v>
      </c>
      <c r="AB27" s="3" t="s">
        <v>9</v>
      </c>
      <c r="AC27" s="3" t="s">
        <v>10</v>
      </c>
      <c r="AD27">
        <v>-1054161</v>
      </c>
      <c r="AE27">
        <v>1054161</v>
      </c>
      <c r="AF27" s="3" t="s">
        <v>640</v>
      </c>
    </row>
    <row r="28" spans="1:32" x14ac:dyDescent="0.35">
      <c r="A28" s="3" t="s">
        <v>608</v>
      </c>
      <c r="B28" s="3" t="s">
        <v>608</v>
      </c>
      <c r="C28" s="3" t="s">
        <v>608</v>
      </c>
      <c r="D28" s="3" t="s">
        <v>608</v>
      </c>
      <c r="E28" s="3" t="s">
        <v>608</v>
      </c>
      <c r="F28" s="3" t="s">
        <v>978</v>
      </c>
      <c r="G28" s="3" t="s">
        <v>978</v>
      </c>
      <c r="H28" s="3" t="s">
        <v>979</v>
      </c>
      <c r="I28" s="3" t="s">
        <v>980</v>
      </c>
      <c r="J28" s="3" t="s">
        <v>4</v>
      </c>
      <c r="K28" s="3" t="s">
        <v>640</v>
      </c>
      <c r="L28" s="3" t="s">
        <v>30</v>
      </c>
      <c r="M28" s="3" t="s">
        <v>14</v>
      </c>
      <c r="N28">
        <v>600000</v>
      </c>
      <c r="O28">
        <v>108.3</v>
      </c>
      <c r="P28">
        <v>33</v>
      </c>
      <c r="Q28">
        <v>0</v>
      </c>
      <c r="R28">
        <v>0</v>
      </c>
      <c r="S28" s="3" t="s">
        <v>7</v>
      </c>
      <c r="T28">
        <v>255</v>
      </c>
      <c r="U28">
        <v>257</v>
      </c>
      <c r="V28">
        <v>86</v>
      </c>
      <c r="W28">
        <v>0.28000000000000003</v>
      </c>
      <c r="X28">
        <v>649800</v>
      </c>
      <c r="Y28" s="3" t="s">
        <v>640</v>
      </c>
      <c r="Z28">
        <v>0</v>
      </c>
      <c r="AA28">
        <v>0</v>
      </c>
      <c r="AB28" s="3" t="s">
        <v>9</v>
      </c>
      <c r="AC28" s="3" t="s">
        <v>10</v>
      </c>
      <c r="AD28">
        <v>660866</v>
      </c>
      <c r="AE28">
        <v>660866</v>
      </c>
      <c r="AF28" s="3" t="s">
        <v>640</v>
      </c>
    </row>
    <row r="29" spans="1:32" x14ac:dyDescent="0.35">
      <c r="A29" s="3" t="s">
        <v>608</v>
      </c>
      <c r="B29" s="3" t="s">
        <v>608</v>
      </c>
      <c r="C29" s="3" t="s">
        <v>608</v>
      </c>
      <c r="D29" s="3" t="s">
        <v>608</v>
      </c>
      <c r="E29" s="3" t="s">
        <v>608</v>
      </c>
      <c r="F29" s="3" t="s">
        <v>48</v>
      </c>
      <c r="G29" s="3" t="s">
        <v>48</v>
      </c>
      <c r="H29" s="3" t="s">
        <v>49</v>
      </c>
      <c r="I29" s="3" t="s">
        <v>50</v>
      </c>
      <c r="J29" s="3" t="s">
        <v>4</v>
      </c>
      <c r="K29" s="3" t="s">
        <v>661</v>
      </c>
      <c r="L29" s="3" t="s">
        <v>30</v>
      </c>
      <c r="M29" s="3" t="s">
        <v>14</v>
      </c>
      <c r="N29">
        <v>-1600000</v>
      </c>
      <c r="O29">
        <v>102.67</v>
      </c>
      <c r="P29">
        <v>46</v>
      </c>
      <c r="Q29">
        <v>0</v>
      </c>
      <c r="R29">
        <v>-27</v>
      </c>
      <c r="S29" s="3" t="s">
        <v>7</v>
      </c>
      <c r="T29">
        <v>-632</v>
      </c>
      <c r="U29">
        <v>-639</v>
      </c>
      <c r="V29">
        <v>-292</v>
      </c>
      <c r="W29">
        <v>-0.94</v>
      </c>
      <c r="X29">
        <v>-1642720</v>
      </c>
      <c r="Y29" s="3" t="s">
        <v>31</v>
      </c>
      <c r="Z29">
        <v>102.67</v>
      </c>
      <c r="AA29">
        <v>-1600000</v>
      </c>
      <c r="AB29" s="3" t="s">
        <v>9</v>
      </c>
      <c r="AC29" s="3" t="s">
        <v>10</v>
      </c>
      <c r="AD29">
        <v>-1643898</v>
      </c>
      <c r="AE29">
        <v>1643898</v>
      </c>
      <c r="AF29" s="3" t="s">
        <v>640</v>
      </c>
    </row>
    <row r="30" spans="1:32" x14ac:dyDescent="0.35">
      <c r="A30" s="3" t="s">
        <v>608</v>
      </c>
      <c r="B30" s="3" t="s">
        <v>608</v>
      </c>
      <c r="C30" s="3" t="s">
        <v>608</v>
      </c>
      <c r="D30" s="3" t="s">
        <v>608</v>
      </c>
      <c r="E30" s="3" t="s">
        <v>608</v>
      </c>
      <c r="F30" s="3" t="s">
        <v>891</v>
      </c>
      <c r="G30" s="3" t="s">
        <v>891</v>
      </c>
      <c r="H30" s="3" t="s">
        <v>892</v>
      </c>
      <c r="I30" s="3" t="s">
        <v>893</v>
      </c>
      <c r="J30" s="3" t="s">
        <v>4</v>
      </c>
      <c r="K30" s="3" t="s">
        <v>640</v>
      </c>
      <c r="L30" s="3" t="s">
        <v>894</v>
      </c>
      <c r="M30" s="3" t="s">
        <v>14</v>
      </c>
      <c r="N30">
        <v>0</v>
      </c>
      <c r="O30">
        <v>106.38500000000001</v>
      </c>
      <c r="P30">
        <v>-34</v>
      </c>
      <c r="Q30">
        <v>0</v>
      </c>
      <c r="R30">
        <v>0</v>
      </c>
      <c r="S30" s="3" t="s">
        <v>895</v>
      </c>
      <c r="T30">
        <v>0</v>
      </c>
      <c r="U30">
        <v>0</v>
      </c>
      <c r="V30">
        <v>0</v>
      </c>
      <c r="W30">
        <v>0</v>
      </c>
      <c r="X30">
        <v>0</v>
      </c>
      <c r="Y30" s="3" t="s">
        <v>31</v>
      </c>
      <c r="Z30">
        <v>106.38500000000001</v>
      </c>
      <c r="AA30">
        <v>0</v>
      </c>
      <c r="AB30" s="3" t="s">
        <v>9</v>
      </c>
      <c r="AC30" s="3" t="s">
        <v>10</v>
      </c>
      <c r="AD30">
        <v>0</v>
      </c>
      <c r="AE30">
        <v>0</v>
      </c>
      <c r="AF30" s="3" t="s">
        <v>640</v>
      </c>
    </row>
    <row r="31" spans="1:32" x14ac:dyDescent="0.35">
      <c r="A31" s="3" t="s">
        <v>608</v>
      </c>
      <c r="B31" s="3" t="s">
        <v>608</v>
      </c>
      <c r="C31" s="3" t="s">
        <v>608</v>
      </c>
      <c r="D31" s="3" t="s">
        <v>608</v>
      </c>
      <c r="E31" s="3" t="s">
        <v>608</v>
      </c>
      <c r="F31" s="3" t="s">
        <v>51</v>
      </c>
      <c r="G31" s="3" t="s">
        <v>51</v>
      </c>
      <c r="H31" s="3" t="s">
        <v>52</v>
      </c>
      <c r="I31" s="3" t="s">
        <v>53</v>
      </c>
      <c r="J31" s="3" t="s">
        <v>4</v>
      </c>
      <c r="K31" s="3" t="s">
        <v>662</v>
      </c>
      <c r="L31" s="3" t="s">
        <v>30</v>
      </c>
      <c r="M31" s="3" t="s">
        <v>14</v>
      </c>
      <c r="N31">
        <v>4784000</v>
      </c>
      <c r="O31">
        <v>109.116</v>
      </c>
      <c r="P31">
        <v>46</v>
      </c>
      <c r="Q31">
        <v>0</v>
      </c>
      <c r="R31">
        <v>262</v>
      </c>
      <c r="S31" s="3" t="s">
        <v>7</v>
      </c>
      <c r="T31">
        <v>2257</v>
      </c>
      <c r="U31">
        <v>2278</v>
      </c>
      <c r="V31">
        <v>1051</v>
      </c>
      <c r="W31">
        <v>3.39</v>
      </c>
      <c r="X31">
        <v>5220109</v>
      </c>
      <c r="Y31" s="3" t="s">
        <v>31</v>
      </c>
      <c r="Z31">
        <v>109.116</v>
      </c>
      <c r="AA31">
        <v>4784000</v>
      </c>
      <c r="AB31" s="3" t="s">
        <v>9</v>
      </c>
      <c r="AC31" s="3" t="s">
        <v>10</v>
      </c>
      <c r="AD31">
        <v>5271488</v>
      </c>
      <c r="AE31">
        <v>5271488</v>
      </c>
      <c r="AF31" s="3" t="s">
        <v>640</v>
      </c>
    </row>
    <row r="32" spans="1:32" x14ac:dyDescent="0.35">
      <c r="A32" s="3" t="s">
        <v>608</v>
      </c>
      <c r="B32" s="3" t="s">
        <v>608</v>
      </c>
      <c r="C32" s="3" t="s">
        <v>608</v>
      </c>
      <c r="D32" s="3" t="s">
        <v>608</v>
      </c>
      <c r="E32" s="3" t="s">
        <v>608</v>
      </c>
      <c r="F32" s="3" t="s">
        <v>54</v>
      </c>
      <c r="G32" s="3" t="s">
        <v>54</v>
      </c>
      <c r="H32" s="3" t="s">
        <v>55</v>
      </c>
      <c r="I32" s="3" t="s">
        <v>53</v>
      </c>
      <c r="J32" s="3" t="s">
        <v>4</v>
      </c>
      <c r="K32" s="3" t="s">
        <v>663</v>
      </c>
      <c r="L32" s="3" t="s">
        <v>30</v>
      </c>
      <c r="M32" s="3" t="s">
        <v>14</v>
      </c>
      <c r="N32">
        <v>0</v>
      </c>
      <c r="O32">
        <v>103.983</v>
      </c>
      <c r="P32">
        <v>44</v>
      </c>
      <c r="Q32">
        <v>-900</v>
      </c>
      <c r="R32">
        <v>15</v>
      </c>
      <c r="S32" s="3" t="s">
        <v>7</v>
      </c>
      <c r="T32">
        <v>0</v>
      </c>
      <c r="U32">
        <v>0</v>
      </c>
      <c r="V32">
        <v>0</v>
      </c>
      <c r="W32">
        <v>0</v>
      </c>
      <c r="X32">
        <v>0</v>
      </c>
      <c r="Y32" s="3" t="s">
        <v>31</v>
      </c>
      <c r="Z32">
        <v>104.163</v>
      </c>
      <c r="AA32">
        <v>500000</v>
      </c>
      <c r="AB32" s="3" t="s">
        <v>9</v>
      </c>
      <c r="AC32" s="3" t="s">
        <v>10</v>
      </c>
      <c r="AD32">
        <v>-15</v>
      </c>
      <c r="AE32">
        <v>15</v>
      </c>
      <c r="AF32" s="3" t="s">
        <v>640</v>
      </c>
    </row>
    <row r="33" spans="1:32" x14ac:dyDescent="0.35">
      <c r="A33" s="3" t="s">
        <v>608</v>
      </c>
      <c r="B33" s="3" t="s">
        <v>608</v>
      </c>
      <c r="C33" s="3" t="s">
        <v>608</v>
      </c>
      <c r="D33" s="3" t="s">
        <v>608</v>
      </c>
      <c r="E33" s="3" t="s">
        <v>608</v>
      </c>
      <c r="F33" s="3" t="s">
        <v>56</v>
      </c>
      <c r="G33" s="3" t="s">
        <v>56</v>
      </c>
      <c r="H33" s="3" t="s">
        <v>57</v>
      </c>
      <c r="I33" s="3" t="s">
        <v>53</v>
      </c>
      <c r="J33" s="3" t="s">
        <v>4</v>
      </c>
      <c r="K33" s="3" t="s">
        <v>664</v>
      </c>
      <c r="L33" s="3" t="s">
        <v>30</v>
      </c>
      <c r="M33" s="3" t="s">
        <v>14</v>
      </c>
      <c r="N33">
        <v>0</v>
      </c>
      <c r="O33">
        <v>106.214</v>
      </c>
      <c r="P33">
        <v>31</v>
      </c>
      <c r="Q33">
        <v>-690</v>
      </c>
      <c r="R33">
        <v>65</v>
      </c>
      <c r="S33" s="3" t="s">
        <v>7</v>
      </c>
      <c r="T33">
        <v>0</v>
      </c>
      <c r="U33">
        <v>0</v>
      </c>
      <c r="V33">
        <v>0</v>
      </c>
      <c r="W33">
        <v>0</v>
      </c>
      <c r="X33">
        <v>0</v>
      </c>
      <c r="Y33" s="3" t="s">
        <v>31</v>
      </c>
      <c r="Z33">
        <v>106.283</v>
      </c>
      <c r="AA33">
        <v>1000000</v>
      </c>
      <c r="AB33" s="3" t="s">
        <v>9</v>
      </c>
      <c r="AC33" s="3" t="s">
        <v>10</v>
      </c>
      <c r="AD33">
        <v>-65</v>
      </c>
      <c r="AE33">
        <v>65</v>
      </c>
      <c r="AF33" s="3" t="s">
        <v>640</v>
      </c>
    </row>
    <row r="34" spans="1:32" x14ac:dyDescent="0.35">
      <c r="A34" s="3" t="s">
        <v>608</v>
      </c>
      <c r="B34" s="3" t="s">
        <v>608</v>
      </c>
      <c r="C34" s="3" t="s">
        <v>608</v>
      </c>
      <c r="D34" s="3" t="s">
        <v>608</v>
      </c>
      <c r="E34" s="3" t="s">
        <v>608</v>
      </c>
      <c r="F34" s="3" t="s">
        <v>665</v>
      </c>
      <c r="G34" s="3" t="s">
        <v>665</v>
      </c>
      <c r="H34" s="3" t="s">
        <v>666</v>
      </c>
      <c r="I34" s="3" t="s">
        <v>60</v>
      </c>
      <c r="J34" s="3" t="s">
        <v>4</v>
      </c>
      <c r="K34" s="3" t="s">
        <v>667</v>
      </c>
      <c r="L34" s="3" t="s">
        <v>30</v>
      </c>
      <c r="M34" s="3" t="s">
        <v>14</v>
      </c>
      <c r="N34">
        <v>-3000000</v>
      </c>
      <c r="O34">
        <v>105.545</v>
      </c>
      <c r="P34">
        <v>59</v>
      </c>
      <c r="Q34">
        <v>0</v>
      </c>
      <c r="R34">
        <v>-72</v>
      </c>
      <c r="S34" s="3" t="s">
        <v>7</v>
      </c>
      <c r="T34">
        <v>-2888</v>
      </c>
      <c r="U34">
        <v>-2923</v>
      </c>
      <c r="V34">
        <v>-1710</v>
      </c>
      <c r="W34">
        <v>-5.52</v>
      </c>
      <c r="X34">
        <v>-3166350</v>
      </c>
      <c r="Y34" s="3" t="s">
        <v>31</v>
      </c>
      <c r="Z34">
        <v>105.545</v>
      </c>
      <c r="AA34">
        <v>-3000000</v>
      </c>
      <c r="AB34" s="3" t="s">
        <v>9</v>
      </c>
      <c r="AC34" s="3" t="s">
        <v>10</v>
      </c>
      <c r="AD34">
        <v>-3180014</v>
      </c>
      <c r="AE34">
        <v>3180014</v>
      </c>
      <c r="AF34" s="3" t="s">
        <v>640</v>
      </c>
    </row>
    <row r="35" spans="1:32" x14ac:dyDescent="0.35">
      <c r="A35" s="3" t="s">
        <v>608</v>
      </c>
      <c r="B35" s="3" t="s">
        <v>608</v>
      </c>
      <c r="C35" s="3" t="s">
        <v>608</v>
      </c>
      <c r="D35" s="3" t="s">
        <v>608</v>
      </c>
      <c r="E35" s="3" t="s">
        <v>608</v>
      </c>
      <c r="F35" s="3" t="s">
        <v>58</v>
      </c>
      <c r="G35" s="3" t="s">
        <v>58</v>
      </c>
      <c r="H35" s="3" t="s">
        <v>59</v>
      </c>
      <c r="I35" s="3" t="s">
        <v>60</v>
      </c>
      <c r="J35" s="3" t="s">
        <v>4</v>
      </c>
      <c r="K35" s="3" t="s">
        <v>668</v>
      </c>
      <c r="L35" s="3" t="s">
        <v>30</v>
      </c>
      <c r="M35" s="3" t="s">
        <v>14</v>
      </c>
      <c r="N35">
        <v>2000000</v>
      </c>
      <c r="O35">
        <v>123.869</v>
      </c>
      <c r="P35">
        <v>50</v>
      </c>
      <c r="Q35">
        <v>0</v>
      </c>
      <c r="R35">
        <v>164</v>
      </c>
      <c r="S35" s="3" t="s">
        <v>7</v>
      </c>
      <c r="T35">
        <v>1897</v>
      </c>
      <c r="U35">
        <v>1919</v>
      </c>
      <c r="V35">
        <v>968</v>
      </c>
      <c r="W35">
        <v>3.12</v>
      </c>
      <c r="X35">
        <v>2477380</v>
      </c>
      <c r="Y35" s="3" t="s">
        <v>31</v>
      </c>
      <c r="Z35">
        <v>123.869</v>
      </c>
      <c r="AA35">
        <v>2000000</v>
      </c>
      <c r="AB35" s="3" t="s">
        <v>9</v>
      </c>
      <c r="AC35" s="3" t="s">
        <v>10</v>
      </c>
      <c r="AD35">
        <v>2512065</v>
      </c>
      <c r="AE35">
        <v>2512065</v>
      </c>
      <c r="AF35" s="3" t="s">
        <v>640</v>
      </c>
    </row>
    <row r="36" spans="1:32" x14ac:dyDescent="0.35">
      <c r="A36" s="3" t="s">
        <v>608</v>
      </c>
      <c r="B36" s="3" t="s">
        <v>608</v>
      </c>
      <c r="C36" s="3" t="s">
        <v>608</v>
      </c>
      <c r="D36" s="3" t="s">
        <v>608</v>
      </c>
      <c r="E36" s="3" t="s">
        <v>608</v>
      </c>
      <c r="F36" s="3" t="s">
        <v>61</v>
      </c>
      <c r="G36" s="3" t="s">
        <v>61</v>
      </c>
      <c r="H36" s="3" t="s">
        <v>62</v>
      </c>
      <c r="I36" s="3" t="s">
        <v>63</v>
      </c>
      <c r="J36" s="3" t="s">
        <v>4</v>
      </c>
      <c r="K36" s="3" t="s">
        <v>669</v>
      </c>
      <c r="L36" s="3" t="s">
        <v>30</v>
      </c>
      <c r="M36" s="3" t="s">
        <v>14</v>
      </c>
      <c r="N36">
        <v>-2847000</v>
      </c>
      <c r="O36">
        <v>121.279</v>
      </c>
      <c r="P36">
        <v>38</v>
      </c>
      <c r="Q36">
        <v>0</v>
      </c>
      <c r="R36">
        <v>-146</v>
      </c>
      <c r="S36" s="3" t="s">
        <v>7</v>
      </c>
      <c r="T36">
        <v>-4064</v>
      </c>
      <c r="U36">
        <v>-4114</v>
      </c>
      <c r="V36">
        <v>-1582</v>
      </c>
      <c r="W36">
        <v>-5.0999999999999996</v>
      </c>
      <c r="X36">
        <v>-3452813</v>
      </c>
      <c r="Y36" s="3" t="s">
        <v>31</v>
      </c>
      <c r="Z36">
        <v>121.279</v>
      </c>
      <c r="AA36">
        <v>-2847000</v>
      </c>
      <c r="AB36" s="3" t="s">
        <v>9</v>
      </c>
      <c r="AC36" s="3" t="s">
        <v>10</v>
      </c>
      <c r="AD36">
        <v>-3453398</v>
      </c>
      <c r="AE36">
        <v>3453398</v>
      </c>
      <c r="AF36" s="3" t="s">
        <v>640</v>
      </c>
    </row>
    <row r="37" spans="1:32" x14ac:dyDescent="0.35">
      <c r="A37" s="3" t="s">
        <v>608</v>
      </c>
      <c r="B37" s="3" t="s">
        <v>608</v>
      </c>
      <c r="C37" s="3" t="s">
        <v>608</v>
      </c>
      <c r="D37" s="3" t="s">
        <v>608</v>
      </c>
      <c r="E37" s="3" t="s">
        <v>608</v>
      </c>
      <c r="F37" s="3" t="s">
        <v>64</v>
      </c>
      <c r="G37" s="3" t="s">
        <v>64</v>
      </c>
      <c r="H37" s="3" t="s">
        <v>65</v>
      </c>
      <c r="I37" s="3" t="s">
        <v>63</v>
      </c>
      <c r="J37" s="3" t="s">
        <v>4</v>
      </c>
      <c r="K37" s="3" t="s">
        <v>670</v>
      </c>
      <c r="L37" s="3" t="s">
        <v>30</v>
      </c>
      <c r="M37" s="3" t="s">
        <v>14</v>
      </c>
      <c r="N37">
        <v>15000000</v>
      </c>
      <c r="O37">
        <v>101.32599999999999</v>
      </c>
      <c r="P37">
        <v>40</v>
      </c>
      <c r="Q37">
        <v>0</v>
      </c>
      <c r="R37">
        <v>103</v>
      </c>
      <c r="S37" s="3" t="s">
        <v>7</v>
      </c>
      <c r="T37">
        <v>14944</v>
      </c>
      <c r="U37">
        <v>15133</v>
      </c>
      <c r="V37">
        <v>5979</v>
      </c>
      <c r="W37">
        <v>19.29</v>
      </c>
      <c r="X37">
        <v>15198900</v>
      </c>
      <c r="Y37" s="3" t="s">
        <v>31</v>
      </c>
      <c r="Z37">
        <v>101.32599999999999</v>
      </c>
      <c r="AA37">
        <v>15000000</v>
      </c>
      <c r="AB37" s="3" t="s">
        <v>9</v>
      </c>
      <c r="AC37" s="3" t="s">
        <v>10</v>
      </c>
      <c r="AD37">
        <v>15200544</v>
      </c>
      <c r="AE37">
        <v>15200544</v>
      </c>
      <c r="AF37" s="3" t="s">
        <v>640</v>
      </c>
    </row>
    <row r="38" spans="1:32" x14ac:dyDescent="0.35">
      <c r="A38" s="3" t="s">
        <v>608</v>
      </c>
      <c r="B38" s="3" t="s">
        <v>608</v>
      </c>
      <c r="C38" s="3" t="s">
        <v>608</v>
      </c>
      <c r="D38" s="3" t="s">
        <v>608</v>
      </c>
      <c r="E38" s="3" t="s">
        <v>608</v>
      </c>
      <c r="F38" s="3" t="s">
        <v>66</v>
      </c>
      <c r="G38" s="3" t="s">
        <v>66</v>
      </c>
      <c r="H38" s="3" t="s">
        <v>67</v>
      </c>
      <c r="I38" s="3" t="s">
        <v>68</v>
      </c>
      <c r="J38" s="3" t="s">
        <v>4</v>
      </c>
      <c r="K38" s="3" t="s">
        <v>671</v>
      </c>
      <c r="L38" s="3" t="s">
        <v>30</v>
      </c>
      <c r="M38" s="3" t="s">
        <v>14</v>
      </c>
      <c r="N38">
        <v>-1200000</v>
      </c>
      <c r="O38">
        <v>103.691</v>
      </c>
      <c r="P38">
        <v>12</v>
      </c>
      <c r="Q38">
        <v>0</v>
      </c>
      <c r="R38">
        <v>-164</v>
      </c>
      <c r="S38" s="3" t="s">
        <v>7</v>
      </c>
      <c r="T38">
        <v>-86</v>
      </c>
      <c r="U38">
        <v>-87</v>
      </c>
      <c r="V38">
        <v>-11</v>
      </c>
      <c r="W38">
        <v>-0.03</v>
      </c>
      <c r="X38">
        <v>-1244292</v>
      </c>
      <c r="Y38" s="3" t="s">
        <v>31</v>
      </c>
      <c r="Z38">
        <v>103.691</v>
      </c>
      <c r="AA38">
        <v>-1200000</v>
      </c>
      <c r="AB38" s="3" t="s">
        <v>9</v>
      </c>
      <c r="AC38" s="3" t="s">
        <v>10</v>
      </c>
      <c r="AD38">
        <v>-1263196</v>
      </c>
      <c r="AE38">
        <v>1263196</v>
      </c>
      <c r="AF38" s="3" t="s">
        <v>640</v>
      </c>
    </row>
    <row r="39" spans="1:32" x14ac:dyDescent="0.35">
      <c r="A39" s="3" t="s">
        <v>608</v>
      </c>
      <c r="B39" s="3" t="s">
        <v>608</v>
      </c>
      <c r="C39" s="3" t="s">
        <v>608</v>
      </c>
      <c r="D39" s="3" t="s">
        <v>608</v>
      </c>
      <c r="E39" s="3" t="s">
        <v>608</v>
      </c>
      <c r="F39" s="3" t="s">
        <v>69</v>
      </c>
      <c r="G39" s="3" t="s">
        <v>69</v>
      </c>
      <c r="H39" s="3" t="s">
        <v>70</v>
      </c>
      <c r="I39" s="3" t="s">
        <v>71</v>
      </c>
      <c r="J39" s="3" t="s">
        <v>4</v>
      </c>
      <c r="K39" s="3" t="s">
        <v>672</v>
      </c>
      <c r="L39" s="3" t="s">
        <v>30</v>
      </c>
      <c r="M39" s="3" t="s">
        <v>14</v>
      </c>
      <c r="N39">
        <v>1800000</v>
      </c>
      <c r="O39">
        <v>105.64100000000001</v>
      </c>
      <c r="P39">
        <v>32</v>
      </c>
      <c r="Q39">
        <v>0</v>
      </c>
      <c r="R39">
        <v>43</v>
      </c>
      <c r="S39" s="3" t="s">
        <v>7</v>
      </c>
      <c r="T39">
        <v>1024</v>
      </c>
      <c r="U39">
        <v>1034</v>
      </c>
      <c r="V39">
        <v>331</v>
      </c>
      <c r="W39">
        <v>1.07</v>
      </c>
      <c r="X39">
        <v>1901538</v>
      </c>
      <c r="Y39" s="3" t="s">
        <v>31</v>
      </c>
      <c r="Z39">
        <v>105.64100000000001</v>
      </c>
      <c r="AA39">
        <v>1800000</v>
      </c>
      <c r="AB39" s="3" t="s">
        <v>9</v>
      </c>
      <c r="AC39" s="3" t="s">
        <v>10</v>
      </c>
      <c r="AD39">
        <v>1909737</v>
      </c>
      <c r="AE39">
        <v>1909737</v>
      </c>
      <c r="AF39" s="3" t="s">
        <v>640</v>
      </c>
    </row>
    <row r="40" spans="1:32" x14ac:dyDescent="0.35">
      <c r="A40" s="3" t="s">
        <v>608</v>
      </c>
      <c r="B40" s="3" t="s">
        <v>608</v>
      </c>
      <c r="C40" s="3" t="s">
        <v>608</v>
      </c>
      <c r="D40" s="3" t="s">
        <v>608</v>
      </c>
      <c r="E40" s="3" t="s">
        <v>608</v>
      </c>
      <c r="F40" s="3" t="s">
        <v>72</v>
      </c>
      <c r="G40" s="3" t="s">
        <v>72</v>
      </c>
      <c r="H40" s="3" t="s">
        <v>73</v>
      </c>
      <c r="I40" s="3" t="s">
        <v>74</v>
      </c>
      <c r="J40" s="3" t="s">
        <v>4</v>
      </c>
      <c r="K40" s="3" t="s">
        <v>673</v>
      </c>
      <c r="L40" s="3" t="s">
        <v>30</v>
      </c>
      <c r="M40" s="3" t="s">
        <v>14</v>
      </c>
      <c r="N40">
        <v>0</v>
      </c>
      <c r="O40">
        <v>119.941</v>
      </c>
      <c r="P40">
        <v>57</v>
      </c>
      <c r="Q40">
        <v>0</v>
      </c>
      <c r="R40">
        <v>122</v>
      </c>
      <c r="S40" s="3" t="s">
        <v>7</v>
      </c>
      <c r="T40">
        <v>0</v>
      </c>
      <c r="U40">
        <v>0</v>
      </c>
      <c r="V40">
        <v>0</v>
      </c>
      <c r="W40">
        <v>0</v>
      </c>
      <c r="X40">
        <v>0</v>
      </c>
      <c r="Y40" s="3" t="s">
        <v>31</v>
      </c>
      <c r="Z40">
        <v>119.941</v>
      </c>
      <c r="AA40">
        <v>0</v>
      </c>
      <c r="AB40" s="3" t="s">
        <v>9</v>
      </c>
      <c r="AC40" s="3" t="s">
        <v>10</v>
      </c>
      <c r="AD40">
        <v>0</v>
      </c>
      <c r="AE40">
        <v>0</v>
      </c>
      <c r="AF40" s="3" t="s">
        <v>640</v>
      </c>
    </row>
    <row r="41" spans="1:32" x14ac:dyDescent="0.35">
      <c r="A41" s="3" t="s">
        <v>608</v>
      </c>
      <c r="B41" s="3" t="s">
        <v>608</v>
      </c>
      <c r="C41" s="3" t="s">
        <v>608</v>
      </c>
      <c r="D41" s="3" t="s">
        <v>608</v>
      </c>
      <c r="E41" s="3" t="s">
        <v>608</v>
      </c>
      <c r="F41" s="3" t="s">
        <v>75</v>
      </c>
      <c r="G41" s="3" t="s">
        <v>75</v>
      </c>
      <c r="H41" s="3" t="s">
        <v>76</v>
      </c>
      <c r="I41" s="3" t="s">
        <v>74</v>
      </c>
      <c r="J41" s="3" t="s">
        <v>4</v>
      </c>
      <c r="K41" s="3" t="s">
        <v>674</v>
      </c>
      <c r="L41" s="3" t="s">
        <v>30</v>
      </c>
      <c r="M41" s="3" t="s">
        <v>14</v>
      </c>
      <c r="N41">
        <v>-200000</v>
      </c>
      <c r="O41">
        <v>112.379</v>
      </c>
      <c r="P41">
        <v>47</v>
      </c>
      <c r="Q41">
        <v>0</v>
      </c>
      <c r="R41">
        <v>-34</v>
      </c>
      <c r="S41" s="3" t="s">
        <v>7</v>
      </c>
      <c r="T41">
        <v>-158</v>
      </c>
      <c r="U41">
        <v>-159</v>
      </c>
      <c r="V41">
        <v>-75</v>
      </c>
      <c r="W41">
        <v>-0.24</v>
      </c>
      <c r="X41">
        <v>-224758</v>
      </c>
      <c r="Y41" s="3" t="s">
        <v>31</v>
      </c>
      <c r="Z41">
        <v>112.379</v>
      </c>
      <c r="AA41">
        <v>-200000</v>
      </c>
      <c r="AB41" s="3" t="s">
        <v>9</v>
      </c>
      <c r="AC41" s="3" t="s">
        <v>10</v>
      </c>
      <c r="AD41">
        <v>-226887</v>
      </c>
      <c r="AE41">
        <v>226887</v>
      </c>
      <c r="AF41" s="3" t="s">
        <v>640</v>
      </c>
    </row>
    <row r="42" spans="1:32" x14ac:dyDescent="0.35">
      <c r="A42" s="3" t="s">
        <v>608</v>
      </c>
      <c r="B42" s="3" t="s">
        <v>608</v>
      </c>
      <c r="C42" s="3" t="s">
        <v>608</v>
      </c>
      <c r="D42" s="3" t="s">
        <v>608</v>
      </c>
      <c r="E42" s="3" t="s">
        <v>608</v>
      </c>
      <c r="F42" s="3" t="s">
        <v>77</v>
      </c>
      <c r="G42" s="3" t="s">
        <v>77</v>
      </c>
      <c r="H42" s="3" t="s">
        <v>78</v>
      </c>
      <c r="I42" s="3" t="s">
        <v>74</v>
      </c>
      <c r="J42" s="3" t="s">
        <v>4</v>
      </c>
      <c r="K42" s="3" t="s">
        <v>675</v>
      </c>
      <c r="L42" s="3" t="s">
        <v>30</v>
      </c>
      <c r="M42" s="3" t="s">
        <v>14</v>
      </c>
      <c r="N42">
        <v>1000000</v>
      </c>
      <c r="O42">
        <v>105.871</v>
      </c>
      <c r="P42">
        <v>38</v>
      </c>
      <c r="Q42">
        <v>0</v>
      </c>
      <c r="R42">
        <v>27</v>
      </c>
      <c r="S42" s="3" t="s">
        <v>7</v>
      </c>
      <c r="T42">
        <v>555</v>
      </c>
      <c r="U42">
        <v>561</v>
      </c>
      <c r="V42">
        <v>213</v>
      </c>
      <c r="W42">
        <v>0.69</v>
      </c>
      <c r="X42">
        <v>1058710</v>
      </c>
      <c r="Y42" s="3" t="s">
        <v>31</v>
      </c>
      <c r="Z42">
        <v>105.871</v>
      </c>
      <c r="AA42">
        <v>1000000</v>
      </c>
      <c r="AB42" s="3" t="s">
        <v>9</v>
      </c>
      <c r="AC42" s="3" t="s">
        <v>10</v>
      </c>
      <c r="AD42">
        <v>1065176</v>
      </c>
      <c r="AE42">
        <v>1065176</v>
      </c>
      <c r="AF42" s="3" t="s">
        <v>640</v>
      </c>
    </row>
    <row r="43" spans="1:32" x14ac:dyDescent="0.35">
      <c r="A43" s="3" t="s">
        <v>608</v>
      </c>
      <c r="B43" s="3" t="s">
        <v>608</v>
      </c>
      <c r="C43" s="3" t="s">
        <v>608</v>
      </c>
      <c r="D43" s="3" t="s">
        <v>608</v>
      </c>
      <c r="E43" s="3" t="s">
        <v>608</v>
      </c>
      <c r="F43" s="3" t="s">
        <v>79</v>
      </c>
      <c r="G43" s="3" t="s">
        <v>79</v>
      </c>
      <c r="H43" s="3" t="s">
        <v>80</v>
      </c>
      <c r="I43" s="3" t="s">
        <v>74</v>
      </c>
      <c r="J43" s="3" t="s">
        <v>4</v>
      </c>
      <c r="K43" s="3" t="s">
        <v>676</v>
      </c>
      <c r="L43" s="3" t="s">
        <v>30</v>
      </c>
      <c r="M43" s="3" t="s">
        <v>14</v>
      </c>
      <c r="N43">
        <v>3200000</v>
      </c>
      <c r="O43">
        <v>104.855</v>
      </c>
      <c r="P43">
        <v>37</v>
      </c>
      <c r="Q43">
        <v>0</v>
      </c>
      <c r="R43">
        <v>103</v>
      </c>
      <c r="S43" s="3" t="s">
        <v>7</v>
      </c>
      <c r="T43">
        <v>1610</v>
      </c>
      <c r="U43">
        <v>1626</v>
      </c>
      <c r="V43">
        <v>606</v>
      </c>
      <c r="W43">
        <v>1.96</v>
      </c>
      <c r="X43">
        <v>3355360</v>
      </c>
      <c r="Y43" s="3" t="s">
        <v>31</v>
      </c>
      <c r="Z43">
        <v>104.855</v>
      </c>
      <c r="AA43">
        <v>3200000</v>
      </c>
      <c r="AB43" s="3" t="s">
        <v>9</v>
      </c>
      <c r="AC43" s="3" t="s">
        <v>10</v>
      </c>
      <c r="AD43">
        <v>3358889</v>
      </c>
      <c r="AE43">
        <v>3358889</v>
      </c>
      <c r="AF43" s="3" t="s">
        <v>640</v>
      </c>
    </row>
    <row r="44" spans="1:32" x14ac:dyDescent="0.35">
      <c r="A44" s="3" t="s">
        <v>608</v>
      </c>
      <c r="B44" s="3" t="s">
        <v>608</v>
      </c>
      <c r="C44" s="3" t="s">
        <v>608</v>
      </c>
      <c r="D44" s="3" t="s">
        <v>608</v>
      </c>
      <c r="E44" s="3" t="s">
        <v>608</v>
      </c>
      <c r="F44" s="3" t="s">
        <v>86</v>
      </c>
      <c r="G44" s="3" t="s">
        <v>86</v>
      </c>
      <c r="H44" s="3" t="s">
        <v>87</v>
      </c>
      <c r="I44" s="3" t="s">
        <v>83</v>
      </c>
      <c r="J44" s="3" t="s">
        <v>4</v>
      </c>
      <c r="K44" s="3" t="s">
        <v>947</v>
      </c>
      <c r="L44" s="3" t="s">
        <v>30</v>
      </c>
      <c r="M44" s="3" t="s">
        <v>14</v>
      </c>
      <c r="N44">
        <v>0</v>
      </c>
      <c r="O44">
        <v>99.878</v>
      </c>
      <c r="P44">
        <v>58</v>
      </c>
      <c r="Q44">
        <v>96</v>
      </c>
      <c r="R44">
        <v>0</v>
      </c>
      <c r="S44" s="3" t="s">
        <v>7</v>
      </c>
      <c r="T44">
        <v>0</v>
      </c>
      <c r="U44">
        <v>0</v>
      </c>
      <c r="V44">
        <v>0</v>
      </c>
      <c r="W44">
        <v>0</v>
      </c>
      <c r="X44">
        <v>0</v>
      </c>
      <c r="Y44" s="3" t="s">
        <v>31</v>
      </c>
      <c r="Z44">
        <v>99.846000000000004</v>
      </c>
      <c r="AA44">
        <v>300000</v>
      </c>
      <c r="AB44" s="3" t="s">
        <v>9</v>
      </c>
      <c r="AC44" s="3" t="s">
        <v>10</v>
      </c>
      <c r="AD44">
        <v>0</v>
      </c>
      <c r="AE44">
        <v>0</v>
      </c>
      <c r="AF44" s="3" t="s">
        <v>640</v>
      </c>
    </row>
    <row r="45" spans="1:32" x14ac:dyDescent="0.35">
      <c r="A45" s="3" t="s">
        <v>608</v>
      </c>
      <c r="B45" s="3" t="s">
        <v>608</v>
      </c>
      <c r="C45" s="3" t="s">
        <v>608</v>
      </c>
      <c r="D45" s="3" t="s">
        <v>608</v>
      </c>
      <c r="E45" s="3" t="s">
        <v>608</v>
      </c>
      <c r="F45" s="3" t="s">
        <v>81</v>
      </c>
      <c r="G45" s="3" t="s">
        <v>81</v>
      </c>
      <c r="H45" s="3" t="s">
        <v>82</v>
      </c>
      <c r="I45" s="3" t="s">
        <v>83</v>
      </c>
      <c r="J45" s="3" t="s">
        <v>4</v>
      </c>
      <c r="K45" s="3" t="s">
        <v>677</v>
      </c>
      <c r="L45" s="3" t="s">
        <v>30</v>
      </c>
      <c r="M45" s="3" t="s">
        <v>14</v>
      </c>
      <c r="N45">
        <v>-2300000</v>
      </c>
      <c r="O45">
        <v>110.816</v>
      </c>
      <c r="P45">
        <v>33</v>
      </c>
      <c r="Q45">
        <v>0</v>
      </c>
      <c r="R45">
        <v>-87</v>
      </c>
      <c r="S45" s="3" t="s">
        <v>7</v>
      </c>
      <c r="T45">
        <v>-1835</v>
      </c>
      <c r="U45">
        <v>-1855</v>
      </c>
      <c r="V45">
        <v>-610</v>
      </c>
      <c r="W45">
        <v>-1.97</v>
      </c>
      <c r="X45">
        <v>-2548768</v>
      </c>
      <c r="Y45" s="3" t="s">
        <v>31</v>
      </c>
      <c r="Z45">
        <v>110.816</v>
      </c>
      <c r="AA45">
        <v>-2300000</v>
      </c>
      <c r="AB45" s="3" t="s">
        <v>9</v>
      </c>
      <c r="AC45" s="3" t="s">
        <v>10</v>
      </c>
      <c r="AD45">
        <v>-2564624</v>
      </c>
      <c r="AE45">
        <v>2564624</v>
      </c>
      <c r="AF45" s="3" t="s">
        <v>640</v>
      </c>
    </row>
    <row r="46" spans="1:32" x14ac:dyDescent="0.35">
      <c r="A46" s="3" t="s">
        <v>608</v>
      </c>
      <c r="B46" s="3" t="s">
        <v>608</v>
      </c>
      <c r="C46" s="3" t="s">
        <v>608</v>
      </c>
      <c r="D46" s="3" t="s">
        <v>608</v>
      </c>
      <c r="E46" s="3" t="s">
        <v>608</v>
      </c>
      <c r="F46" s="3" t="s">
        <v>84</v>
      </c>
      <c r="G46" s="3" t="s">
        <v>84</v>
      </c>
      <c r="H46" s="3" t="s">
        <v>85</v>
      </c>
      <c r="I46" s="3" t="s">
        <v>83</v>
      </c>
      <c r="J46" s="3" t="s">
        <v>4</v>
      </c>
      <c r="K46" s="3" t="s">
        <v>678</v>
      </c>
      <c r="L46" s="3" t="s">
        <v>30</v>
      </c>
      <c r="M46" s="3" t="s">
        <v>14</v>
      </c>
      <c r="N46">
        <v>1800000</v>
      </c>
      <c r="O46">
        <v>106.239</v>
      </c>
      <c r="P46">
        <v>30</v>
      </c>
      <c r="Q46">
        <v>0</v>
      </c>
      <c r="R46">
        <v>61</v>
      </c>
      <c r="S46" s="3" t="s">
        <v>7</v>
      </c>
      <c r="T46">
        <v>800</v>
      </c>
      <c r="U46">
        <v>808</v>
      </c>
      <c r="V46">
        <v>243</v>
      </c>
      <c r="W46">
        <v>0.78</v>
      </c>
      <c r="X46">
        <v>1912302</v>
      </c>
      <c r="Y46" s="3" t="s">
        <v>31</v>
      </c>
      <c r="Z46">
        <v>106.239</v>
      </c>
      <c r="AA46">
        <v>1800000</v>
      </c>
      <c r="AB46" s="3" t="s">
        <v>9</v>
      </c>
      <c r="AC46" s="3" t="s">
        <v>10</v>
      </c>
      <c r="AD46">
        <v>1929023</v>
      </c>
      <c r="AE46">
        <v>1929023</v>
      </c>
      <c r="AF46" s="3" t="s">
        <v>640</v>
      </c>
    </row>
    <row r="47" spans="1:32" x14ac:dyDescent="0.35">
      <c r="A47" s="3" t="s">
        <v>608</v>
      </c>
      <c r="B47" s="3" t="s">
        <v>608</v>
      </c>
      <c r="C47" s="3" t="s">
        <v>608</v>
      </c>
      <c r="D47" s="3" t="s">
        <v>608</v>
      </c>
      <c r="E47" s="3" t="s">
        <v>608</v>
      </c>
      <c r="F47" s="3" t="s">
        <v>896</v>
      </c>
      <c r="G47" s="3" t="s">
        <v>896</v>
      </c>
      <c r="H47" s="3" t="s">
        <v>897</v>
      </c>
      <c r="I47" s="3" t="s">
        <v>90</v>
      </c>
      <c r="J47" s="3" t="s">
        <v>4</v>
      </c>
      <c r="K47" s="3" t="s">
        <v>898</v>
      </c>
      <c r="L47" s="3" t="s">
        <v>30</v>
      </c>
      <c r="M47" s="3" t="s">
        <v>14</v>
      </c>
      <c r="N47">
        <v>-6000000</v>
      </c>
      <c r="O47">
        <v>102.581</v>
      </c>
      <c r="P47">
        <v>66</v>
      </c>
      <c r="Q47">
        <v>0</v>
      </c>
      <c r="R47">
        <v>-102</v>
      </c>
      <c r="S47" s="3" t="s">
        <v>7</v>
      </c>
      <c r="T47">
        <v>-5513</v>
      </c>
      <c r="U47">
        <v>-5578</v>
      </c>
      <c r="V47">
        <v>-3654</v>
      </c>
      <c r="W47">
        <v>-11.79</v>
      </c>
      <c r="X47">
        <v>-6154860</v>
      </c>
      <c r="Y47" s="3" t="s">
        <v>31</v>
      </c>
      <c r="Z47">
        <v>102.581</v>
      </c>
      <c r="AA47">
        <v>-6000000</v>
      </c>
      <c r="AB47" s="3" t="s">
        <v>9</v>
      </c>
      <c r="AC47" s="3" t="s">
        <v>10</v>
      </c>
      <c r="AD47">
        <v>-6184163</v>
      </c>
      <c r="AE47">
        <v>6184163</v>
      </c>
      <c r="AF47" s="3" t="s">
        <v>640</v>
      </c>
    </row>
    <row r="48" spans="1:32" x14ac:dyDescent="0.35">
      <c r="A48" s="3" t="s">
        <v>608</v>
      </c>
      <c r="B48" s="3" t="s">
        <v>608</v>
      </c>
      <c r="C48" s="3" t="s">
        <v>608</v>
      </c>
      <c r="D48" s="3" t="s">
        <v>608</v>
      </c>
      <c r="E48" s="3" t="s">
        <v>608</v>
      </c>
      <c r="F48" s="3" t="s">
        <v>88</v>
      </c>
      <c r="G48" s="3" t="s">
        <v>88</v>
      </c>
      <c r="H48" s="3" t="s">
        <v>89</v>
      </c>
      <c r="I48" s="3" t="s">
        <v>90</v>
      </c>
      <c r="J48" s="3" t="s">
        <v>4</v>
      </c>
      <c r="K48" s="3" t="s">
        <v>679</v>
      </c>
      <c r="L48" s="3" t="s">
        <v>30</v>
      </c>
      <c r="M48" s="3" t="s">
        <v>14</v>
      </c>
      <c r="N48">
        <v>-1380000</v>
      </c>
      <c r="O48">
        <v>106.917</v>
      </c>
      <c r="P48">
        <v>61</v>
      </c>
      <c r="Q48">
        <v>0</v>
      </c>
      <c r="R48">
        <v>-43</v>
      </c>
      <c r="S48" s="3" t="s">
        <v>7</v>
      </c>
      <c r="T48">
        <v>-1117</v>
      </c>
      <c r="U48">
        <v>-1129</v>
      </c>
      <c r="V48">
        <v>-694</v>
      </c>
      <c r="W48">
        <v>-2.2400000000000002</v>
      </c>
      <c r="X48">
        <v>-1475455</v>
      </c>
      <c r="Y48" s="3" t="s">
        <v>31</v>
      </c>
      <c r="Z48">
        <v>106.917</v>
      </c>
      <c r="AA48">
        <v>-1380000</v>
      </c>
      <c r="AB48" s="3" t="s">
        <v>9</v>
      </c>
      <c r="AC48" s="3" t="s">
        <v>10</v>
      </c>
      <c r="AD48">
        <v>-1477411</v>
      </c>
      <c r="AE48">
        <v>1477411</v>
      </c>
      <c r="AF48" s="3" t="s">
        <v>640</v>
      </c>
    </row>
    <row r="49" spans="1:32" x14ac:dyDescent="0.35">
      <c r="A49" s="3" t="s">
        <v>608</v>
      </c>
      <c r="B49" s="3" t="s">
        <v>608</v>
      </c>
      <c r="C49" s="3" t="s">
        <v>608</v>
      </c>
      <c r="D49" s="3" t="s">
        <v>608</v>
      </c>
      <c r="E49" s="3" t="s">
        <v>608</v>
      </c>
      <c r="F49" s="3" t="s">
        <v>91</v>
      </c>
      <c r="G49" s="3" t="s">
        <v>91</v>
      </c>
      <c r="H49" s="3" t="s">
        <v>92</v>
      </c>
      <c r="I49" s="3" t="s">
        <v>90</v>
      </c>
      <c r="J49" s="3" t="s">
        <v>4</v>
      </c>
      <c r="K49" s="3" t="s">
        <v>680</v>
      </c>
      <c r="L49" s="3" t="s">
        <v>30</v>
      </c>
      <c r="M49" s="3" t="s">
        <v>14</v>
      </c>
      <c r="N49">
        <v>575000</v>
      </c>
      <c r="O49">
        <v>108.277</v>
      </c>
      <c r="P49">
        <v>60</v>
      </c>
      <c r="Q49">
        <v>0</v>
      </c>
      <c r="R49">
        <v>24</v>
      </c>
      <c r="S49" s="3" t="s">
        <v>7</v>
      </c>
      <c r="T49">
        <v>372</v>
      </c>
      <c r="U49">
        <v>376</v>
      </c>
      <c r="V49">
        <v>226</v>
      </c>
      <c r="W49">
        <v>0.73</v>
      </c>
      <c r="X49">
        <v>622593</v>
      </c>
      <c r="Y49" s="3" t="s">
        <v>31</v>
      </c>
      <c r="Z49">
        <v>108.277</v>
      </c>
      <c r="AA49">
        <v>575000</v>
      </c>
      <c r="AB49" s="3" t="s">
        <v>9</v>
      </c>
      <c r="AC49" s="3" t="s">
        <v>10</v>
      </c>
      <c r="AD49">
        <v>629474</v>
      </c>
      <c r="AE49">
        <v>629474</v>
      </c>
      <c r="AF49" s="3" t="s">
        <v>640</v>
      </c>
    </row>
    <row r="50" spans="1:32" x14ac:dyDescent="0.35">
      <c r="A50" s="3" t="s">
        <v>608</v>
      </c>
      <c r="B50" s="3" t="s">
        <v>608</v>
      </c>
      <c r="C50" s="3" t="s">
        <v>608</v>
      </c>
      <c r="D50" s="3" t="s">
        <v>608</v>
      </c>
      <c r="E50" s="3" t="s">
        <v>608</v>
      </c>
      <c r="F50" s="3" t="s">
        <v>899</v>
      </c>
      <c r="G50" s="3" t="s">
        <v>899</v>
      </c>
      <c r="H50" s="3" t="s">
        <v>900</v>
      </c>
      <c r="I50" s="3" t="s">
        <v>90</v>
      </c>
      <c r="J50" s="3" t="s">
        <v>4</v>
      </c>
      <c r="K50" s="3" t="s">
        <v>901</v>
      </c>
      <c r="L50" s="3" t="s">
        <v>30</v>
      </c>
      <c r="M50" s="3" t="s">
        <v>14</v>
      </c>
      <c r="N50">
        <v>0</v>
      </c>
      <c r="O50">
        <v>106.209</v>
      </c>
      <c r="P50">
        <v>35</v>
      </c>
      <c r="Q50">
        <v>0</v>
      </c>
      <c r="R50">
        <v>-48</v>
      </c>
      <c r="S50" s="3" t="s">
        <v>7</v>
      </c>
      <c r="T50">
        <v>0</v>
      </c>
      <c r="U50">
        <v>0</v>
      </c>
      <c r="V50">
        <v>0</v>
      </c>
      <c r="W50">
        <v>0</v>
      </c>
      <c r="X50">
        <v>0</v>
      </c>
      <c r="Y50" s="3" t="s">
        <v>31</v>
      </c>
      <c r="Z50">
        <v>106.209</v>
      </c>
      <c r="AA50">
        <v>0</v>
      </c>
      <c r="AB50" s="3" t="s">
        <v>9</v>
      </c>
      <c r="AC50" s="3" t="s">
        <v>10</v>
      </c>
      <c r="AD50">
        <v>0</v>
      </c>
      <c r="AE50">
        <v>0</v>
      </c>
      <c r="AF50" s="3" t="s">
        <v>640</v>
      </c>
    </row>
    <row r="51" spans="1:32" x14ac:dyDescent="0.35">
      <c r="A51" s="3" t="s">
        <v>608</v>
      </c>
      <c r="B51" s="3" t="s">
        <v>608</v>
      </c>
      <c r="C51" s="3" t="s">
        <v>608</v>
      </c>
      <c r="D51" s="3" t="s">
        <v>608</v>
      </c>
      <c r="E51" s="3" t="s">
        <v>608</v>
      </c>
      <c r="F51" s="3" t="s">
        <v>93</v>
      </c>
      <c r="G51" s="3" t="s">
        <v>93</v>
      </c>
      <c r="H51" s="3" t="s">
        <v>94</v>
      </c>
      <c r="I51" s="3" t="s">
        <v>95</v>
      </c>
      <c r="J51" s="3" t="s">
        <v>4</v>
      </c>
      <c r="K51" s="3" t="s">
        <v>681</v>
      </c>
      <c r="L51" s="3" t="s">
        <v>30</v>
      </c>
      <c r="M51" s="3" t="s">
        <v>14</v>
      </c>
      <c r="N51">
        <v>380000</v>
      </c>
      <c r="O51">
        <v>103.024</v>
      </c>
      <c r="P51">
        <v>58</v>
      </c>
      <c r="Q51">
        <v>0</v>
      </c>
      <c r="R51">
        <v>12</v>
      </c>
      <c r="S51" s="3" t="s">
        <v>7</v>
      </c>
      <c r="T51">
        <v>417</v>
      </c>
      <c r="U51">
        <v>422</v>
      </c>
      <c r="V51">
        <v>244</v>
      </c>
      <c r="W51">
        <v>0.79</v>
      </c>
      <c r="X51">
        <v>391491</v>
      </c>
      <c r="Y51" s="3" t="s">
        <v>31</v>
      </c>
      <c r="Z51">
        <v>103.024</v>
      </c>
      <c r="AA51">
        <v>380000</v>
      </c>
      <c r="AB51" s="3" t="s">
        <v>9</v>
      </c>
      <c r="AC51" s="3" t="s">
        <v>10</v>
      </c>
      <c r="AD51">
        <v>393847</v>
      </c>
      <c r="AE51">
        <v>393847</v>
      </c>
      <c r="AF51" s="3" t="s">
        <v>640</v>
      </c>
    </row>
    <row r="52" spans="1:32" x14ac:dyDescent="0.35">
      <c r="A52" s="3" t="s">
        <v>608</v>
      </c>
      <c r="B52" s="3" t="s">
        <v>608</v>
      </c>
      <c r="C52" s="3" t="s">
        <v>608</v>
      </c>
      <c r="D52" s="3" t="s">
        <v>608</v>
      </c>
      <c r="E52" s="3" t="s">
        <v>608</v>
      </c>
      <c r="F52" s="3" t="s">
        <v>96</v>
      </c>
      <c r="G52" s="3" t="s">
        <v>96</v>
      </c>
      <c r="H52" s="3" t="s">
        <v>97</v>
      </c>
      <c r="I52" s="3" t="s">
        <v>95</v>
      </c>
      <c r="J52" s="3" t="s">
        <v>4</v>
      </c>
      <c r="K52" s="3" t="s">
        <v>682</v>
      </c>
      <c r="L52" s="3" t="s">
        <v>30</v>
      </c>
      <c r="M52" s="3" t="s">
        <v>14</v>
      </c>
      <c r="N52">
        <v>-2500000</v>
      </c>
      <c r="O52">
        <v>105.876</v>
      </c>
      <c r="P52">
        <v>57</v>
      </c>
      <c r="Q52">
        <v>0</v>
      </c>
      <c r="R52">
        <v>-60</v>
      </c>
      <c r="S52" s="3" t="s">
        <v>7</v>
      </c>
      <c r="T52">
        <v>-2733</v>
      </c>
      <c r="U52">
        <v>-2766</v>
      </c>
      <c r="V52">
        <v>-1565</v>
      </c>
      <c r="W52">
        <v>-5.05</v>
      </c>
      <c r="X52">
        <v>-2646900</v>
      </c>
      <c r="Y52" s="3" t="s">
        <v>31</v>
      </c>
      <c r="Z52">
        <v>105.876</v>
      </c>
      <c r="AA52">
        <v>-2500000</v>
      </c>
      <c r="AB52" s="3" t="s">
        <v>9</v>
      </c>
      <c r="AC52" s="3" t="s">
        <v>10</v>
      </c>
      <c r="AD52">
        <v>-2651455</v>
      </c>
      <c r="AE52">
        <v>2651455</v>
      </c>
      <c r="AF52" s="3" t="s">
        <v>640</v>
      </c>
    </row>
    <row r="53" spans="1:32" x14ac:dyDescent="0.35">
      <c r="A53" s="3" t="s">
        <v>608</v>
      </c>
      <c r="B53" s="3" t="s">
        <v>608</v>
      </c>
      <c r="C53" s="3" t="s">
        <v>608</v>
      </c>
      <c r="D53" s="3" t="s">
        <v>608</v>
      </c>
      <c r="E53" s="3" t="s">
        <v>608</v>
      </c>
      <c r="F53" s="3" t="s">
        <v>583</v>
      </c>
      <c r="G53" s="3" t="s">
        <v>583</v>
      </c>
      <c r="H53" s="3" t="s">
        <v>584</v>
      </c>
      <c r="I53" s="3" t="s">
        <v>95</v>
      </c>
      <c r="J53" s="3" t="s">
        <v>4</v>
      </c>
      <c r="K53" s="3" t="s">
        <v>683</v>
      </c>
      <c r="L53" s="3" t="s">
        <v>30</v>
      </c>
      <c r="M53" s="3" t="s">
        <v>14</v>
      </c>
      <c r="N53">
        <v>1000000</v>
      </c>
      <c r="O53">
        <v>100.584</v>
      </c>
      <c r="P53">
        <v>37</v>
      </c>
      <c r="Q53">
        <v>0</v>
      </c>
      <c r="R53">
        <v>0</v>
      </c>
      <c r="S53" s="3" t="s">
        <v>7</v>
      </c>
      <c r="T53">
        <v>384</v>
      </c>
      <c r="U53">
        <v>388</v>
      </c>
      <c r="V53">
        <v>142</v>
      </c>
      <c r="W53">
        <v>0.46</v>
      </c>
      <c r="X53">
        <v>1005840</v>
      </c>
      <c r="Y53" s="3" t="s">
        <v>31</v>
      </c>
      <c r="Z53">
        <v>100.584</v>
      </c>
      <c r="AA53">
        <v>1000000</v>
      </c>
      <c r="AB53" s="3" t="s">
        <v>9</v>
      </c>
      <c r="AC53" s="3" t="s">
        <v>10</v>
      </c>
      <c r="AD53">
        <v>1005840</v>
      </c>
      <c r="AE53">
        <v>1005840</v>
      </c>
      <c r="AF53" s="3" t="s">
        <v>640</v>
      </c>
    </row>
    <row r="54" spans="1:32" x14ac:dyDescent="0.35">
      <c r="A54" s="3" t="s">
        <v>608</v>
      </c>
      <c r="B54" s="3" t="s">
        <v>608</v>
      </c>
      <c r="C54" s="3" t="s">
        <v>608</v>
      </c>
      <c r="D54" s="3" t="s">
        <v>608</v>
      </c>
      <c r="E54" s="3" t="s">
        <v>608</v>
      </c>
      <c r="F54" s="3" t="s">
        <v>98</v>
      </c>
      <c r="G54" s="3" t="s">
        <v>98</v>
      </c>
      <c r="H54" s="3" t="s">
        <v>99</v>
      </c>
      <c r="I54" s="3" t="s">
        <v>100</v>
      </c>
      <c r="J54" s="3" t="s">
        <v>4</v>
      </c>
      <c r="K54" s="3" t="s">
        <v>684</v>
      </c>
      <c r="L54" s="3" t="s">
        <v>30</v>
      </c>
      <c r="M54" s="3" t="s">
        <v>14</v>
      </c>
      <c r="N54">
        <v>-1400000</v>
      </c>
      <c r="O54">
        <v>108.003</v>
      </c>
      <c r="P54">
        <v>42</v>
      </c>
      <c r="Q54">
        <v>0</v>
      </c>
      <c r="R54">
        <v>-48</v>
      </c>
      <c r="S54" s="3" t="s">
        <v>7</v>
      </c>
      <c r="T54">
        <v>-922</v>
      </c>
      <c r="U54">
        <v>-931</v>
      </c>
      <c r="V54">
        <v>-390</v>
      </c>
      <c r="W54">
        <v>-1.26</v>
      </c>
      <c r="X54">
        <v>-1512042</v>
      </c>
      <c r="Y54" s="3" t="s">
        <v>31</v>
      </c>
      <c r="Z54">
        <v>108.003</v>
      </c>
      <c r="AA54">
        <v>-1400000</v>
      </c>
      <c r="AB54" s="3" t="s">
        <v>9</v>
      </c>
      <c r="AC54" s="3" t="s">
        <v>10</v>
      </c>
      <c r="AD54">
        <v>-1524522</v>
      </c>
      <c r="AE54">
        <v>1524522</v>
      </c>
      <c r="AF54" s="3" t="s">
        <v>640</v>
      </c>
    </row>
    <row r="55" spans="1:32" x14ac:dyDescent="0.35">
      <c r="A55" s="3" t="s">
        <v>608</v>
      </c>
      <c r="B55" s="3" t="s">
        <v>608</v>
      </c>
      <c r="C55" s="3" t="s">
        <v>608</v>
      </c>
      <c r="D55" s="3" t="s">
        <v>608</v>
      </c>
      <c r="E55" s="3" t="s">
        <v>608</v>
      </c>
      <c r="F55" s="3" t="s">
        <v>101</v>
      </c>
      <c r="G55" s="3" t="s">
        <v>101</v>
      </c>
      <c r="H55" s="3" t="s">
        <v>102</v>
      </c>
      <c r="I55" s="3" t="s">
        <v>100</v>
      </c>
      <c r="J55" s="3" t="s">
        <v>4</v>
      </c>
      <c r="K55" s="3" t="s">
        <v>685</v>
      </c>
      <c r="L55" s="3" t="s">
        <v>30</v>
      </c>
      <c r="M55" s="3" t="s">
        <v>14</v>
      </c>
      <c r="N55">
        <v>-1515000</v>
      </c>
      <c r="O55">
        <v>115.19799999999999</v>
      </c>
      <c r="P55">
        <v>25</v>
      </c>
      <c r="Q55">
        <v>0</v>
      </c>
      <c r="R55">
        <v>-119</v>
      </c>
      <c r="S55" s="3" t="s">
        <v>7</v>
      </c>
      <c r="T55">
        <v>-807</v>
      </c>
      <c r="U55">
        <v>-815</v>
      </c>
      <c r="V55">
        <v>-207</v>
      </c>
      <c r="W55">
        <v>-0.67</v>
      </c>
      <c r="X55">
        <v>-1745250</v>
      </c>
      <c r="Y55" s="3" t="s">
        <v>31</v>
      </c>
      <c r="Z55">
        <v>115.19799999999999</v>
      </c>
      <c r="AA55">
        <v>-1515000</v>
      </c>
      <c r="AB55" s="3" t="s">
        <v>9</v>
      </c>
      <c r="AC55" s="3" t="s">
        <v>10</v>
      </c>
      <c r="AD55">
        <v>-1751813</v>
      </c>
      <c r="AE55">
        <v>1751813</v>
      </c>
      <c r="AF55" s="3" t="s">
        <v>640</v>
      </c>
    </row>
    <row r="56" spans="1:32" x14ac:dyDescent="0.35">
      <c r="A56" s="3" t="s">
        <v>608</v>
      </c>
      <c r="B56" s="3" t="s">
        <v>608</v>
      </c>
      <c r="C56" s="3" t="s">
        <v>608</v>
      </c>
      <c r="D56" s="3" t="s">
        <v>608</v>
      </c>
      <c r="E56" s="3" t="s">
        <v>608</v>
      </c>
      <c r="F56" s="3" t="s">
        <v>103</v>
      </c>
      <c r="G56" s="3" t="s">
        <v>103</v>
      </c>
      <c r="H56" s="3" t="s">
        <v>104</v>
      </c>
      <c r="I56" s="3" t="s">
        <v>105</v>
      </c>
      <c r="J56" s="3" t="s">
        <v>4</v>
      </c>
      <c r="K56" s="3" t="s">
        <v>686</v>
      </c>
      <c r="L56" s="3" t="s">
        <v>30</v>
      </c>
      <c r="M56" s="3" t="s">
        <v>14</v>
      </c>
      <c r="N56">
        <v>12000000</v>
      </c>
      <c r="O56">
        <v>100.69</v>
      </c>
      <c r="P56">
        <v>81</v>
      </c>
      <c r="Q56">
        <v>-21280</v>
      </c>
      <c r="R56">
        <v>96</v>
      </c>
      <c r="S56" s="3" t="s">
        <v>7</v>
      </c>
      <c r="T56">
        <v>8125</v>
      </c>
      <c r="U56">
        <v>8216</v>
      </c>
      <c r="V56">
        <v>6694</v>
      </c>
      <c r="W56">
        <v>21.59</v>
      </c>
      <c r="X56">
        <v>12082800</v>
      </c>
      <c r="Y56" s="3" t="s">
        <v>31</v>
      </c>
      <c r="Z56">
        <v>100.994</v>
      </c>
      <c r="AA56">
        <v>7000000</v>
      </c>
      <c r="AB56" s="3" t="s">
        <v>9</v>
      </c>
      <c r="AC56" s="3" t="s">
        <v>10</v>
      </c>
      <c r="AD56">
        <v>12091745</v>
      </c>
      <c r="AE56">
        <v>12091745</v>
      </c>
      <c r="AF56" s="3" t="s">
        <v>640</v>
      </c>
    </row>
    <row r="57" spans="1:32" x14ac:dyDescent="0.35">
      <c r="A57" s="3" t="s">
        <v>608</v>
      </c>
      <c r="B57" s="3" t="s">
        <v>608</v>
      </c>
      <c r="C57" s="3" t="s">
        <v>608</v>
      </c>
      <c r="D57" s="3" t="s">
        <v>608</v>
      </c>
      <c r="E57" s="3" t="s">
        <v>608</v>
      </c>
      <c r="F57" s="3" t="s">
        <v>106</v>
      </c>
      <c r="G57" s="3" t="s">
        <v>106</v>
      </c>
      <c r="H57" s="3" t="s">
        <v>107</v>
      </c>
      <c r="I57" s="3" t="s">
        <v>105</v>
      </c>
      <c r="J57" s="3" t="s">
        <v>4</v>
      </c>
      <c r="K57" s="3" t="s">
        <v>687</v>
      </c>
      <c r="L57" s="3" t="s">
        <v>30</v>
      </c>
      <c r="M57" s="3" t="s">
        <v>14</v>
      </c>
      <c r="N57">
        <v>-6181000</v>
      </c>
      <c r="O57">
        <v>107.821</v>
      </c>
      <c r="P57">
        <v>61</v>
      </c>
      <c r="Q57">
        <v>0</v>
      </c>
      <c r="R57">
        <v>-318</v>
      </c>
      <c r="S57" s="3" t="s">
        <v>7</v>
      </c>
      <c r="T57">
        <v>-2863</v>
      </c>
      <c r="U57">
        <v>-2891</v>
      </c>
      <c r="V57">
        <v>-1758</v>
      </c>
      <c r="W57">
        <v>-5.67</v>
      </c>
      <c r="X57">
        <v>-6664416</v>
      </c>
      <c r="Y57" s="3" t="s">
        <v>31</v>
      </c>
      <c r="Z57">
        <v>107.821</v>
      </c>
      <c r="AA57">
        <v>-6181000</v>
      </c>
      <c r="AB57" s="3" t="s">
        <v>9</v>
      </c>
      <c r="AC57" s="3" t="s">
        <v>10</v>
      </c>
      <c r="AD57">
        <v>-6730142</v>
      </c>
      <c r="AE57">
        <v>6730142</v>
      </c>
      <c r="AF57" s="3" t="s">
        <v>640</v>
      </c>
    </row>
    <row r="58" spans="1:32" x14ac:dyDescent="0.35">
      <c r="A58" s="3" t="s">
        <v>608</v>
      </c>
      <c r="B58" s="3" t="s">
        <v>608</v>
      </c>
      <c r="C58" s="3" t="s">
        <v>608</v>
      </c>
      <c r="D58" s="3" t="s">
        <v>608</v>
      </c>
      <c r="E58" s="3" t="s">
        <v>608</v>
      </c>
      <c r="F58" s="3" t="s">
        <v>962</v>
      </c>
      <c r="G58" s="3" t="s">
        <v>962</v>
      </c>
      <c r="H58" s="3" t="s">
        <v>963</v>
      </c>
      <c r="I58" s="3" t="s">
        <v>964</v>
      </c>
      <c r="J58" s="3" t="s">
        <v>4</v>
      </c>
      <c r="K58" s="3" t="s">
        <v>640</v>
      </c>
      <c r="L58" s="3" t="s">
        <v>30</v>
      </c>
      <c r="M58" s="3" t="s">
        <v>14</v>
      </c>
      <c r="N58">
        <v>0</v>
      </c>
      <c r="O58">
        <v>106.32</v>
      </c>
      <c r="P58">
        <v>118</v>
      </c>
      <c r="Q58">
        <v>880</v>
      </c>
      <c r="R58">
        <v>0</v>
      </c>
      <c r="S58" s="3" t="s">
        <v>7</v>
      </c>
      <c r="T58">
        <v>0</v>
      </c>
      <c r="U58">
        <v>0</v>
      </c>
      <c r="V58">
        <v>0</v>
      </c>
      <c r="W58">
        <v>0</v>
      </c>
      <c r="X58">
        <v>0</v>
      </c>
      <c r="Y58" s="3" t="s">
        <v>640</v>
      </c>
      <c r="Z58">
        <v>0</v>
      </c>
      <c r="AA58">
        <v>0</v>
      </c>
      <c r="AB58" s="3" t="s">
        <v>9</v>
      </c>
      <c r="AC58" s="3" t="s">
        <v>10</v>
      </c>
      <c r="AD58">
        <v>0</v>
      </c>
      <c r="AE58">
        <v>0</v>
      </c>
      <c r="AF58" s="3" t="s">
        <v>640</v>
      </c>
    </row>
    <row r="59" spans="1:32" x14ac:dyDescent="0.35">
      <c r="A59" s="3" t="s">
        <v>608</v>
      </c>
      <c r="B59" s="3" t="s">
        <v>608</v>
      </c>
      <c r="C59" s="3" t="s">
        <v>608</v>
      </c>
      <c r="D59" s="3" t="s">
        <v>608</v>
      </c>
      <c r="E59" s="3" t="s">
        <v>608</v>
      </c>
      <c r="F59" s="3" t="s">
        <v>108</v>
      </c>
      <c r="G59" s="3" t="s">
        <v>108</v>
      </c>
      <c r="H59" s="3" t="s">
        <v>109</v>
      </c>
      <c r="I59" s="3" t="s">
        <v>110</v>
      </c>
      <c r="J59" s="3" t="s">
        <v>4</v>
      </c>
      <c r="K59" s="3" t="s">
        <v>688</v>
      </c>
      <c r="L59" s="3" t="s">
        <v>30</v>
      </c>
      <c r="M59" s="3" t="s">
        <v>14</v>
      </c>
      <c r="N59">
        <v>2000000</v>
      </c>
      <c r="O59">
        <v>109.004</v>
      </c>
      <c r="P59">
        <v>42</v>
      </c>
      <c r="Q59">
        <v>0</v>
      </c>
      <c r="R59">
        <v>103</v>
      </c>
      <c r="S59" s="3" t="s">
        <v>7</v>
      </c>
      <c r="T59">
        <v>972</v>
      </c>
      <c r="U59">
        <v>981</v>
      </c>
      <c r="V59">
        <v>411</v>
      </c>
      <c r="W59">
        <v>1.33</v>
      </c>
      <c r="X59">
        <v>2180080</v>
      </c>
      <c r="Y59" s="3" t="s">
        <v>31</v>
      </c>
      <c r="Z59">
        <v>109.004</v>
      </c>
      <c r="AA59">
        <v>2000000</v>
      </c>
      <c r="AB59" s="3" t="s">
        <v>9</v>
      </c>
      <c r="AC59" s="3" t="s">
        <v>10</v>
      </c>
      <c r="AD59">
        <v>2195183</v>
      </c>
      <c r="AE59">
        <v>2195183</v>
      </c>
      <c r="AF59" s="3" t="s">
        <v>640</v>
      </c>
    </row>
    <row r="60" spans="1:32" x14ac:dyDescent="0.35">
      <c r="A60" s="3" t="s">
        <v>608</v>
      </c>
      <c r="B60" s="3" t="s">
        <v>608</v>
      </c>
      <c r="C60" s="3" t="s">
        <v>608</v>
      </c>
      <c r="D60" s="3" t="s">
        <v>608</v>
      </c>
      <c r="E60" s="3" t="s">
        <v>608</v>
      </c>
      <c r="F60" s="3" t="s">
        <v>111</v>
      </c>
      <c r="G60" s="3" t="s">
        <v>111</v>
      </c>
      <c r="H60" s="3" t="s">
        <v>112</v>
      </c>
      <c r="I60" s="3" t="s">
        <v>113</v>
      </c>
      <c r="J60" s="3" t="s">
        <v>4</v>
      </c>
      <c r="K60" s="3" t="s">
        <v>689</v>
      </c>
      <c r="L60" s="3" t="s">
        <v>30</v>
      </c>
      <c r="M60" s="3" t="s">
        <v>14</v>
      </c>
      <c r="N60">
        <v>-8167000</v>
      </c>
      <c r="O60">
        <v>104.828</v>
      </c>
      <c r="P60">
        <v>57</v>
      </c>
      <c r="Q60">
        <v>0</v>
      </c>
      <c r="R60">
        <v>-196</v>
      </c>
      <c r="S60" s="3" t="s">
        <v>7</v>
      </c>
      <c r="T60">
        <v>-5563</v>
      </c>
      <c r="U60">
        <v>-5620</v>
      </c>
      <c r="V60">
        <v>-3212</v>
      </c>
      <c r="W60">
        <v>-10.36</v>
      </c>
      <c r="X60">
        <v>-8561303</v>
      </c>
      <c r="Y60" s="3" t="s">
        <v>31</v>
      </c>
      <c r="Z60">
        <v>104.828</v>
      </c>
      <c r="AA60">
        <v>-8167000</v>
      </c>
      <c r="AB60" s="3" t="s">
        <v>9</v>
      </c>
      <c r="AC60" s="3" t="s">
        <v>10</v>
      </c>
      <c r="AD60">
        <v>-8585188</v>
      </c>
      <c r="AE60">
        <v>8585188</v>
      </c>
      <c r="AF60" s="3" t="s">
        <v>640</v>
      </c>
    </row>
    <row r="61" spans="1:32" x14ac:dyDescent="0.35">
      <c r="A61" s="3" t="s">
        <v>608</v>
      </c>
      <c r="B61" s="3" t="s">
        <v>608</v>
      </c>
      <c r="C61" s="3" t="s">
        <v>608</v>
      </c>
      <c r="D61" s="3" t="s">
        <v>608</v>
      </c>
      <c r="E61" s="3" t="s">
        <v>608</v>
      </c>
      <c r="F61" s="3" t="s">
        <v>114</v>
      </c>
      <c r="G61" s="3" t="s">
        <v>114</v>
      </c>
      <c r="H61" s="3" t="s">
        <v>115</v>
      </c>
      <c r="I61" s="3" t="s">
        <v>113</v>
      </c>
      <c r="J61" s="3" t="s">
        <v>4</v>
      </c>
      <c r="K61" s="3" t="s">
        <v>690</v>
      </c>
      <c r="L61" s="3" t="s">
        <v>30</v>
      </c>
      <c r="M61" s="3" t="s">
        <v>14</v>
      </c>
      <c r="N61">
        <v>2700000</v>
      </c>
      <c r="O61">
        <v>104.352</v>
      </c>
      <c r="P61">
        <v>59</v>
      </c>
      <c r="Q61">
        <v>0</v>
      </c>
      <c r="R61">
        <v>65</v>
      </c>
      <c r="S61" s="3" t="s">
        <v>7</v>
      </c>
      <c r="T61">
        <v>1637</v>
      </c>
      <c r="U61">
        <v>1653</v>
      </c>
      <c r="V61">
        <v>981</v>
      </c>
      <c r="W61">
        <v>3.17</v>
      </c>
      <c r="X61">
        <v>2817504</v>
      </c>
      <c r="Y61" s="3" t="s">
        <v>31</v>
      </c>
      <c r="Z61">
        <v>104.352</v>
      </c>
      <c r="AA61">
        <v>2700000</v>
      </c>
      <c r="AB61" s="3" t="s">
        <v>9</v>
      </c>
      <c r="AC61" s="3" t="s">
        <v>10</v>
      </c>
      <c r="AD61">
        <v>2818863</v>
      </c>
      <c r="AE61">
        <v>2818863</v>
      </c>
      <c r="AF61" s="3" t="s">
        <v>640</v>
      </c>
    </row>
    <row r="62" spans="1:32" x14ac:dyDescent="0.35">
      <c r="A62" s="3" t="s">
        <v>608</v>
      </c>
      <c r="B62" s="3" t="s">
        <v>608</v>
      </c>
      <c r="C62" s="3" t="s">
        <v>608</v>
      </c>
      <c r="D62" s="3" t="s">
        <v>608</v>
      </c>
      <c r="E62" s="3" t="s">
        <v>608</v>
      </c>
      <c r="F62" s="3" t="s">
        <v>965</v>
      </c>
      <c r="G62" s="3" t="s">
        <v>965</v>
      </c>
      <c r="H62" s="3" t="s">
        <v>966</v>
      </c>
      <c r="I62" s="3" t="s">
        <v>967</v>
      </c>
      <c r="J62" s="3" t="s">
        <v>4</v>
      </c>
      <c r="K62" s="3" t="s">
        <v>640</v>
      </c>
      <c r="L62" s="3" t="s">
        <v>30</v>
      </c>
      <c r="M62" s="3" t="s">
        <v>14</v>
      </c>
      <c r="N62">
        <v>3000000</v>
      </c>
      <c r="O62">
        <v>102.77</v>
      </c>
      <c r="P62">
        <v>42</v>
      </c>
      <c r="Q62">
        <v>7228</v>
      </c>
      <c r="R62">
        <v>0</v>
      </c>
      <c r="S62" s="3" t="s">
        <v>7</v>
      </c>
      <c r="T62">
        <v>980</v>
      </c>
      <c r="U62">
        <v>988</v>
      </c>
      <c r="V62">
        <v>414</v>
      </c>
      <c r="W62">
        <v>1.34</v>
      </c>
      <c r="X62">
        <v>3083100</v>
      </c>
      <c r="Y62" s="3" t="s">
        <v>640</v>
      </c>
      <c r="Z62">
        <v>0</v>
      </c>
      <c r="AA62">
        <v>0</v>
      </c>
      <c r="AB62" s="3" t="s">
        <v>9</v>
      </c>
      <c r="AC62" s="3" t="s">
        <v>10</v>
      </c>
      <c r="AD62">
        <v>3101112</v>
      </c>
      <c r="AE62">
        <v>3101112</v>
      </c>
      <c r="AF62" s="3" t="s">
        <v>640</v>
      </c>
    </row>
    <row r="63" spans="1:32" x14ac:dyDescent="0.35">
      <c r="A63" s="3" t="s">
        <v>608</v>
      </c>
      <c r="B63" s="3" t="s">
        <v>608</v>
      </c>
      <c r="C63" s="3" t="s">
        <v>608</v>
      </c>
      <c r="D63" s="3" t="s">
        <v>608</v>
      </c>
      <c r="E63" s="3" t="s">
        <v>608</v>
      </c>
      <c r="F63" s="3" t="s">
        <v>116</v>
      </c>
      <c r="G63" s="3" t="s">
        <v>116</v>
      </c>
      <c r="H63" s="3" t="s">
        <v>117</v>
      </c>
      <c r="I63" s="3" t="s">
        <v>118</v>
      </c>
      <c r="J63" s="3" t="s">
        <v>4</v>
      </c>
      <c r="K63" s="3" t="s">
        <v>691</v>
      </c>
      <c r="L63" s="3" t="s">
        <v>30</v>
      </c>
      <c r="M63" s="3" t="s">
        <v>14</v>
      </c>
      <c r="N63">
        <v>3700000</v>
      </c>
      <c r="O63">
        <v>103.873</v>
      </c>
      <c r="P63">
        <v>37</v>
      </c>
      <c r="Q63">
        <v>0</v>
      </c>
      <c r="R63">
        <v>101</v>
      </c>
      <c r="S63" s="3" t="s">
        <v>7</v>
      </c>
      <c r="T63">
        <v>1269</v>
      </c>
      <c r="U63">
        <v>1282</v>
      </c>
      <c r="V63">
        <v>477</v>
      </c>
      <c r="W63">
        <v>1.54</v>
      </c>
      <c r="X63">
        <v>3843301</v>
      </c>
      <c r="Y63" s="3" t="s">
        <v>31</v>
      </c>
      <c r="Z63">
        <v>103.873</v>
      </c>
      <c r="AA63">
        <v>3700000</v>
      </c>
      <c r="AB63" s="3" t="s">
        <v>9</v>
      </c>
      <c r="AC63" s="3" t="s">
        <v>10</v>
      </c>
      <c r="AD63">
        <v>3867833</v>
      </c>
      <c r="AE63">
        <v>3867833</v>
      </c>
      <c r="AF63" s="3" t="s">
        <v>640</v>
      </c>
    </row>
    <row r="64" spans="1:32" x14ac:dyDescent="0.35">
      <c r="A64" s="3" t="s">
        <v>608</v>
      </c>
      <c r="B64" s="3" t="s">
        <v>608</v>
      </c>
      <c r="C64" s="3" t="s">
        <v>608</v>
      </c>
      <c r="D64" s="3" t="s">
        <v>608</v>
      </c>
      <c r="E64" s="3" t="s">
        <v>608</v>
      </c>
      <c r="F64" s="3" t="s">
        <v>119</v>
      </c>
      <c r="G64" s="3" t="s">
        <v>119</v>
      </c>
      <c r="H64" s="3" t="s">
        <v>120</v>
      </c>
      <c r="I64" s="3" t="s">
        <v>121</v>
      </c>
      <c r="J64" s="3" t="s">
        <v>4</v>
      </c>
      <c r="K64" s="3" t="s">
        <v>692</v>
      </c>
      <c r="L64" s="3" t="s">
        <v>30</v>
      </c>
      <c r="M64" s="3" t="s">
        <v>14</v>
      </c>
      <c r="N64">
        <v>90000</v>
      </c>
      <c r="O64">
        <v>101.562</v>
      </c>
      <c r="P64">
        <v>41</v>
      </c>
      <c r="Q64">
        <v>0</v>
      </c>
      <c r="R64">
        <v>1</v>
      </c>
      <c r="S64" s="3" t="s">
        <v>7</v>
      </c>
      <c r="T64">
        <v>42</v>
      </c>
      <c r="U64">
        <v>43</v>
      </c>
      <c r="V64">
        <v>17</v>
      </c>
      <c r="W64">
        <v>0.06</v>
      </c>
      <c r="X64">
        <v>91406</v>
      </c>
      <c r="Y64" s="3" t="s">
        <v>31</v>
      </c>
      <c r="Z64">
        <v>101.562</v>
      </c>
      <c r="AA64">
        <v>90000</v>
      </c>
      <c r="AB64" s="3" t="s">
        <v>9</v>
      </c>
      <c r="AC64" s="3" t="s">
        <v>10</v>
      </c>
      <c r="AD64">
        <v>91488</v>
      </c>
      <c r="AE64">
        <v>91488</v>
      </c>
      <c r="AF64" s="3" t="s">
        <v>640</v>
      </c>
    </row>
    <row r="65" spans="1:32" x14ac:dyDescent="0.35">
      <c r="A65" s="3" t="s">
        <v>608</v>
      </c>
      <c r="B65" s="3" t="s">
        <v>608</v>
      </c>
      <c r="C65" s="3" t="s">
        <v>608</v>
      </c>
      <c r="D65" s="3" t="s">
        <v>608</v>
      </c>
      <c r="E65" s="3" t="s">
        <v>608</v>
      </c>
      <c r="F65" s="3" t="s">
        <v>122</v>
      </c>
      <c r="G65" s="3" t="s">
        <v>122</v>
      </c>
      <c r="H65" s="3" t="s">
        <v>123</v>
      </c>
      <c r="I65" s="3" t="s">
        <v>124</v>
      </c>
      <c r="J65" s="3" t="s">
        <v>4</v>
      </c>
      <c r="K65" s="3" t="s">
        <v>693</v>
      </c>
      <c r="L65" s="3" t="s">
        <v>30</v>
      </c>
      <c r="M65" s="3" t="s">
        <v>14</v>
      </c>
      <c r="N65">
        <v>0</v>
      </c>
      <c r="O65">
        <v>100.54600000000001</v>
      </c>
      <c r="P65">
        <v>193</v>
      </c>
      <c r="Q65">
        <v>-160</v>
      </c>
      <c r="R65">
        <v>45</v>
      </c>
      <c r="S65" s="3" t="s">
        <v>7</v>
      </c>
      <c r="T65">
        <v>0</v>
      </c>
      <c r="U65">
        <v>0</v>
      </c>
      <c r="V65">
        <v>0</v>
      </c>
      <c r="W65">
        <v>0</v>
      </c>
      <c r="X65">
        <v>0</v>
      </c>
      <c r="Y65" s="3" t="s">
        <v>31</v>
      </c>
      <c r="Z65">
        <v>100.583</v>
      </c>
      <c r="AA65">
        <v>432000</v>
      </c>
      <c r="AB65" s="3" t="s">
        <v>9</v>
      </c>
      <c r="AC65" s="3" t="s">
        <v>10</v>
      </c>
      <c r="AD65">
        <v>-19</v>
      </c>
      <c r="AE65">
        <v>19</v>
      </c>
      <c r="AF65" s="3" t="s">
        <v>640</v>
      </c>
    </row>
    <row r="66" spans="1:32" x14ac:dyDescent="0.35">
      <c r="A66" s="3" t="s">
        <v>608</v>
      </c>
      <c r="B66" s="3" t="s">
        <v>608</v>
      </c>
      <c r="C66" s="3" t="s">
        <v>608</v>
      </c>
      <c r="D66" s="3" t="s">
        <v>608</v>
      </c>
      <c r="E66" s="3" t="s">
        <v>608</v>
      </c>
      <c r="F66" s="3" t="s">
        <v>125</v>
      </c>
      <c r="G66" s="3" t="s">
        <v>125</v>
      </c>
      <c r="H66" s="3" t="s">
        <v>126</v>
      </c>
      <c r="I66" s="3" t="s">
        <v>124</v>
      </c>
      <c r="J66" s="3" t="s">
        <v>4</v>
      </c>
      <c r="K66" s="3" t="s">
        <v>694</v>
      </c>
      <c r="L66" s="3" t="s">
        <v>30</v>
      </c>
      <c r="M66" s="3" t="s">
        <v>14</v>
      </c>
      <c r="N66">
        <v>2000000</v>
      </c>
      <c r="O66">
        <v>103.979</v>
      </c>
      <c r="P66">
        <v>161</v>
      </c>
      <c r="Q66">
        <v>0</v>
      </c>
      <c r="R66">
        <v>103</v>
      </c>
      <c r="S66" s="3" t="s">
        <v>7</v>
      </c>
      <c r="T66">
        <v>1119</v>
      </c>
      <c r="U66">
        <v>1130</v>
      </c>
      <c r="V66">
        <v>1819</v>
      </c>
      <c r="W66">
        <v>5.87</v>
      </c>
      <c r="X66">
        <v>2079580</v>
      </c>
      <c r="Y66" s="3" t="s">
        <v>31</v>
      </c>
      <c r="Z66">
        <v>103.979</v>
      </c>
      <c r="AA66">
        <v>2000000</v>
      </c>
      <c r="AB66" s="3" t="s">
        <v>9</v>
      </c>
      <c r="AC66" s="3" t="s">
        <v>10</v>
      </c>
      <c r="AD66">
        <v>2091806</v>
      </c>
      <c r="AE66">
        <v>2091806</v>
      </c>
      <c r="AF66" s="3" t="s">
        <v>640</v>
      </c>
    </row>
    <row r="67" spans="1:32" x14ac:dyDescent="0.35">
      <c r="A67" s="3" t="s">
        <v>608</v>
      </c>
      <c r="B67" s="3" t="s">
        <v>608</v>
      </c>
      <c r="C67" s="3" t="s">
        <v>608</v>
      </c>
      <c r="D67" s="3" t="s">
        <v>608</v>
      </c>
      <c r="E67" s="3" t="s">
        <v>608</v>
      </c>
      <c r="F67" s="3" t="s">
        <v>981</v>
      </c>
      <c r="G67" s="3" t="s">
        <v>981</v>
      </c>
      <c r="H67" s="3" t="s">
        <v>982</v>
      </c>
      <c r="I67" s="3" t="s">
        <v>983</v>
      </c>
      <c r="J67" s="3" t="s">
        <v>4</v>
      </c>
      <c r="K67" s="3" t="s">
        <v>640</v>
      </c>
      <c r="L67" s="3" t="s">
        <v>30</v>
      </c>
      <c r="M67" s="3" t="s">
        <v>14</v>
      </c>
      <c r="N67">
        <v>0</v>
      </c>
      <c r="O67">
        <v>101.694</v>
      </c>
      <c r="P67">
        <v>154</v>
      </c>
      <c r="Q67">
        <v>121</v>
      </c>
      <c r="R67">
        <v>0</v>
      </c>
      <c r="S67" s="3" t="s">
        <v>7</v>
      </c>
      <c r="T67">
        <v>0</v>
      </c>
      <c r="U67">
        <v>0</v>
      </c>
      <c r="V67">
        <v>0</v>
      </c>
      <c r="W67">
        <v>0</v>
      </c>
      <c r="X67">
        <v>0</v>
      </c>
      <c r="Y67" s="3" t="s">
        <v>640</v>
      </c>
      <c r="Z67">
        <v>0</v>
      </c>
      <c r="AA67">
        <v>0</v>
      </c>
      <c r="AB67" s="3" t="s">
        <v>9</v>
      </c>
      <c r="AC67" s="3" t="s">
        <v>10</v>
      </c>
      <c r="AD67">
        <v>0</v>
      </c>
      <c r="AE67">
        <v>0</v>
      </c>
      <c r="AF67" s="3" t="s">
        <v>640</v>
      </c>
    </row>
    <row r="68" spans="1:32" x14ac:dyDescent="0.35">
      <c r="A68" s="3" t="s">
        <v>608</v>
      </c>
      <c r="B68" s="3" t="s">
        <v>608</v>
      </c>
      <c r="C68" s="3" t="s">
        <v>608</v>
      </c>
      <c r="D68" s="3" t="s">
        <v>608</v>
      </c>
      <c r="E68" s="3" t="s">
        <v>608</v>
      </c>
      <c r="F68" s="3" t="s">
        <v>127</v>
      </c>
      <c r="G68" s="3" t="s">
        <v>127</v>
      </c>
      <c r="H68" s="3" t="s">
        <v>128</v>
      </c>
      <c r="I68" s="3" t="s">
        <v>129</v>
      </c>
      <c r="J68" s="3" t="s">
        <v>4</v>
      </c>
      <c r="K68" s="3" t="s">
        <v>695</v>
      </c>
      <c r="L68" s="3" t="s">
        <v>30</v>
      </c>
      <c r="M68" s="3" t="s">
        <v>14</v>
      </c>
      <c r="N68">
        <v>1000000</v>
      </c>
      <c r="O68">
        <v>99.076999999999998</v>
      </c>
      <c r="P68">
        <v>70</v>
      </c>
      <c r="Q68">
        <v>0</v>
      </c>
      <c r="R68">
        <v>17</v>
      </c>
      <c r="S68" s="3" t="s">
        <v>7</v>
      </c>
      <c r="T68">
        <v>1855</v>
      </c>
      <c r="U68">
        <v>1881</v>
      </c>
      <c r="V68">
        <v>1321</v>
      </c>
      <c r="W68">
        <v>4.26</v>
      </c>
      <c r="X68">
        <v>990770</v>
      </c>
      <c r="Y68" s="3" t="s">
        <v>31</v>
      </c>
      <c r="Z68">
        <v>99.076999999999998</v>
      </c>
      <c r="AA68">
        <v>1000000</v>
      </c>
      <c r="AB68" s="3" t="s">
        <v>9</v>
      </c>
      <c r="AC68" s="3" t="s">
        <v>10</v>
      </c>
      <c r="AD68">
        <v>990804</v>
      </c>
      <c r="AE68">
        <v>990804</v>
      </c>
      <c r="AF68" s="3" t="s">
        <v>640</v>
      </c>
    </row>
    <row r="69" spans="1:32" x14ac:dyDescent="0.35">
      <c r="A69" s="3" t="s">
        <v>608</v>
      </c>
      <c r="B69" s="3" t="s">
        <v>608</v>
      </c>
      <c r="C69" s="3" t="s">
        <v>608</v>
      </c>
      <c r="D69" s="3" t="s">
        <v>608</v>
      </c>
      <c r="E69" s="3" t="s">
        <v>608</v>
      </c>
      <c r="F69" s="3" t="s">
        <v>131</v>
      </c>
      <c r="G69" s="3" t="s">
        <v>131</v>
      </c>
      <c r="H69" s="3" t="s">
        <v>132</v>
      </c>
      <c r="I69" s="3" t="s">
        <v>130</v>
      </c>
      <c r="J69" s="3" t="s">
        <v>4</v>
      </c>
      <c r="K69" s="3" t="s">
        <v>687</v>
      </c>
      <c r="L69" s="3" t="s">
        <v>30</v>
      </c>
      <c r="M69" s="3" t="s">
        <v>14</v>
      </c>
      <c r="N69">
        <v>2659000</v>
      </c>
      <c r="O69">
        <v>103.387</v>
      </c>
      <c r="P69">
        <v>110</v>
      </c>
      <c r="Q69">
        <v>0</v>
      </c>
      <c r="R69">
        <v>100</v>
      </c>
      <c r="S69" s="3" t="s">
        <v>7</v>
      </c>
      <c r="T69">
        <v>1184</v>
      </c>
      <c r="U69">
        <v>1195</v>
      </c>
      <c r="V69">
        <v>1316</v>
      </c>
      <c r="W69">
        <v>4.25</v>
      </c>
      <c r="X69">
        <v>2749060</v>
      </c>
      <c r="Y69" s="3" t="s">
        <v>31</v>
      </c>
      <c r="Z69">
        <v>103.387</v>
      </c>
      <c r="AA69">
        <v>2659000</v>
      </c>
      <c r="AB69" s="3" t="s">
        <v>9</v>
      </c>
      <c r="AC69" s="3" t="s">
        <v>10</v>
      </c>
      <c r="AD69">
        <v>2769795</v>
      </c>
      <c r="AE69">
        <v>2769795</v>
      </c>
      <c r="AF69" s="3" t="s">
        <v>640</v>
      </c>
    </row>
    <row r="70" spans="1:32" x14ac:dyDescent="0.35">
      <c r="A70" s="3" t="s">
        <v>608</v>
      </c>
      <c r="B70" s="3" t="s">
        <v>608</v>
      </c>
      <c r="C70" s="3" t="s">
        <v>608</v>
      </c>
      <c r="D70" s="3" t="s">
        <v>608</v>
      </c>
      <c r="E70" s="3" t="s">
        <v>608</v>
      </c>
      <c r="F70" s="3" t="s">
        <v>133</v>
      </c>
      <c r="G70" s="3" t="s">
        <v>133</v>
      </c>
      <c r="H70" s="3" t="s">
        <v>134</v>
      </c>
      <c r="I70" s="3" t="s">
        <v>135</v>
      </c>
      <c r="J70" s="3" t="s">
        <v>4</v>
      </c>
      <c r="K70" s="3" t="s">
        <v>696</v>
      </c>
      <c r="L70" s="3" t="s">
        <v>30</v>
      </c>
      <c r="M70" s="3" t="s">
        <v>14</v>
      </c>
      <c r="N70">
        <v>2300000</v>
      </c>
      <c r="O70">
        <v>106.262</v>
      </c>
      <c r="P70">
        <v>57</v>
      </c>
      <c r="Q70">
        <v>0</v>
      </c>
      <c r="R70">
        <v>79</v>
      </c>
      <c r="S70" s="3" t="s">
        <v>7</v>
      </c>
      <c r="T70">
        <v>1297</v>
      </c>
      <c r="U70">
        <v>1310</v>
      </c>
      <c r="V70">
        <v>745</v>
      </c>
      <c r="W70">
        <v>2.4</v>
      </c>
      <c r="X70">
        <v>2444026</v>
      </c>
      <c r="Y70" s="3" t="s">
        <v>31</v>
      </c>
      <c r="Z70">
        <v>106.262</v>
      </c>
      <c r="AA70">
        <v>2300000</v>
      </c>
      <c r="AB70" s="3" t="s">
        <v>9</v>
      </c>
      <c r="AC70" s="3" t="s">
        <v>10</v>
      </c>
      <c r="AD70">
        <v>2459701</v>
      </c>
      <c r="AE70">
        <v>2459701</v>
      </c>
      <c r="AF70" s="3" t="s">
        <v>640</v>
      </c>
    </row>
    <row r="71" spans="1:32" x14ac:dyDescent="0.35">
      <c r="A71" s="3" t="s">
        <v>608</v>
      </c>
      <c r="B71" s="3" t="s">
        <v>608</v>
      </c>
      <c r="C71" s="3" t="s">
        <v>608</v>
      </c>
      <c r="D71" s="3" t="s">
        <v>608</v>
      </c>
      <c r="E71" s="3" t="s">
        <v>608</v>
      </c>
      <c r="F71" s="3" t="s">
        <v>136</v>
      </c>
      <c r="G71" s="3" t="s">
        <v>136</v>
      </c>
      <c r="H71" s="3" t="s">
        <v>137</v>
      </c>
      <c r="I71" s="3" t="s">
        <v>135</v>
      </c>
      <c r="J71" s="3" t="s">
        <v>4</v>
      </c>
      <c r="K71" s="3" t="s">
        <v>697</v>
      </c>
      <c r="L71" s="3" t="s">
        <v>30</v>
      </c>
      <c r="M71" s="3" t="s">
        <v>14</v>
      </c>
      <c r="N71">
        <v>-3000000</v>
      </c>
      <c r="O71">
        <v>106.247</v>
      </c>
      <c r="P71">
        <v>53</v>
      </c>
      <c r="Q71">
        <v>0</v>
      </c>
      <c r="R71">
        <v>-102</v>
      </c>
      <c r="S71" s="3" t="s">
        <v>7</v>
      </c>
      <c r="T71">
        <v>-1614</v>
      </c>
      <c r="U71">
        <v>-1630</v>
      </c>
      <c r="V71">
        <v>-858</v>
      </c>
      <c r="W71">
        <v>-2.77</v>
      </c>
      <c r="X71">
        <v>-3187410</v>
      </c>
      <c r="Y71" s="3" t="s">
        <v>31</v>
      </c>
      <c r="Z71">
        <v>106.247</v>
      </c>
      <c r="AA71">
        <v>-3000000</v>
      </c>
      <c r="AB71" s="3" t="s">
        <v>9</v>
      </c>
      <c r="AC71" s="3" t="s">
        <v>10</v>
      </c>
      <c r="AD71">
        <v>-3208209</v>
      </c>
      <c r="AE71">
        <v>3208209</v>
      </c>
      <c r="AF71" s="3" t="s">
        <v>640</v>
      </c>
    </row>
    <row r="72" spans="1:32" x14ac:dyDescent="0.35">
      <c r="A72" s="3" t="s">
        <v>608</v>
      </c>
      <c r="B72" s="3" t="s">
        <v>608</v>
      </c>
      <c r="C72" s="3" t="s">
        <v>608</v>
      </c>
      <c r="D72" s="3" t="s">
        <v>608</v>
      </c>
      <c r="E72" s="3" t="s">
        <v>608</v>
      </c>
      <c r="F72" s="3" t="s">
        <v>138</v>
      </c>
      <c r="G72" s="3" t="s">
        <v>138</v>
      </c>
      <c r="H72" s="3" t="s">
        <v>139</v>
      </c>
      <c r="I72" s="3" t="s">
        <v>140</v>
      </c>
      <c r="J72" s="3" t="s">
        <v>4</v>
      </c>
      <c r="K72" s="3" t="s">
        <v>698</v>
      </c>
      <c r="L72" s="3" t="s">
        <v>30</v>
      </c>
      <c r="M72" s="3" t="s">
        <v>14</v>
      </c>
      <c r="N72">
        <v>-1000000</v>
      </c>
      <c r="O72">
        <v>113.55800000000001</v>
      </c>
      <c r="P72">
        <v>55</v>
      </c>
      <c r="Q72">
        <v>0</v>
      </c>
      <c r="R72">
        <v>-51</v>
      </c>
      <c r="S72" s="3" t="s">
        <v>7</v>
      </c>
      <c r="T72">
        <v>-863</v>
      </c>
      <c r="U72">
        <v>-872</v>
      </c>
      <c r="V72">
        <v>-483</v>
      </c>
      <c r="W72">
        <v>-1.56</v>
      </c>
      <c r="X72">
        <v>-1135580</v>
      </c>
      <c r="Y72" s="3" t="s">
        <v>31</v>
      </c>
      <c r="Z72">
        <v>113.55800000000001</v>
      </c>
      <c r="AA72">
        <v>-1000000</v>
      </c>
      <c r="AB72" s="3" t="s">
        <v>9</v>
      </c>
      <c r="AC72" s="3" t="s">
        <v>10</v>
      </c>
      <c r="AD72">
        <v>-1152793</v>
      </c>
      <c r="AE72">
        <v>1152793</v>
      </c>
      <c r="AF72" s="3" t="s">
        <v>640</v>
      </c>
    </row>
    <row r="73" spans="1:32" x14ac:dyDescent="0.35">
      <c r="A73" s="3" t="s">
        <v>608</v>
      </c>
      <c r="B73" s="3" t="s">
        <v>608</v>
      </c>
      <c r="C73" s="3" t="s">
        <v>608</v>
      </c>
      <c r="D73" s="3" t="s">
        <v>608</v>
      </c>
      <c r="E73" s="3" t="s">
        <v>608</v>
      </c>
      <c r="F73" s="3" t="s">
        <v>141</v>
      </c>
      <c r="G73" s="3" t="s">
        <v>141</v>
      </c>
      <c r="H73" s="3" t="s">
        <v>142</v>
      </c>
      <c r="I73" s="3" t="s">
        <v>140</v>
      </c>
      <c r="J73" s="3" t="s">
        <v>4</v>
      </c>
      <c r="K73" s="3" t="s">
        <v>699</v>
      </c>
      <c r="L73" s="3" t="s">
        <v>30</v>
      </c>
      <c r="M73" s="3" t="s">
        <v>14</v>
      </c>
      <c r="N73">
        <v>1000000</v>
      </c>
      <c r="O73">
        <v>105.523</v>
      </c>
      <c r="P73">
        <v>42</v>
      </c>
      <c r="Q73">
        <v>0</v>
      </c>
      <c r="R73">
        <v>41</v>
      </c>
      <c r="S73" s="3" t="s">
        <v>7</v>
      </c>
      <c r="T73">
        <v>356</v>
      </c>
      <c r="U73">
        <v>359</v>
      </c>
      <c r="V73">
        <v>151</v>
      </c>
      <c r="W73">
        <v>0.49</v>
      </c>
      <c r="X73">
        <v>1055230</v>
      </c>
      <c r="Y73" s="3" t="s">
        <v>31</v>
      </c>
      <c r="Z73">
        <v>105.523</v>
      </c>
      <c r="AA73">
        <v>1000000</v>
      </c>
      <c r="AB73" s="3" t="s">
        <v>9</v>
      </c>
      <c r="AC73" s="3" t="s">
        <v>10</v>
      </c>
      <c r="AD73">
        <v>1063819</v>
      </c>
      <c r="AE73">
        <v>1063819</v>
      </c>
      <c r="AF73" s="3" t="s">
        <v>640</v>
      </c>
    </row>
    <row r="74" spans="1:32" x14ac:dyDescent="0.35">
      <c r="A74" s="3" t="s">
        <v>608</v>
      </c>
      <c r="B74" s="3" t="s">
        <v>608</v>
      </c>
      <c r="C74" s="3" t="s">
        <v>608</v>
      </c>
      <c r="D74" s="3" t="s">
        <v>608</v>
      </c>
      <c r="E74" s="3" t="s">
        <v>608</v>
      </c>
      <c r="F74" s="3" t="s">
        <v>954</v>
      </c>
      <c r="G74" s="3" t="s">
        <v>954</v>
      </c>
      <c r="H74" s="3" t="s">
        <v>955</v>
      </c>
      <c r="I74" s="3" t="s">
        <v>364</v>
      </c>
      <c r="J74" s="3" t="s">
        <v>4</v>
      </c>
      <c r="K74" s="3" t="s">
        <v>640</v>
      </c>
      <c r="L74" s="3" t="s">
        <v>30</v>
      </c>
      <c r="M74" s="3" t="s">
        <v>14</v>
      </c>
      <c r="N74">
        <v>0</v>
      </c>
      <c r="O74">
        <v>100.627</v>
      </c>
      <c r="P74">
        <v>38</v>
      </c>
      <c r="Q74">
        <v>1770</v>
      </c>
      <c r="R74">
        <v>0</v>
      </c>
      <c r="S74" s="3" t="s">
        <v>7</v>
      </c>
      <c r="T74">
        <v>0</v>
      </c>
      <c r="U74">
        <v>0</v>
      </c>
      <c r="V74">
        <v>0</v>
      </c>
      <c r="W74">
        <v>0</v>
      </c>
      <c r="X74">
        <v>0</v>
      </c>
      <c r="Y74" s="3" t="s">
        <v>31</v>
      </c>
      <c r="Z74">
        <v>99.741</v>
      </c>
      <c r="AA74">
        <v>0</v>
      </c>
      <c r="AB74" s="3" t="s">
        <v>9</v>
      </c>
      <c r="AC74" s="3" t="s">
        <v>10</v>
      </c>
      <c r="AD74">
        <v>0</v>
      </c>
      <c r="AE74">
        <v>0</v>
      </c>
      <c r="AF74" s="3" t="s">
        <v>640</v>
      </c>
    </row>
    <row r="75" spans="1:32" x14ac:dyDescent="0.35">
      <c r="A75" s="3" t="s">
        <v>608</v>
      </c>
      <c r="B75" s="3" t="s">
        <v>608</v>
      </c>
      <c r="C75" s="3" t="s">
        <v>608</v>
      </c>
      <c r="D75" s="3" t="s">
        <v>608</v>
      </c>
      <c r="E75" s="3" t="s">
        <v>608</v>
      </c>
      <c r="F75" s="3" t="s">
        <v>968</v>
      </c>
      <c r="G75" s="3" t="s">
        <v>968</v>
      </c>
      <c r="H75" s="3" t="s">
        <v>969</v>
      </c>
      <c r="I75" s="3" t="s">
        <v>364</v>
      </c>
      <c r="J75" s="3" t="s">
        <v>4</v>
      </c>
      <c r="K75" s="3" t="s">
        <v>640</v>
      </c>
      <c r="L75" s="3" t="s">
        <v>30</v>
      </c>
      <c r="M75" s="3" t="s">
        <v>14</v>
      </c>
      <c r="N75">
        <v>-1400000</v>
      </c>
      <c r="O75">
        <v>104.7</v>
      </c>
      <c r="P75">
        <v>38</v>
      </c>
      <c r="Q75">
        <v>0</v>
      </c>
      <c r="R75">
        <v>0</v>
      </c>
      <c r="S75" s="3" t="s">
        <v>7</v>
      </c>
      <c r="T75">
        <v>-534</v>
      </c>
      <c r="U75">
        <v>-539</v>
      </c>
      <c r="V75">
        <v>-204</v>
      </c>
      <c r="W75">
        <v>-0.66</v>
      </c>
      <c r="X75">
        <v>-1465800</v>
      </c>
      <c r="Y75" s="3" t="s">
        <v>640</v>
      </c>
      <c r="Z75">
        <v>0</v>
      </c>
      <c r="AA75">
        <v>0</v>
      </c>
      <c r="AB75" s="3" t="s">
        <v>9</v>
      </c>
      <c r="AC75" s="3" t="s">
        <v>10</v>
      </c>
      <c r="AD75">
        <v>-1470676</v>
      </c>
      <c r="AE75">
        <v>1470676</v>
      </c>
      <c r="AF75" s="3" t="s">
        <v>640</v>
      </c>
    </row>
    <row r="76" spans="1:32" x14ac:dyDescent="0.35">
      <c r="A76" s="3" t="s">
        <v>608</v>
      </c>
      <c r="B76" s="3" t="s">
        <v>608</v>
      </c>
      <c r="C76" s="3" t="s">
        <v>608</v>
      </c>
      <c r="D76" s="3" t="s">
        <v>608</v>
      </c>
      <c r="E76" s="3" t="s">
        <v>608</v>
      </c>
      <c r="F76" s="3" t="s">
        <v>984</v>
      </c>
      <c r="G76" s="3" t="s">
        <v>984</v>
      </c>
      <c r="H76" s="3" t="s">
        <v>985</v>
      </c>
      <c r="I76" s="3" t="s">
        <v>986</v>
      </c>
      <c r="J76" s="3" t="s">
        <v>4</v>
      </c>
      <c r="K76" s="3" t="s">
        <v>640</v>
      </c>
      <c r="L76" s="3" t="s">
        <v>30</v>
      </c>
      <c r="M76" s="3" t="s">
        <v>14</v>
      </c>
      <c r="N76">
        <v>0</v>
      </c>
      <c r="O76">
        <v>101.032</v>
      </c>
      <c r="P76">
        <v>51</v>
      </c>
      <c r="Q76">
        <v>2624</v>
      </c>
      <c r="R76">
        <v>0</v>
      </c>
      <c r="S76" s="3" t="s">
        <v>7</v>
      </c>
      <c r="T76">
        <v>0</v>
      </c>
      <c r="U76">
        <v>0</v>
      </c>
      <c r="V76">
        <v>0</v>
      </c>
      <c r="W76">
        <v>0</v>
      </c>
      <c r="X76">
        <v>0</v>
      </c>
      <c r="Y76" s="3" t="s">
        <v>640</v>
      </c>
      <c r="Z76">
        <v>100.02</v>
      </c>
      <c r="AA76">
        <v>0</v>
      </c>
      <c r="AB76" s="3" t="s">
        <v>9</v>
      </c>
      <c r="AC76" s="3" t="s">
        <v>10</v>
      </c>
      <c r="AD76">
        <v>0</v>
      </c>
      <c r="AE76">
        <v>0</v>
      </c>
      <c r="AF76" s="3" t="s">
        <v>640</v>
      </c>
    </row>
    <row r="77" spans="1:32" x14ac:dyDescent="0.35">
      <c r="A77" s="3" t="s">
        <v>608</v>
      </c>
      <c r="B77" s="3" t="s">
        <v>608</v>
      </c>
      <c r="C77" s="3" t="s">
        <v>608</v>
      </c>
      <c r="D77" s="3" t="s">
        <v>608</v>
      </c>
      <c r="E77" s="3" t="s">
        <v>608</v>
      </c>
      <c r="F77" s="3" t="s">
        <v>143</v>
      </c>
      <c r="G77" s="3" t="s">
        <v>143</v>
      </c>
      <c r="H77" s="3" t="s">
        <v>144</v>
      </c>
      <c r="I77" s="3" t="s">
        <v>145</v>
      </c>
      <c r="J77" s="3" t="s">
        <v>4</v>
      </c>
      <c r="K77" s="3" t="s">
        <v>700</v>
      </c>
      <c r="L77" s="3" t="s">
        <v>30</v>
      </c>
      <c r="M77" s="3" t="s">
        <v>14</v>
      </c>
      <c r="N77">
        <v>-3000000</v>
      </c>
      <c r="O77">
        <v>115.453</v>
      </c>
      <c r="P77">
        <v>71</v>
      </c>
      <c r="Q77">
        <v>0</v>
      </c>
      <c r="R77">
        <v>-154</v>
      </c>
      <c r="S77" s="3" t="s">
        <v>7</v>
      </c>
      <c r="T77">
        <v>-3610</v>
      </c>
      <c r="U77">
        <v>-3654</v>
      </c>
      <c r="V77">
        <v>-2593</v>
      </c>
      <c r="W77">
        <v>-8.3699999999999992</v>
      </c>
      <c r="X77">
        <v>-3463590</v>
      </c>
      <c r="Y77" s="3" t="s">
        <v>31</v>
      </c>
      <c r="Z77">
        <v>115.453</v>
      </c>
      <c r="AA77">
        <v>-3000000</v>
      </c>
      <c r="AB77" s="3" t="s">
        <v>9</v>
      </c>
      <c r="AC77" s="3" t="s">
        <v>10</v>
      </c>
      <c r="AD77">
        <v>-3496107</v>
      </c>
      <c r="AE77">
        <v>3496107</v>
      </c>
      <c r="AF77" s="3" t="s">
        <v>640</v>
      </c>
    </row>
    <row r="78" spans="1:32" x14ac:dyDescent="0.35">
      <c r="A78" s="3" t="s">
        <v>608</v>
      </c>
      <c r="B78" s="3" t="s">
        <v>608</v>
      </c>
      <c r="C78" s="3" t="s">
        <v>608</v>
      </c>
      <c r="D78" s="3" t="s">
        <v>608</v>
      </c>
      <c r="E78" s="3" t="s">
        <v>608</v>
      </c>
      <c r="F78" s="3" t="s">
        <v>146</v>
      </c>
      <c r="G78" s="3" t="s">
        <v>146</v>
      </c>
      <c r="H78" s="3" t="s">
        <v>147</v>
      </c>
      <c r="I78" s="3" t="s">
        <v>145</v>
      </c>
      <c r="J78" s="3" t="s">
        <v>4</v>
      </c>
      <c r="K78" s="3" t="s">
        <v>701</v>
      </c>
      <c r="L78" s="3" t="s">
        <v>30</v>
      </c>
      <c r="M78" s="3" t="s">
        <v>14</v>
      </c>
      <c r="N78">
        <v>-1535000</v>
      </c>
      <c r="O78">
        <v>108.858</v>
      </c>
      <c r="P78">
        <v>46</v>
      </c>
      <c r="Q78">
        <v>0</v>
      </c>
      <c r="R78">
        <v>-53</v>
      </c>
      <c r="S78" s="3" t="s">
        <v>7</v>
      </c>
      <c r="T78">
        <v>-1208</v>
      </c>
      <c r="U78">
        <v>-1221</v>
      </c>
      <c r="V78">
        <v>-561</v>
      </c>
      <c r="W78">
        <v>-1.81</v>
      </c>
      <c r="X78">
        <v>-1670970</v>
      </c>
      <c r="Y78" s="3" t="s">
        <v>31</v>
      </c>
      <c r="Z78">
        <v>108.858</v>
      </c>
      <c r="AA78">
        <v>-1535000</v>
      </c>
      <c r="AB78" s="3" t="s">
        <v>9</v>
      </c>
      <c r="AC78" s="3" t="s">
        <v>10</v>
      </c>
      <c r="AD78">
        <v>-1680222</v>
      </c>
      <c r="AE78">
        <v>1680222</v>
      </c>
      <c r="AF78" s="3" t="s">
        <v>640</v>
      </c>
    </row>
    <row r="79" spans="1:32" x14ac:dyDescent="0.35">
      <c r="A79" s="3" t="s">
        <v>608</v>
      </c>
      <c r="B79" s="3" t="s">
        <v>608</v>
      </c>
      <c r="C79" s="3" t="s">
        <v>608</v>
      </c>
      <c r="D79" s="3" t="s">
        <v>608</v>
      </c>
      <c r="E79" s="3" t="s">
        <v>608</v>
      </c>
      <c r="F79" s="3" t="s">
        <v>148</v>
      </c>
      <c r="G79" s="3" t="s">
        <v>148</v>
      </c>
      <c r="H79" s="3" t="s">
        <v>149</v>
      </c>
      <c r="I79" s="3" t="s">
        <v>145</v>
      </c>
      <c r="J79" s="3" t="s">
        <v>4</v>
      </c>
      <c r="K79" s="3" t="s">
        <v>702</v>
      </c>
      <c r="L79" s="3" t="s">
        <v>30</v>
      </c>
      <c r="M79" s="3" t="s">
        <v>14</v>
      </c>
      <c r="N79">
        <v>3000000</v>
      </c>
      <c r="O79">
        <v>114.54900000000001</v>
      </c>
      <c r="P79">
        <v>29</v>
      </c>
      <c r="Q79">
        <v>0</v>
      </c>
      <c r="R79">
        <v>205</v>
      </c>
      <c r="S79" s="3" t="s">
        <v>7</v>
      </c>
      <c r="T79">
        <v>1765</v>
      </c>
      <c r="U79">
        <v>1782</v>
      </c>
      <c r="V79">
        <v>512</v>
      </c>
      <c r="W79">
        <v>1.65</v>
      </c>
      <c r="X79">
        <v>3436470</v>
      </c>
      <c r="Y79" s="3" t="s">
        <v>31</v>
      </c>
      <c r="Z79">
        <v>114.54900000000001</v>
      </c>
      <c r="AA79">
        <v>3000000</v>
      </c>
      <c r="AB79" s="3" t="s">
        <v>9</v>
      </c>
      <c r="AC79" s="3" t="s">
        <v>10</v>
      </c>
      <c r="AD79">
        <v>3482703</v>
      </c>
      <c r="AE79">
        <v>3482703</v>
      </c>
      <c r="AF79" s="3" t="s">
        <v>640</v>
      </c>
    </row>
    <row r="80" spans="1:32" x14ac:dyDescent="0.35">
      <c r="A80" s="3" t="s">
        <v>608</v>
      </c>
      <c r="B80" s="3" t="s">
        <v>608</v>
      </c>
      <c r="C80" s="3" t="s">
        <v>608</v>
      </c>
      <c r="D80" s="3" t="s">
        <v>608</v>
      </c>
      <c r="E80" s="3" t="s">
        <v>608</v>
      </c>
      <c r="F80" s="3" t="s">
        <v>150</v>
      </c>
      <c r="G80" s="3" t="s">
        <v>150</v>
      </c>
      <c r="H80" s="3" t="s">
        <v>151</v>
      </c>
      <c r="I80" s="3" t="s">
        <v>145</v>
      </c>
      <c r="J80" s="3" t="s">
        <v>4</v>
      </c>
      <c r="K80" s="3" t="s">
        <v>703</v>
      </c>
      <c r="L80" s="3" t="s">
        <v>30</v>
      </c>
      <c r="M80" s="3" t="s">
        <v>14</v>
      </c>
      <c r="N80">
        <v>0</v>
      </c>
      <c r="O80">
        <v>102.605</v>
      </c>
      <c r="P80">
        <v>29</v>
      </c>
      <c r="Q80">
        <v>0</v>
      </c>
      <c r="R80">
        <v>0</v>
      </c>
      <c r="S80" s="3" t="s">
        <v>7</v>
      </c>
      <c r="T80">
        <v>0</v>
      </c>
      <c r="U80">
        <v>0</v>
      </c>
      <c r="V80">
        <v>0</v>
      </c>
      <c r="W80">
        <v>0</v>
      </c>
      <c r="X80">
        <v>0</v>
      </c>
      <c r="Y80" s="3" t="s">
        <v>31</v>
      </c>
      <c r="Z80">
        <v>102.605</v>
      </c>
      <c r="AA80">
        <v>0</v>
      </c>
      <c r="AB80" s="3" t="s">
        <v>9</v>
      </c>
      <c r="AC80" s="3" t="s">
        <v>10</v>
      </c>
      <c r="AD80">
        <v>0</v>
      </c>
      <c r="AE80">
        <v>0</v>
      </c>
      <c r="AF80" s="3" t="s">
        <v>640</v>
      </c>
    </row>
    <row r="81" spans="1:32" x14ac:dyDescent="0.35">
      <c r="A81" s="3" t="s">
        <v>608</v>
      </c>
      <c r="B81" s="3" t="s">
        <v>608</v>
      </c>
      <c r="C81" s="3" t="s">
        <v>608</v>
      </c>
      <c r="D81" s="3" t="s">
        <v>608</v>
      </c>
      <c r="E81" s="3" t="s">
        <v>608</v>
      </c>
      <c r="F81" s="3" t="s">
        <v>888</v>
      </c>
      <c r="G81" s="3" t="s">
        <v>888</v>
      </c>
      <c r="H81" s="3" t="s">
        <v>889</v>
      </c>
      <c r="I81" s="3" t="s">
        <v>890</v>
      </c>
      <c r="J81" s="3" t="s">
        <v>4</v>
      </c>
      <c r="K81" s="3" t="s">
        <v>770</v>
      </c>
      <c r="L81" s="3" t="s">
        <v>30</v>
      </c>
      <c r="M81" s="3" t="s">
        <v>14</v>
      </c>
      <c r="N81">
        <v>-1000000</v>
      </c>
      <c r="O81">
        <v>105.78</v>
      </c>
      <c r="P81">
        <v>109</v>
      </c>
      <c r="Q81">
        <v>0</v>
      </c>
      <c r="R81">
        <v>-51</v>
      </c>
      <c r="S81" s="3" t="s">
        <v>7</v>
      </c>
      <c r="T81">
        <v>-465</v>
      </c>
      <c r="U81">
        <v>-469</v>
      </c>
      <c r="V81">
        <v>-510</v>
      </c>
      <c r="W81">
        <v>-1.64</v>
      </c>
      <c r="X81">
        <v>-1057800</v>
      </c>
      <c r="Y81" s="3" t="s">
        <v>31</v>
      </c>
      <c r="Z81">
        <v>105.78</v>
      </c>
      <c r="AA81">
        <v>-1000000</v>
      </c>
      <c r="AB81" s="3" t="s">
        <v>9</v>
      </c>
      <c r="AC81" s="3" t="s">
        <v>10</v>
      </c>
      <c r="AD81">
        <v>-1066019</v>
      </c>
      <c r="AE81">
        <v>1066019</v>
      </c>
      <c r="AF81" s="3" t="s">
        <v>640</v>
      </c>
    </row>
    <row r="82" spans="1:32" x14ac:dyDescent="0.35">
      <c r="A82" s="3" t="s">
        <v>608</v>
      </c>
      <c r="B82" s="3" t="s">
        <v>608</v>
      </c>
      <c r="C82" s="3" t="s">
        <v>608</v>
      </c>
      <c r="D82" s="3" t="s">
        <v>608</v>
      </c>
      <c r="E82" s="3" t="s">
        <v>608</v>
      </c>
      <c r="F82" s="3" t="s">
        <v>153</v>
      </c>
      <c r="G82" s="3" t="s">
        <v>153</v>
      </c>
      <c r="H82" s="3" t="s">
        <v>154</v>
      </c>
      <c r="I82" s="3" t="s">
        <v>152</v>
      </c>
      <c r="J82" s="3" t="s">
        <v>4</v>
      </c>
      <c r="K82" s="3" t="s">
        <v>704</v>
      </c>
      <c r="L82" s="3" t="s">
        <v>30</v>
      </c>
      <c r="M82" s="3" t="s">
        <v>14</v>
      </c>
      <c r="N82">
        <v>2400000</v>
      </c>
      <c r="O82">
        <v>100.33199999999999</v>
      </c>
      <c r="P82">
        <v>56</v>
      </c>
      <c r="Q82">
        <v>0</v>
      </c>
      <c r="R82">
        <v>8</v>
      </c>
      <c r="S82" s="3" t="s">
        <v>7</v>
      </c>
      <c r="T82">
        <v>941</v>
      </c>
      <c r="U82">
        <v>951</v>
      </c>
      <c r="V82">
        <v>531</v>
      </c>
      <c r="W82">
        <v>1.71</v>
      </c>
      <c r="X82">
        <v>2407968</v>
      </c>
      <c r="Y82" s="3" t="s">
        <v>31</v>
      </c>
      <c r="Z82">
        <v>100.33199999999999</v>
      </c>
      <c r="AA82">
        <v>2400000</v>
      </c>
      <c r="AB82" s="3" t="s">
        <v>9</v>
      </c>
      <c r="AC82" s="3" t="s">
        <v>10</v>
      </c>
      <c r="AD82">
        <v>2408215</v>
      </c>
      <c r="AE82">
        <v>2408215</v>
      </c>
      <c r="AF82" s="3" t="s">
        <v>640</v>
      </c>
    </row>
    <row r="83" spans="1:32" x14ac:dyDescent="0.35">
      <c r="A83" s="3" t="s">
        <v>608</v>
      </c>
      <c r="B83" s="3" t="s">
        <v>608</v>
      </c>
      <c r="C83" s="3" t="s">
        <v>608</v>
      </c>
      <c r="D83" s="3" t="s">
        <v>608</v>
      </c>
      <c r="E83" s="3" t="s">
        <v>608</v>
      </c>
      <c r="F83" s="3" t="s">
        <v>155</v>
      </c>
      <c r="G83" s="3" t="s">
        <v>155</v>
      </c>
      <c r="H83" s="3" t="s">
        <v>156</v>
      </c>
      <c r="I83" s="3" t="s">
        <v>157</v>
      </c>
      <c r="J83" s="3" t="s">
        <v>4</v>
      </c>
      <c r="K83" s="3" t="s">
        <v>705</v>
      </c>
      <c r="L83" s="3" t="s">
        <v>30</v>
      </c>
      <c r="M83" s="3" t="s">
        <v>14</v>
      </c>
      <c r="N83">
        <v>5000000</v>
      </c>
      <c r="O83">
        <v>106.749</v>
      </c>
      <c r="P83">
        <v>33</v>
      </c>
      <c r="Q83">
        <v>0</v>
      </c>
      <c r="R83">
        <v>137</v>
      </c>
      <c r="S83" s="3" t="s">
        <v>7</v>
      </c>
      <c r="T83">
        <v>3108</v>
      </c>
      <c r="U83">
        <v>3139</v>
      </c>
      <c r="V83">
        <v>1023</v>
      </c>
      <c r="W83">
        <v>3.3</v>
      </c>
      <c r="X83">
        <v>5337450</v>
      </c>
      <c r="Y83" s="3" t="s">
        <v>31</v>
      </c>
      <c r="Z83">
        <v>106.749</v>
      </c>
      <c r="AA83">
        <v>5000000</v>
      </c>
      <c r="AB83" s="3" t="s">
        <v>9</v>
      </c>
      <c r="AC83" s="3" t="s">
        <v>10</v>
      </c>
      <c r="AD83">
        <v>5339642</v>
      </c>
      <c r="AE83">
        <v>5339642</v>
      </c>
      <c r="AF83" s="3" t="s">
        <v>640</v>
      </c>
    </row>
    <row r="84" spans="1:32" x14ac:dyDescent="0.35">
      <c r="A84" s="3" t="s">
        <v>608</v>
      </c>
      <c r="B84" s="3" t="s">
        <v>608</v>
      </c>
      <c r="C84" s="3" t="s">
        <v>608</v>
      </c>
      <c r="D84" s="3" t="s">
        <v>608</v>
      </c>
      <c r="E84" s="3" t="s">
        <v>608</v>
      </c>
      <c r="F84" s="3" t="s">
        <v>158</v>
      </c>
      <c r="G84" s="3" t="s">
        <v>158</v>
      </c>
      <c r="H84" s="3" t="s">
        <v>159</v>
      </c>
      <c r="I84" s="3" t="s">
        <v>157</v>
      </c>
      <c r="J84" s="3" t="s">
        <v>4</v>
      </c>
      <c r="K84" s="3" t="s">
        <v>706</v>
      </c>
      <c r="L84" s="3" t="s">
        <v>30</v>
      </c>
      <c r="M84" s="3" t="s">
        <v>14</v>
      </c>
      <c r="N84">
        <v>2600000</v>
      </c>
      <c r="O84">
        <v>107.071</v>
      </c>
      <c r="P84">
        <v>35</v>
      </c>
      <c r="Q84">
        <v>0</v>
      </c>
      <c r="R84">
        <v>116</v>
      </c>
      <c r="S84" s="3" t="s">
        <v>7</v>
      </c>
      <c r="T84">
        <v>1070</v>
      </c>
      <c r="U84">
        <v>1080</v>
      </c>
      <c r="V84">
        <v>377</v>
      </c>
      <c r="W84">
        <v>1.22</v>
      </c>
      <c r="X84">
        <v>2783846</v>
      </c>
      <c r="Y84" s="3" t="s">
        <v>31</v>
      </c>
      <c r="Z84">
        <v>107.071</v>
      </c>
      <c r="AA84">
        <v>2600000</v>
      </c>
      <c r="AB84" s="3" t="s">
        <v>9</v>
      </c>
      <c r="AC84" s="3" t="s">
        <v>10</v>
      </c>
      <c r="AD84">
        <v>2786971</v>
      </c>
      <c r="AE84">
        <v>2786971</v>
      </c>
      <c r="AF84" s="3" t="s">
        <v>640</v>
      </c>
    </row>
    <row r="85" spans="1:32" x14ac:dyDescent="0.35">
      <c r="A85" s="3" t="s">
        <v>608</v>
      </c>
      <c r="B85" s="3" t="s">
        <v>608</v>
      </c>
      <c r="C85" s="3" t="s">
        <v>608</v>
      </c>
      <c r="D85" s="3" t="s">
        <v>608</v>
      </c>
      <c r="E85" s="3" t="s">
        <v>608</v>
      </c>
      <c r="F85" s="3" t="s">
        <v>160</v>
      </c>
      <c r="G85" s="3" t="s">
        <v>160</v>
      </c>
      <c r="H85" s="3" t="s">
        <v>161</v>
      </c>
      <c r="I85" s="3" t="s">
        <v>162</v>
      </c>
      <c r="J85" s="3" t="s">
        <v>4</v>
      </c>
      <c r="K85" s="3" t="s">
        <v>707</v>
      </c>
      <c r="L85" s="3" t="s">
        <v>30</v>
      </c>
      <c r="M85" s="3" t="s">
        <v>14</v>
      </c>
      <c r="N85">
        <v>-2600000</v>
      </c>
      <c r="O85">
        <v>105.711</v>
      </c>
      <c r="P85">
        <v>160</v>
      </c>
      <c r="Q85">
        <v>0</v>
      </c>
      <c r="R85">
        <v>-142</v>
      </c>
      <c r="S85" s="3" t="s">
        <v>7</v>
      </c>
      <c r="T85">
        <v>-1953</v>
      </c>
      <c r="U85">
        <v>-1975</v>
      </c>
      <c r="V85">
        <v>-3163</v>
      </c>
      <c r="W85">
        <v>-10.199999999999999</v>
      </c>
      <c r="X85">
        <v>-2748486</v>
      </c>
      <c r="Y85" s="3" t="s">
        <v>31</v>
      </c>
      <c r="Z85">
        <v>105.711</v>
      </c>
      <c r="AA85">
        <v>-2600000</v>
      </c>
      <c r="AB85" s="3" t="s">
        <v>9</v>
      </c>
      <c r="AC85" s="3" t="s">
        <v>10</v>
      </c>
      <c r="AD85">
        <v>-2766294</v>
      </c>
      <c r="AE85">
        <v>2766294</v>
      </c>
      <c r="AF85" s="3" t="s">
        <v>640</v>
      </c>
    </row>
    <row r="86" spans="1:32" x14ac:dyDescent="0.35">
      <c r="A86" s="3" t="s">
        <v>608</v>
      </c>
      <c r="B86" s="3" t="s">
        <v>608</v>
      </c>
      <c r="C86" s="3" t="s">
        <v>608</v>
      </c>
      <c r="D86" s="3" t="s">
        <v>608</v>
      </c>
      <c r="E86" s="3" t="s">
        <v>608</v>
      </c>
      <c r="F86" s="3" t="s">
        <v>604</v>
      </c>
      <c r="G86" s="3" t="s">
        <v>604</v>
      </c>
      <c r="H86" s="3" t="s">
        <v>605</v>
      </c>
      <c r="I86" s="3" t="s">
        <v>165</v>
      </c>
      <c r="J86" s="3" t="s">
        <v>4</v>
      </c>
      <c r="K86" s="3" t="s">
        <v>863</v>
      </c>
      <c r="L86" s="3" t="s">
        <v>30</v>
      </c>
      <c r="M86" s="3" t="s">
        <v>14</v>
      </c>
      <c r="N86">
        <v>2200000</v>
      </c>
      <c r="O86">
        <v>100.60599999999999</v>
      </c>
      <c r="P86">
        <v>68</v>
      </c>
      <c r="Q86">
        <v>0</v>
      </c>
      <c r="R86">
        <v>32</v>
      </c>
      <c r="S86" s="3" t="s">
        <v>7</v>
      </c>
      <c r="T86">
        <v>2352</v>
      </c>
      <c r="U86">
        <v>2381</v>
      </c>
      <c r="V86">
        <v>1619</v>
      </c>
      <c r="W86">
        <v>5.22</v>
      </c>
      <c r="X86">
        <v>2213332</v>
      </c>
      <c r="Y86" s="3" t="s">
        <v>31</v>
      </c>
      <c r="Z86">
        <v>100.60599999999999</v>
      </c>
      <c r="AA86">
        <v>2200000</v>
      </c>
      <c r="AB86" s="3" t="s">
        <v>9</v>
      </c>
      <c r="AC86" s="3" t="s">
        <v>10</v>
      </c>
      <c r="AD86">
        <v>2213965</v>
      </c>
      <c r="AE86">
        <v>2213965</v>
      </c>
      <c r="AF86" s="3" t="s">
        <v>640</v>
      </c>
    </row>
    <row r="87" spans="1:32" x14ac:dyDescent="0.35">
      <c r="A87" s="3" t="s">
        <v>608</v>
      </c>
      <c r="B87" s="3" t="s">
        <v>608</v>
      </c>
      <c r="C87" s="3" t="s">
        <v>608</v>
      </c>
      <c r="D87" s="3" t="s">
        <v>608</v>
      </c>
      <c r="E87" s="3" t="s">
        <v>608</v>
      </c>
      <c r="F87" s="3" t="s">
        <v>163</v>
      </c>
      <c r="G87" s="3" t="s">
        <v>163</v>
      </c>
      <c r="H87" s="3" t="s">
        <v>164</v>
      </c>
      <c r="I87" s="3" t="s">
        <v>165</v>
      </c>
      <c r="J87" s="3" t="s">
        <v>4</v>
      </c>
      <c r="K87" s="3" t="s">
        <v>708</v>
      </c>
      <c r="L87" s="3" t="s">
        <v>30</v>
      </c>
      <c r="M87" s="3" t="s">
        <v>14</v>
      </c>
      <c r="N87">
        <v>4000000</v>
      </c>
      <c r="O87">
        <v>109.991</v>
      </c>
      <c r="P87">
        <v>65</v>
      </c>
      <c r="Q87">
        <v>0</v>
      </c>
      <c r="R87">
        <v>164</v>
      </c>
      <c r="S87" s="3" t="s">
        <v>7</v>
      </c>
      <c r="T87">
        <v>3505</v>
      </c>
      <c r="U87">
        <v>3544</v>
      </c>
      <c r="V87">
        <v>2302</v>
      </c>
      <c r="W87">
        <v>7.43</v>
      </c>
      <c r="X87">
        <v>4399640</v>
      </c>
      <c r="Y87" s="3" t="s">
        <v>31</v>
      </c>
      <c r="Z87">
        <v>109.991</v>
      </c>
      <c r="AA87">
        <v>4000000</v>
      </c>
      <c r="AB87" s="3" t="s">
        <v>9</v>
      </c>
      <c r="AC87" s="3" t="s">
        <v>10</v>
      </c>
      <c r="AD87">
        <v>4434982</v>
      </c>
      <c r="AE87">
        <v>4434982</v>
      </c>
      <c r="AF87" s="3" t="s">
        <v>640</v>
      </c>
    </row>
    <row r="88" spans="1:32" x14ac:dyDescent="0.35">
      <c r="A88" s="3" t="s">
        <v>608</v>
      </c>
      <c r="B88" s="3" t="s">
        <v>608</v>
      </c>
      <c r="C88" s="3" t="s">
        <v>608</v>
      </c>
      <c r="D88" s="3" t="s">
        <v>608</v>
      </c>
      <c r="E88" s="3" t="s">
        <v>608</v>
      </c>
      <c r="F88" s="3" t="s">
        <v>166</v>
      </c>
      <c r="G88" s="3" t="s">
        <v>166</v>
      </c>
      <c r="H88" s="3" t="s">
        <v>167</v>
      </c>
      <c r="I88" s="3" t="s">
        <v>165</v>
      </c>
      <c r="J88" s="3" t="s">
        <v>4</v>
      </c>
      <c r="K88" s="3" t="s">
        <v>709</v>
      </c>
      <c r="L88" s="3" t="s">
        <v>30</v>
      </c>
      <c r="M88" s="3" t="s">
        <v>14</v>
      </c>
      <c r="N88">
        <v>-2000000</v>
      </c>
      <c r="O88">
        <v>108.181</v>
      </c>
      <c r="P88">
        <v>55</v>
      </c>
      <c r="Q88">
        <v>0</v>
      </c>
      <c r="R88">
        <v>-96</v>
      </c>
      <c r="S88" s="3" t="s">
        <v>7</v>
      </c>
      <c r="T88">
        <v>-1016</v>
      </c>
      <c r="U88">
        <v>-1026</v>
      </c>
      <c r="V88">
        <v>-565</v>
      </c>
      <c r="W88">
        <v>-1.82</v>
      </c>
      <c r="X88">
        <v>-2163620</v>
      </c>
      <c r="Y88" s="3" t="s">
        <v>31</v>
      </c>
      <c r="Z88">
        <v>108.181</v>
      </c>
      <c r="AA88">
        <v>-2000000</v>
      </c>
      <c r="AB88" s="3" t="s">
        <v>9</v>
      </c>
      <c r="AC88" s="3" t="s">
        <v>10</v>
      </c>
      <c r="AD88">
        <v>-2168894</v>
      </c>
      <c r="AE88">
        <v>2168894</v>
      </c>
      <c r="AF88" s="3" t="s">
        <v>640</v>
      </c>
    </row>
    <row r="89" spans="1:32" x14ac:dyDescent="0.35">
      <c r="A89" s="3" t="s">
        <v>608</v>
      </c>
      <c r="B89" s="3" t="s">
        <v>608</v>
      </c>
      <c r="C89" s="3" t="s">
        <v>608</v>
      </c>
      <c r="D89" s="3" t="s">
        <v>608</v>
      </c>
      <c r="E89" s="3" t="s">
        <v>608</v>
      </c>
      <c r="F89" s="3" t="s">
        <v>168</v>
      </c>
      <c r="G89" s="3" t="s">
        <v>168</v>
      </c>
      <c r="H89" s="3" t="s">
        <v>169</v>
      </c>
      <c r="I89" s="3" t="s">
        <v>165</v>
      </c>
      <c r="J89" s="3" t="s">
        <v>4</v>
      </c>
      <c r="K89" s="3" t="s">
        <v>710</v>
      </c>
      <c r="L89" s="3" t="s">
        <v>30</v>
      </c>
      <c r="M89" s="3" t="s">
        <v>14</v>
      </c>
      <c r="N89">
        <v>-6800000</v>
      </c>
      <c r="O89">
        <v>104.256</v>
      </c>
      <c r="P89">
        <v>54</v>
      </c>
      <c r="Q89">
        <v>0</v>
      </c>
      <c r="R89">
        <v>-186</v>
      </c>
      <c r="S89" s="3" t="s">
        <v>7</v>
      </c>
      <c r="T89">
        <v>-3074</v>
      </c>
      <c r="U89">
        <v>-3104</v>
      </c>
      <c r="V89">
        <v>-1668</v>
      </c>
      <c r="W89">
        <v>-5.38</v>
      </c>
      <c r="X89">
        <v>-7089408</v>
      </c>
      <c r="Y89" s="3" t="s">
        <v>31</v>
      </c>
      <c r="Z89">
        <v>104.256</v>
      </c>
      <c r="AA89">
        <v>-6800000</v>
      </c>
      <c r="AB89" s="3" t="s">
        <v>9</v>
      </c>
      <c r="AC89" s="3" t="s">
        <v>10</v>
      </c>
      <c r="AD89">
        <v>-7129463</v>
      </c>
      <c r="AE89">
        <v>7129463</v>
      </c>
      <c r="AF89" s="3" t="s">
        <v>640</v>
      </c>
    </row>
    <row r="90" spans="1:32" x14ac:dyDescent="0.35">
      <c r="A90" s="3" t="s">
        <v>608</v>
      </c>
      <c r="B90" s="3" t="s">
        <v>608</v>
      </c>
      <c r="C90" s="3" t="s">
        <v>608</v>
      </c>
      <c r="D90" s="3" t="s">
        <v>608</v>
      </c>
      <c r="E90" s="3" t="s">
        <v>608</v>
      </c>
      <c r="F90" s="3" t="s">
        <v>170</v>
      </c>
      <c r="G90" s="3" t="s">
        <v>170</v>
      </c>
      <c r="H90" s="3" t="s">
        <v>171</v>
      </c>
      <c r="I90" s="3" t="s">
        <v>172</v>
      </c>
      <c r="J90" s="3" t="s">
        <v>4</v>
      </c>
      <c r="K90" s="3" t="s">
        <v>711</v>
      </c>
      <c r="L90" s="3" t="s">
        <v>30</v>
      </c>
      <c r="M90" s="3" t="s">
        <v>14</v>
      </c>
      <c r="N90">
        <v>9019000</v>
      </c>
      <c r="O90">
        <v>107.601</v>
      </c>
      <c r="P90">
        <v>57</v>
      </c>
      <c r="Q90">
        <v>0</v>
      </c>
      <c r="R90">
        <v>247</v>
      </c>
      <c r="S90" s="3" t="s">
        <v>7</v>
      </c>
      <c r="T90">
        <v>12603</v>
      </c>
      <c r="U90">
        <v>12767</v>
      </c>
      <c r="V90">
        <v>7271</v>
      </c>
      <c r="W90">
        <v>23.45</v>
      </c>
      <c r="X90">
        <v>9704534</v>
      </c>
      <c r="Y90" s="3" t="s">
        <v>31</v>
      </c>
      <c r="Z90">
        <v>107.601</v>
      </c>
      <c r="AA90">
        <v>9019000</v>
      </c>
      <c r="AB90" s="3" t="s">
        <v>9</v>
      </c>
      <c r="AC90" s="3" t="s">
        <v>10</v>
      </c>
      <c r="AD90">
        <v>9717630</v>
      </c>
      <c r="AE90">
        <v>9717630</v>
      </c>
      <c r="AF90" s="3" t="s">
        <v>640</v>
      </c>
    </row>
    <row r="91" spans="1:32" x14ac:dyDescent="0.35">
      <c r="A91" s="3" t="s">
        <v>608</v>
      </c>
      <c r="B91" s="3" t="s">
        <v>608</v>
      </c>
      <c r="C91" s="3" t="s">
        <v>608</v>
      </c>
      <c r="D91" s="3" t="s">
        <v>608</v>
      </c>
      <c r="E91" s="3" t="s">
        <v>608</v>
      </c>
      <c r="F91" s="3" t="s">
        <v>173</v>
      </c>
      <c r="G91" s="3" t="s">
        <v>173</v>
      </c>
      <c r="H91" s="3" t="s">
        <v>174</v>
      </c>
      <c r="I91" s="3" t="s">
        <v>172</v>
      </c>
      <c r="J91" s="3" t="s">
        <v>4</v>
      </c>
      <c r="K91" s="3" t="s">
        <v>712</v>
      </c>
      <c r="L91" s="3" t="s">
        <v>30</v>
      </c>
      <c r="M91" s="3" t="s">
        <v>14</v>
      </c>
      <c r="N91">
        <v>-6000000</v>
      </c>
      <c r="O91">
        <v>106.483</v>
      </c>
      <c r="P91">
        <v>40</v>
      </c>
      <c r="Q91">
        <v>0</v>
      </c>
      <c r="R91">
        <v>-205</v>
      </c>
      <c r="S91" s="3" t="s">
        <v>7</v>
      </c>
      <c r="T91">
        <v>-3008</v>
      </c>
      <c r="U91">
        <v>-3037</v>
      </c>
      <c r="V91">
        <v>-1212</v>
      </c>
      <c r="W91">
        <v>-3.91</v>
      </c>
      <c r="X91">
        <v>-6388980</v>
      </c>
      <c r="Y91" s="3" t="s">
        <v>31</v>
      </c>
      <c r="Z91">
        <v>106.483</v>
      </c>
      <c r="AA91">
        <v>-6000000</v>
      </c>
      <c r="AB91" s="3" t="s">
        <v>9</v>
      </c>
      <c r="AC91" s="3" t="s">
        <v>10</v>
      </c>
      <c r="AD91">
        <v>-6402953</v>
      </c>
      <c r="AE91">
        <v>6402953</v>
      </c>
      <c r="AF91" s="3" t="s">
        <v>640</v>
      </c>
    </row>
    <row r="92" spans="1:32" x14ac:dyDescent="0.35">
      <c r="A92" s="3" t="s">
        <v>608</v>
      </c>
      <c r="B92" s="3" t="s">
        <v>608</v>
      </c>
      <c r="C92" s="3" t="s">
        <v>608</v>
      </c>
      <c r="D92" s="3" t="s">
        <v>608</v>
      </c>
      <c r="E92" s="3" t="s">
        <v>608</v>
      </c>
      <c r="F92" s="3" t="s">
        <v>175</v>
      </c>
      <c r="G92" s="3" t="s">
        <v>175</v>
      </c>
      <c r="H92" s="3" t="s">
        <v>176</v>
      </c>
      <c r="I92" s="3" t="s">
        <v>177</v>
      </c>
      <c r="J92" s="3" t="s">
        <v>4</v>
      </c>
      <c r="K92" s="3" t="s">
        <v>713</v>
      </c>
      <c r="L92" s="3" t="s">
        <v>30</v>
      </c>
      <c r="M92" s="3" t="s">
        <v>14</v>
      </c>
      <c r="N92">
        <v>-274000</v>
      </c>
      <c r="O92">
        <v>104.504</v>
      </c>
      <c r="P92">
        <v>47</v>
      </c>
      <c r="Q92">
        <v>0</v>
      </c>
      <c r="R92">
        <v>-11</v>
      </c>
      <c r="S92" s="3" t="s">
        <v>7</v>
      </c>
      <c r="T92">
        <v>-81</v>
      </c>
      <c r="U92">
        <v>-82</v>
      </c>
      <c r="V92">
        <v>-39</v>
      </c>
      <c r="W92">
        <v>-0.13</v>
      </c>
      <c r="X92">
        <v>-286341</v>
      </c>
      <c r="Y92" s="3" t="s">
        <v>31</v>
      </c>
      <c r="Z92">
        <v>104.504</v>
      </c>
      <c r="AA92">
        <v>-274000</v>
      </c>
      <c r="AB92" s="3" t="s">
        <v>9</v>
      </c>
      <c r="AC92" s="3" t="s">
        <v>10</v>
      </c>
      <c r="AD92">
        <v>-286836</v>
      </c>
      <c r="AE92">
        <v>286836</v>
      </c>
      <c r="AF92" s="3" t="s">
        <v>640</v>
      </c>
    </row>
    <row r="93" spans="1:32" x14ac:dyDescent="0.35">
      <c r="A93" s="3" t="s">
        <v>608</v>
      </c>
      <c r="B93" s="3" t="s">
        <v>608</v>
      </c>
      <c r="C93" s="3" t="s">
        <v>608</v>
      </c>
      <c r="D93" s="3" t="s">
        <v>608</v>
      </c>
      <c r="E93" s="3" t="s">
        <v>608</v>
      </c>
      <c r="F93" s="3" t="s">
        <v>178</v>
      </c>
      <c r="G93" s="3" t="s">
        <v>178</v>
      </c>
      <c r="H93" s="3" t="s">
        <v>179</v>
      </c>
      <c r="I93" s="3" t="s">
        <v>180</v>
      </c>
      <c r="J93" s="3" t="s">
        <v>4</v>
      </c>
      <c r="K93" s="3" t="s">
        <v>714</v>
      </c>
      <c r="L93" s="3" t="s">
        <v>30</v>
      </c>
      <c r="M93" s="3" t="s">
        <v>14</v>
      </c>
      <c r="N93">
        <v>-1285000</v>
      </c>
      <c r="O93">
        <v>104.825</v>
      </c>
      <c r="P93">
        <v>40</v>
      </c>
      <c r="Q93">
        <v>0</v>
      </c>
      <c r="R93">
        <v>-31</v>
      </c>
      <c r="S93" s="3" t="s">
        <v>7</v>
      </c>
      <c r="T93">
        <v>-659</v>
      </c>
      <c r="U93">
        <v>-665</v>
      </c>
      <c r="V93">
        <v>-263</v>
      </c>
      <c r="W93">
        <v>-0.85</v>
      </c>
      <c r="X93">
        <v>-1347001</v>
      </c>
      <c r="Y93" s="3" t="s">
        <v>31</v>
      </c>
      <c r="Z93">
        <v>104.825</v>
      </c>
      <c r="AA93">
        <v>-1285000</v>
      </c>
      <c r="AB93" s="3" t="s">
        <v>9</v>
      </c>
      <c r="AC93" s="3" t="s">
        <v>10</v>
      </c>
      <c r="AD93">
        <v>-1347340</v>
      </c>
      <c r="AE93">
        <v>1347340</v>
      </c>
      <c r="AF93" s="3" t="s">
        <v>640</v>
      </c>
    </row>
    <row r="94" spans="1:32" x14ac:dyDescent="0.35">
      <c r="A94" s="3" t="s">
        <v>608</v>
      </c>
      <c r="B94" s="3" t="s">
        <v>608</v>
      </c>
      <c r="C94" s="3" t="s">
        <v>608</v>
      </c>
      <c r="D94" s="3" t="s">
        <v>608</v>
      </c>
      <c r="E94" s="3" t="s">
        <v>608</v>
      </c>
      <c r="F94" s="3" t="s">
        <v>181</v>
      </c>
      <c r="G94" s="3" t="s">
        <v>181</v>
      </c>
      <c r="H94" s="3" t="s">
        <v>182</v>
      </c>
      <c r="I94" s="3" t="s">
        <v>183</v>
      </c>
      <c r="J94" s="3" t="s">
        <v>4</v>
      </c>
      <c r="K94" s="3" t="s">
        <v>715</v>
      </c>
      <c r="L94" s="3" t="s">
        <v>30</v>
      </c>
      <c r="M94" s="3" t="s">
        <v>14</v>
      </c>
      <c r="N94">
        <v>2300000</v>
      </c>
      <c r="O94">
        <v>123.705</v>
      </c>
      <c r="P94">
        <v>38</v>
      </c>
      <c r="Q94">
        <v>0</v>
      </c>
      <c r="R94">
        <v>126</v>
      </c>
      <c r="S94" s="3" t="s">
        <v>7</v>
      </c>
      <c r="T94">
        <v>3468</v>
      </c>
      <c r="U94">
        <v>3511</v>
      </c>
      <c r="V94">
        <v>1334</v>
      </c>
      <c r="W94">
        <v>4.3</v>
      </c>
      <c r="X94">
        <v>2845215</v>
      </c>
      <c r="Y94" s="3" t="s">
        <v>31</v>
      </c>
      <c r="Z94">
        <v>123.705</v>
      </c>
      <c r="AA94">
        <v>2300000</v>
      </c>
      <c r="AB94" s="3" t="s">
        <v>9</v>
      </c>
      <c r="AC94" s="3" t="s">
        <v>10</v>
      </c>
      <c r="AD94">
        <v>2864371</v>
      </c>
      <c r="AE94">
        <v>2864371</v>
      </c>
      <c r="AF94" s="3" t="s">
        <v>640</v>
      </c>
    </row>
    <row r="95" spans="1:32" x14ac:dyDescent="0.35">
      <c r="A95" s="3" t="s">
        <v>608</v>
      </c>
      <c r="B95" s="3" t="s">
        <v>608</v>
      </c>
      <c r="C95" s="3" t="s">
        <v>608</v>
      </c>
      <c r="D95" s="3" t="s">
        <v>608</v>
      </c>
      <c r="E95" s="3" t="s">
        <v>608</v>
      </c>
      <c r="F95" s="3" t="s">
        <v>184</v>
      </c>
      <c r="G95" s="3" t="s">
        <v>184</v>
      </c>
      <c r="H95" s="3" t="s">
        <v>185</v>
      </c>
      <c r="I95" s="3" t="s">
        <v>186</v>
      </c>
      <c r="J95" s="3" t="s">
        <v>4</v>
      </c>
      <c r="K95" s="3" t="s">
        <v>716</v>
      </c>
      <c r="L95" s="3" t="s">
        <v>30</v>
      </c>
      <c r="M95" s="3" t="s">
        <v>14</v>
      </c>
      <c r="N95">
        <v>-3400000</v>
      </c>
      <c r="O95">
        <v>117.967</v>
      </c>
      <c r="P95">
        <v>61</v>
      </c>
      <c r="Q95">
        <v>0</v>
      </c>
      <c r="R95">
        <v>-186</v>
      </c>
      <c r="S95" s="3" t="s">
        <v>7</v>
      </c>
      <c r="T95">
        <v>-4169</v>
      </c>
      <c r="U95">
        <v>-4219</v>
      </c>
      <c r="V95">
        <v>-2585</v>
      </c>
      <c r="W95">
        <v>-8.34</v>
      </c>
      <c r="X95">
        <v>-4010878</v>
      </c>
      <c r="Y95" s="3" t="s">
        <v>31</v>
      </c>
      <c r="Z95">
        <v>117.967</v>
      </c>
      <c r="AA95">
        <v>-3400000</v>
      </c>
      <c r="AB95" s="3" t="s">
        <v>9</v>
      </c>
      <c r="AC95" s="3" t="s">
        <v>10</v>
      </c>
      <c r="AD95">
        <v>-4049884</v>
      </c>
      <c r="AE95">
        <v>4049884</v>
      </c>
      <c r="AF95" s="3" t="s">
        <v>640</v>
      </c>
    </row>
    <row r="96" spans="1:32" x14ac:dyDescent="0.35">
      <c r="A96" s="3" t="s">
        <v>608</v>
      </c>
      <c r="B96" s="3" t="s">
        <v>608</v>
      </c>
      <c r="C96" s="3" t="s">
        <v>608</v>
      </c>
      <c r="D96" s="3" t="s">
        <v>608</v>
      </c>
      <c r="E96" s="3" t="s">
        <v>608</v>
      </c>
      <c r="F96" s="3" t="s">
        <v>187</v>
      </c>
      <c r="G96" s="3" t="s">
        <v>187</v>
      </c>
      <c r="H96" s="3" t="s">
        <v>188</v>
      </c>
      <c r="I96" s="3" t="s">
        <v>186</v>
      </c>
      <c r="J96" s="3" t="s">
        <v>4</v>
      </c>
      <c r="K96" s="3" t="s">
        <v>717</v>
      </c>
      <c r="L96" s="3" t="s">
        <v>30</v>
      </c>
      <c r="M96" s="3" t="s">
        <v>14</v>
      </c>
      <c r="N96">
        <v>1000000</v>
      </c>
      <c r="O96">
        <v>105.117</v>
      </c>
      <c r="P96">
        <v>41</v>
      </c>
      <c r="Q96">
        <v>0</v>
      </c>
      <c r="R96">
        <v>19</v>
      </c>
      <c r="S96" s="3" t="s">
        <v>7</v>
      </c>
      <c r="T96">
        <v>778</v>
      </c>
      <c r="U96">
        <v>787</v>
      </c>
      <c r="V96">
        <v>320</v>
      </c>
      <c r="W96">
        <v>1.03</v>
      </c>
      <c r="X96">
        <v>1051170</v>
      </c>
      <c r="Y96" s="3" t="s">
        <v>31</v>
      </c>
      <c r="Z96">
        <v>105.117</v>
      </c>
      <c r="AA96">
        <v>1000000</v>
      </c>
      <c r="AB96" s="3" t="s">
        <v>9</v>
      </c>
      <c r="AC96" s="3" t="s">
        <v>10</v>
      </c>
      <c r="AD96">
        <v>1054164</v>
      </c>
      <c r="AE96">
        <v>1054164</v>
      </c>
      <c r="AF96" s="3" t="s">
        <v>640</v>
      </c>
    </row>
    <row r="97" spans="1:32" x14ac:dyDescent="0.35">
      <c r="A97" s="3" t="s">
        <v>608</v>
      </c>
      <c r="B97" s="3" t="s">
        <v>608</v>
      </c>
      <c r="C97" s="3" t="s">
        <v>608</v>
      </c>
      <c r="D97" s="3" t="s">
        <v>608</v>
      </c>
      <c r="E97" s="3" t="s">
        <v>608</v>
      </c>
      <c r="F97" s="3" t="s">
        <v>189</v>
      </c>
      <c r="G97" s="3" t="s">
        <v>189</v>
      </c>
      <c r="H97" s="3" t="s">
        <v>190</v>
      </c>
      <c r="I97" s="3" t="s">
        <v>186</v>
      </c>
      <c r="J97" s="3" t="s">
        <v>4</v>
      </c>
      <c r="K97" s="3" t="s">
        <v>718</v>
      </c>
      <c r="L97" s="3" t="s">
        <v>30</v>
      </c>
      <c r="M97" s="3" t="s">
        <v>14</v>
      </c>
      <c r="N97">
        <v>2000000</v>
      </c>
      <c r="O97">
        <v>109.482</v>
      </c>
      <c r="P97">
        <v>45</v>
      </c>
      <c r="Q97">
        <v>0</v>
      </c>
      <c r="R97">
        <v>82</v>
      </c>
      <c r="S97" s="3" t="s">
        <v>7</v>
      </c>
      <c r="T97">
        <v>1354</v>
      </c>
      <c r="U97">
        <v>1368</v>
      </c>
      <c r="V97">
        <v>615</v>
      </c>
      <c r="W97">
        <v>1.98</v>
      </c>
      <c r="X97">
        <v>2189640</v>
      </c>
      <c r="Y97" s="3" t="s">
        <v>31</v>
      </c>
      <c r="Z97">
        <v>109.482</v>
      </c>
      <c r="AA97">
        <v>2000000</v>
      </c>
      <c r="AB97" s="3" t="s">
        <v>9</v>
      </c>
      <c r="AC97" s="3" t="s">
        <v>10</v>
      </c>
      <c r="AD97">
        <v>2206797</v>
      </c>
      <c r="AE97">
        <v>2206797</v>
      </c>
      <c r="AF97" s="3" t="s">
        <v>640</v>
      </c>
    </row>
    <row r="98" spans="1:32" x14ac:dyDescent="0.35">
      <c r="A98" s="3" t="s">
        <v>608</v>
      </c>
      <c r="B98" s="3" t="s">
        <v>608</v>
      </c>
      <c r="C98" s="3" t="s">
        <v>608</v>
      </c>
      <c r="D98" s="3" t="s">
        <v>608</v>
      </c>
      <c r="E98" s="3" t="s">
        <v>608</v>
      </c>
      <c r="F98" s="3" t="s">
        <v>191</v>
      </c>
      <c r="G98" s="3" t="s">
        <v>191</v>
      </c>
      <c r="H98" s="3" t="s">
        <v>192</v>
      </c>
      <c r="I98" s="3" t="s">
        <v>186</v>
      </c>
      <c r="J98" s="3" t="s">
        <v>4</v>
      </c>
      <c r="K98" s="3" t="s">
        <v>719</v>
      </c>
      <c r="L98" s="3" t="s">
        <v>30</v>
      </c>
      <c r="M98" s="3" t="s">
        <v>14</v>
      </c>
      <c r="N98">
        <v>600000</v>
      </c>
      <c r="O98">
        <v>107.042</v>
      </c>
      <c r="P98">
        <v>35</v>
      </c>
      <c r="Q98">
        <v>0</v>
      </c>
      <c r="R98">
        <v>42</v>
      </c>
      <c r="S98" s="3" t="s">
        <v>7</v>
      </c>
      <c r="T98">
        <v>396</v>
      </c>
      <c r="U98">
        <v>400</v>
      </c>
      <c r="V98">
        <v>141</v>
      </c>
      <c r="W98">
        <v>0.45</v>
      </c>
      <c r="X98">
        <v>642252</v>
      </c>
      <c r="Y98" s="3" t="s">
        <v>31</v>
      </c>
      <c r="Z98">
        <v>107.042</v>
      </c>
      <c r="AA98">
        <v>600000</v>
      </c>
      <c r="AB98" s="3" t="s">
        <v>9</v>
      </c>
      <c r="AC98" s="3" t="s">
        <v>10</v>
      </c>
      <c r="AD98">
        <v>646372</v>
      </c>
      <c r="AE98">
        <v>646372</v>
      </c>
      <c r="AF98" s="3" t="s">
        <v>640</v>
      </c>
    </row>
    <row r="99" spans="1:32" x14ac:dyDescent="0.35">
      <c r="A99" s="3" t="s">
        <v>608</v>
      </c>
      <c r="B99" s="3" t="s">
        <v>608</v>
      </c>
      <c r="C99" s="3" t="s">
        <v>608</v>
      </c>
      <c r="D99" s="3" t="s">
        <v>608</v>
      </c>
      <c r="E99" s="3" t="s">
        <v>608</v>
      </c>
      <c r="F99" s="3" t="s">
        <v>193</v>
      </c>
      <c r="G99" s="3" t="s">
        <v>193</v>
      </c>
      <c r="H99" s="3" t="s">
        <v>194</v>
      </c>
      <c r="I99" s="3" t="s">
        <v>186</v>
      </c>
      <c r="J99" s="3" t="s">
        <v>4</v>
      </c>
      <c r="K99" s="3" t="s">
        <v>720</v>
      </c>
      <c r="L99" s="3" t="s">
        <v>30</v>
      </c>
      <c r="M99" s="3" t="s">
        <v>14</v>
      </c>
      <c r="N99">
        <v>-900000</v>
      </c>
      <c r="O99">
        <v>114.797</v>
      </c>
      <c r="P99">
        <v>25</v>
      </c>
      <c r="Q99">
        <v>0</v>
      </c>
      <c r="R99">
        <v>-62</v>
      </c>
      <c r="S99" s="3" t="s">
        <v>7</v>
      </c>
      <c r="T99">
        <v>-531</v>
      </c>
      <c r="U99">
        <v>-536</v>
      </c>
      <c r="V99">
        <v>-132</v>
      </c>
      <c r="W99">
        <v>-0.43</v>
      </c>
      <c r="X99">
        <v>-1033173</v>
      </c>
      <c r="Y99" s="3" t="s">
        <v>31</v>
      </c>
      <c r="Z99">
        <v>114.797</v>
      </c>
      <c r="AA99">
        <v>-900000</v>
      </c>
      <c r="AB99" s="3" t="s">
        <v>9</v>
      </c>
      <c r="AC99" s="3" t="s">
        <v>10</v>
      </c>
      <c r="AD99">
        <v>-1046981</v>
      </c>
      <c r="AE99">
        <v>1046981</v>
      </c>
      <c r="AF99" s="3" t="s">
        <v>640</v>
      </c>
    </row>
    <row r="100" spans="1:32" x14ac:dyDescent="0.35">
      <c r="A100" s="3" t="s">
        <v>608</v>
      </c>
      <c r="B100" s="3" t="s">
        <v>608</v>
      </c>
      <c r="C100" s="3" t="s">
        <v>608</v>
      </c>
      <c r="D100" s="3" t="s">
        <v>608</v>
      </c>
      <c r="E100" s="3" t="s">
        <v>608</v>
      </c>
      <c r="F100" s="3" t="s">
        <v>195</v>
      </c>
      <c r="G100" s="3" t="s">
        <v>195</v>
      </c>
      <c r="H100" s="3" t="s">
        <v>196</v>
      </c>
      <c r="I100" s="3" t="s">
        <v>186</v>
      </c>
      <c r="J100" s="3" t="s">
        <v>4</v>
      </c>
      <c r="K100" s="3" t="s">
        <v>721</v>
      </c>
      <c r="L100" s="3" t="s">
        <v>30</v>
      </c>
      <c r="M100" s="3" t="s">
        <v>14</v>
      </c>
      <c r="N100">
        <v>1500000</v>
      </c>
      <c r="O100">
        <v>107.31</v>
      </c>
      <c r="P100">
        <v>22</v>
      </c>
      <c r="Q100">
        <v>0</v>
      </c>
      <c r="R100">
        <v>57</v>
      </c>
      <c r="S100" s="3" t="s">
        <v>7</v>
      </c>
      <c r="T100">
        <v>690</v>
      </c>
      <c r="U100">
        <v>697</v>
      </c>
      <c r="V100">
        <v>153</v>
      </c>
      <c r="W100">
        <v>0.49</v>
      </c>
      <c r="X100">
        <v>1609650</v>
      </c>
      <c r="Y100" s="3" t="s">
        <v>31</v>
      </c>
      <c r="Z100">
        <v>107.31</v>
      </c>
      <c r="AA100">
        <v>1500000</v>
      </c>
      <c r="AB100" s="3" t="s">
        <v>9</v>
      </c>
      <c r="AC100" s="3" t="s">
        <v>10</v>
      </c>
      <c r="AD100">
        <v>1622647</v>
      </c>
      <c r="AE100">
        <v>1622647</v>
      </c>
      <c r="AF100" s="3" t="s">
        <v>640</v>
      </c>
    </row>
    <row r="101" spans="1:32" x14ac:dyDescent="0.35">
      <c r="A101" s="3" t="s">
        <v>608</v>
      </c>
      <c r="B101" s="3" t="s">
        <v>608</v>
      </c>
      <c r="C101" s="3" t="s">
        <v>608</v>
      </c>
      <c r="D101" s="3" t="s">
        <v>608</v>
      </c>
      <c r="E101" s="3" t="s">
        <v>608</v>
      </c>
      <c r="F101" s="3" t="s">
        <v>197</v>
      </c>
      <c r="G101" s="3" t="s">
        <v>197</v>
      </c>
      <c r="H101" s="3" t="s">
        <v>198</v>
      </c>
      <c r="I101" s="3" t="s">
        <v>199</v>
      </c>
      <c r="J101" s="3" t="s">
        <v>4</v>
      </c>
      <c r="K101" s="3" t="s">
        <v>722</v>
      </c>
      <c r="L101" s="3" t="s">
        <v>30</v>
      </c>
      <c r="M101" s="3" t="s">
        <v>14</v>
      </c>
      <c r="N101">
        <v>-1000000</v>
      </c>
      <c r="O101">
        <v>104.926</v>
      </c>
      <c r="P101">
        <v>53</v>
      </c>
      <c r="Q101">
        <v>0</v>
      </c>
      <c r="R101">
        <v>-21</v>
      </c>
      <c r="S101" s="3" t="s">
        <v>7</v>
      </c>
      <c r="T101">
        <v>-1179</v>
      </c>
      <c r="U101">
        <v>-1195</v>
      </c>
      <c r="V101">
        <v>-633</v>
      </c>
      <c r="W101">
        <v>-2.04</v>
      </c>
      <c r="X101">
        <v>-1049260</v>
      </c>
      <c r="Y101" s="3" t="s">
        <v>31</v>
      </c>
      <c r="Z101">
        <v>104.926</v>
      </c>
      <c r="AA101">
        <v>-1000000</v>
      </c>
      <c r="AB101" s="3" t="s">
        <v>9</v>
      </c>
      <c r="AC101" s="3" t="s">
        <v>10</v>
      </c>
      <c r="AD101">
        <v>-1051376</v>
      </c>
      <c r="AE101">
        <v>1051376</v>
      </c>
      <c r="AF101" s="3" t="s">
        <v>640</v>
      </c>
    </row>
    <row r="102" spans="1:32" x14ac:dyDescent="0.35">
      <c r="A102" s="3" t="s">
        <v>608</v>
      </c>
      <c r="B102" s="3" t="s">
        <v>608</v>
      </c>
      <c r="C102" s="3" t="s">
        <v>608</v>
      </c>
      <c r="D102" s="3" t="s">
        <v>608</v>
      </c>
      <c r="E102" s="3" t="s">
        <v>608</v>
      </c>
      <c r="F102" s="3" t="s">
        <v>200</v>
      </c>
      <c r="G102" s="3" t="s">
        <v>200</v>
      </c>
      <c r="H102" s="3" t="s">
        <v>201</v>
      </c>
      <c r="I102" s="3" t="s">
        <v>202</v>
      </c>
      <c r="J102" s="3" t="s">
        <v>4</v>
      </c>
      <c r="K102" s="3" t="s">
        <v>723</v>
      </c>
      <c r="L102" s="3" t="s">
        <v>30</v>
      </c>
      <c r="M102" s="3" t="s">
        <v>14</v>
      </c>
      <c r="N102">
        <v>3400000</v>
      </c>
      <c r="O102">
        <v>101.625</v>
      </c>
      <c r="P102">
        <v>51</v>
      </c>
      <c r="Q102">
        <v>9100</v>
      </c>
      <c r="R102">
        <v>48</v>
      </c>
      <c r="S102" s="3" t="s">
        <v>7</v>
      </c>
      <c r="T102">
        <v>4619</v>
      </c>
      <c r="U102">
        <v>4682</v>
      </c>
      <c r="V102">
        <v>2385</v>
      </c>
      <c r="W102">
        <v>7.69</v>
      </c>
      <c r="X102">
        <v>3455250</v>
      </c>
      <c r="Y102" s="3" t="s">
        <v>31</v>
      </c>
      <c r="Z102">
        <v>101.36499999999999</v>
      </c>
      <c r="AA102">
        <v>3500000</v>
      </c>
      <c r="AB102" s="3" t="s">
        <v>9</v>
      </c>
      <c r="AC102" s="3" t="s">
        <v>10</v>
      </c>
      <c r="AD102">
        <v>3457810</v>
      </c>
      <c r="AE102">
        <v>3457810</v>
      </c>
      <c r="AF102" s="3" t="s">
        <v>640</v>
      </c>
    </row>
    <row r="103" spans="1:32" x14ac:dyDescent="0.35">
      <c r="A103" s="3" t="s">
        <v>608</v>
      </c>
      <c r="B103" s="3" t="s">
        <v>608</v>
      </c>
      <c r="C103" s="3" t="s">
        <v>608</v>
      </c>
      <c r="D103" s="3" t="s">
        <v>608</v>
      </c>
      <c r="E103" s="3" t="s">
        <v>608</v>
      </c>
      <c r="F103" s="3" t="s">
        <v>203</v>
      </c>
      <c r="G103" s="3" t="s">
        <v>203</v>
      </c>
      <c r="H103" s="3" t="s">
        <v>204</v>
      </c>
      <c r="I103" s="3" t="s">
        <v>202</v>
      </c>
      <c r="J103" s="3" t="s">
        <v>4</v>
      </c>
      <c r="K103" s="3" t="s">
        <v>724</v>
      </c>
      <c r="L103" s="3" t="s">
        <v>30</v>
      </c>
      <c r="M103" s="3" t="s">
        <v>14</v>
      </c>
      <c r="N103">
        <v>0</v>
      </c>
      <c r="O103">
        <v>100.78400000000001</v>
      </c>
      <c r="P103">
        <v>37</v>
      </c>
      <c r="Q103">
        <v>-456</v>
      </c>
      <c r="R103">
        <v>1</v>
      </c>
      <c r="S103" s="3" t="s">
        <v>7</v>
      </c>
      <c r="T103">
        <v>0</v>
      </c>
      <c r="U103">
        <v>0</v>
      </c>
      <c r="V103">
        <v>0</v>
      </c>
      <c r="W103">
        <v>0</v>
      </c>
      <c r="X103">
        <v>0</v>
      </c>
      <c r="Y103" s="3" t="s">
        <v>31</v>
      </c>
      <c r="Z103">
        <v>101.012</v>
      </c>
      <c r="AA103">
        <v>200000</v>
      </c>
      <c r="AB103" s="3" t="s">
        <v>9</v>
      </c>
      <c r="AC103" s="3" t="s">
        <v>10</v>
      </c>
      <c r="AD103">
        <v>-1</v>
      </c>
      <c r="AE103">
        <v>1</v>
      </c>
      <c r="AF103" s="3" t="s">
        <v>640</v>
      </c>
    </row>
    <row r="104" spans="1:32" x14ac:dyDescent="0.35">
      <c r="A104" s="3" t="s">
        <v>608</v>
      </c>
      <c r="B104" s="3" t="s">
        <v>608</v>
      </c>
      <c r="C104" s="3" t="s">
        <v>608</v>
      </c>
      <c r="D104" s="3" t="s">
        <v>608</v>
      </c>
      <c r="E104" s="3" t="s">
        <v>608</v>
      </c>
      <c r="F104" s="3" t="s">
        <v>205</v>
      </c>
      <c r="G104" s="3" t="s">
        <v>205</v>
      </c>
      <c r="H104" s="3" t="s">
        <v>206</v>
      </c>
      <c r="I104" s="3" t="s">
        <v>202</v>
      </c>
      <c r="J104" s="3" t="s">
        <v>4</v>
      </c>
      <c r="K104" s="3" t="s">
        <v>725</v>
      </c>
      <c r="L104" s="3" t="s">
        <v>30</v>
      </c>
      <c r="M104" s="3" t="s">
        <v>14</v>
      </c>
      <c r="N104">
        <v>-4000000</v>
      </c>
      <c r="O104">
        <v>112.119</v>
      </c>
      <c r="P104">
        <v>34</v>
      </c>
      <c r="Q104">
        <v>0</v>
      </c>
      <c r="R104">
        <v>-164</v>
      </c>
      <c r="S104" s="3" t="s">
        <v>7</v>
      </c>
      <c r="T104">
        <v>-3376</v>
      </c>
      <c r="U104">
        <v>-3413</v>
      </c>
      <c r="V104">
        <v>-1173</v>
      </c>
      <c r="W104">
        <v>-3.78</v>
      </c>
      <c r="X104">
        <v>-4484760</v>
      </c>
      <c r="Y104" s="3" t="s">
        <v>31</v>
      </c>
      <c r="Z104">
        <v>112.119</v>
      </c>
      <c r="AA104">
        <v>-4000000</v>
      </c>
      <c r="AB104" s="3" t="s">
        <v>9</v>
      </c>
      <c r="AC104" s="3" t="s">
        <v>10</v>
      </c>
      <c r="AD104">
        <v>-4491335</v>
      </c>
      <c r="AE104">
        <v>4491335</v>
      </c>
      <c r="AF104" s="3" t="s">
        <v>640</v>
      </c>
    </row>
    <row r="105" spans="1:32" x14ac:dyDescent="0.35">
      <c r="A105" s="3" t="s">
        <v>608</v>
      </c>
      <c r="B105" s="3" t="s">
        <v>608</v>
      </c>
      <c r="C105" s="3" t="s">
        <v>608</v>
      </c>
      <c r="D105" s="3" t="s">
        <v>608</v>
      </c>
      <c r="E105" s="3" t="s">
        <v>608</v>
      </c>
      <c r="F105" s="3" t="s">
        <v>594</v>
      </c>
      <c r="G105" s="3" t="s">
        <v>594</v>
      </c>
      <c r="H105" s="3" t="s">
        <v>595</v>
      </c>
      <c r="I105" s="3" t="s">
        <v>209</v>
      </c>
      <c r="J105" s="3" t="s">
        <v>4</v>
      </c>
      <c r="K105" s="3" t="s">
        <v>726</v>
      </c>
      <c r="L105" s="3" t="s">
        <v>30</v>
      </c>
      <c r="M105" s="3" t="s">
        <v>14</v>
      </c>
      <c r="N105">
        <v>600000</v>
      </c>
      <c r="O105">
        <v>169.26499999999999</v>
      </c>
      <c r="P105">
        <v>80</v>
      </c>
      <c r="Q105">
        <v>0</v>
      </c>
      <c r="R105">
        <v>100</v>
      </c>
      <c r="S105" s="3" t="s">
        <v>7</v>
      </c>
      <c r="T105">
        <v>1038</v>
      </c>
      <c r="U105">
        <v>1049</v>
      </c>
      <c r="V105">
        <v>836</v>
      </c>
      <c r="W105">
        <v>2.7</v>
      </c>
      <c r="X105">
        <v>1015590</v>
      </c>
      <c r="Y105" s="3" t="s">
        <v>31</v>
      </c>
      <c r="Z105">
        <v>169.26499999999999</v>
      </c>
      <c r="AA105">
        <v>600000</v>
      </c>
      <c r="AB105" s="3" t="s">
        <v>9</v>
      </c>
      <c r="AC105" s="3" t="s">
        <v>10</v>
      </c>
      <c r="AD105">
        <v>1050231</v>
      </c>
      <c r="AE105">
        <v>1050231</v>
      </c>
      <c r="AF105" s="3" t="s">
        <v>640</v>
      </c>
    </row>
    <row r="106" spans="1:32" x14ac:dyDescent="0.35">
      <c r="A106" s="3" t="s">
        <v>608</v>
      </c>
      <c r="B106" s="3" t="s">
        <v>608</v>
      </c>
      <c r="C106" s="3" t="s">
        <v>608</v>
      </c>
      <c r="D106" s="3" t="s">
        <v>608</v>
      </c>
      <c r="E106" s="3" t="s">
        <v>608</v>
      </c>
      <c r="F106" s="3" t="s">
        <v>207</v>
      </c>
      <c r="G106" s="3" t="s">
        <v>207</v>
      </c>
      <c r="H106" s="3" t="s">
        <v>208</v>
      </c>
      <c r="I106" s="3" t="s">
        <v>209</v>
      </c>
      <c r="J106" s="3" t="s">
        <v>4</v>
      </c>
      <c r="K106" s="3" t="s">
        <v>727</v>
      </c>
      <c r="L106" s="3" t="s">
        <v>30</v>
      </c>
      <c r="M106" s="3" t="s">
        <v>14</v>
      </c>
      <c r="N106">
        <v>-2300000</v>
      </c>
      <c r="O106">
        <v>107.886</v>
      </c>
      <c r="P106">
        <v>58</v>
      </c>
      <c r="Q106">
        <v>0</v>
      </c>
      <c r="R106">
        <v>-79</v>
      </c>
      <c r="S106" s="3" t="s">
        <v>7</v>
      </c>
      <c r="T106">
        <v>-1775</v>
      </c>
      <c r="U106">
        <v>-1796</v>
      </c>
      <c r="V106">
        <v>-1035</v>
      </c>
      <c r="W106">
        <v>-3.34</v>
      </c>
      <c r="X106">
        <v>-2481378</v>
      </c>
      <c r="Y106" s="3" t="s">
        <v>31</v>
      </c>
      <c r="Z106">
        <v>107.886</v>
      </c>
      <c r="AA106">
        <v>-2300000</v>
      </c>
      <c r="AB106" s="3" t="s">
        <v>9</v>
      </c>
      <c r="AC106" s="3" t="s">
        <v>10</v>
      </c>
      <c r="AD106">
        <v>-2497368</v>
      </c>
      <c r="AE106">
        <v>2497368</v>
      </c>
      <c r="AF106" s="3" t="s">
        <v>640</v>
      </c>
    </row>
    <row r="107" spans="1:32" x14ac:dyDescent="0.35">
      <c r="A107" s="3" t="s">
        <v>608</v>
      </c>
      <c r="B107" s="3" t="s">
        <v>608</v>
      </c>
      <c r="C107" s="3" t="s">
        <v>608</v>
      </c>
      <c r="D107" s="3" t="s">
        <v>608</v>
      </c>
      <c r="E107" s="3" t="s">
        <v>608</v>
      </c>
      <c r="F107" s="3" t="s">
        <v>210</v>
      </c>
      <c r="G107" s="3" t="s">
        <v>210</v>
      </c>
      <c r="H107" s="3" t="s">
        <v>211</v>
      </c>
      <c r="I107" s="3" t="s">
        <v>209</v>
      </c>
      <c r="J107" s="3" t="s">
        <v>4</v>
      </c>
      <c r="K107" s="3" t="s">
        <v>728</v>
      </c>
      <c r="L107" s="3" t="s">
        <v>30</v>
      </c>
      <c r="M107" s="3" t="s">
        <v>14</v>
      </c>
      <c r="N107">
        <v>600000</v>
      </c>
      <c r="O107">
        <v>129.072</v>
      </c>
      <c r="P107">
        <v>51</v>
      </c>
      <c r="Q107">
        <v>0</v>
      </c>
      <c r="R107">
        <v>76</v>
      </c>
      <c r="S107" s="3" t="s">
        <v>7</v>
      </c>
      <c r="T107">
        <v>448</v>
      </c>
      <c r="U107">
        <v>452</v>
      </c>
      <c r="V107">
        <v>231</v>
      </c>
      <c r="W107">
        <v>0.74</v>
      </c>
      <c r="X107">
        <v>774432</v>
      </c>
      <c r="Y107" s="3" t="s">
        <v>31</v>
      </c>
      <c r="Z107">
        <v>129.072</v>
      </c>
      <c r="AA107">
        <v>600000</v>
      </c>
      <c r="AB107" s="3" t="s">
        <v>9</v>
      </c>
      <c r="AC107" s="3" t="s">
        <v>10</v>
      </c>
      <c r="AD107">
        <v>791082</v>
      </c>
      <c r="AE107">
        <v>791082</v>
      </c>
      <c r="AF107" s="3" t="s">
        <v>640</v>
      </c>
    </row>
    <row r="108" spans="1:32" x14ac:dyDescent="0.35">
      <c r="A108" s="3" t="s">
        <v>608</v>
      </c>
      <c r="B108" s="3" t="s">
        <v>608</v>
      </c>
      <c r="C108" s="3" t="s">
        <v>608</v>
      </c>
      <c r="D108" s="3" t="s">
        <v>608</v>
      </c>
      <c r="E108" s="3" t="s">
        <v>608</v>
      </c>
      <c r="F108" s="3" t="s">
        <v>212</v>
      </c>
      <c r="G108" s="3" t="s">
        <v>212</v>
      </c>
      <c r="H108" s="3" t="s">
        <v>213</v>
      </c>
      <c r="I108" s="3" t="s">
        <v>209</v>
      </c>
      <c r="J108" s="3" t="s">
        <v>4</v>
      </c>
      <c r="K108" s="3" t="s">
        <v>729</v>
      </c>
      <c r="L108" s="3" t="s">
        <v>30</v>
      </c>
      <c r="M108" s="3" t="s">
        <v>14</v>
      </c>
      <c r="N108">
        <v>-2000000</v>
      </c>
      <c r="O108">
        <v>109.09399999999999</v>
      </c>
      <c r="P108">
        <v>45</v>
      </c>
      <c r="Q108">
        <v>0</v>
      </c>
      <c r="R108">
        <v>-82</v>
      </c>
      <c r="S108" s="3" t="s">
        <v>7</v>
      </c>
      <c r="T108">
        <v>-1278</v>
      </c>
      <c r="U108">
        <v>-1291</v>
      </c>
      <c r="V108">
        <v>-579</v>
      </c>
      <c r="W108">
        <v>-1.87</v>
      </c>
      <c r="X108">
        <v>-2181880</v>
      </c>
      <c r="Y108" s="3" t="s">
        <v>31</v>
      </c>
      <c r="Z108">
        <v>109.09399999999999</v>
      </c>
      <c r="AA108">
        <v>-2000000</v>
      </c>
      <c r="AB108" s="3" t="s">
        <v>9</v>
      </c>
      <c r="AC108" s="3" t="s">
        <v>10</v>
      </c>
      <c r="AD108">
        <v>-2209675</v>
      </c>
      <c r="AE108">
        <v>2209675</v>
      </c>
      <c r="AF108" s="3" t="s">
        <v>640</v>
      </c>
    </row>
    <row r="109" spans="1:32" x14ac:dyDescent="0.35">
      <c r="A109" s="3" t="s">
        <v>608</v>
      </c>
      <c r="B109" s="3" t="s">
        <v>608</v>
      </c>
      <c r="C109" s="3" t="s">
        <v>608</v>
      </c>
      <c r="D109" s="3" t="s">
        <v>608</v>
      </c>
      <c r="E109" s="3" t="s">
        <v>608</v>
      </c>
      <c r="F109" s="3" t="s">
        <v>214</v>
      </c>
      <c r="G109" s="3" t="s">
        <v>214</v>
      </c>
      <c r="H109" s="3" t="s">
        <v>215</v>
      </c>
      <c r="I109" s="3" t="s">
        <v>209</v>
      </c>
      <c r="J109" s="3" t="s">
        <v>4</v>
      </c>
      <c r="K109" s="3" t="s">
        <v>730</v>
      </c>
      <c r="L109" s="3" t="s">
        <v>30</v>
      </c>
      <c r="M109" s="3" t="s">
        <v>14</v>
      </c>
      <c r="N109">
        <v>900000</v>
      </c>
      <c r="O109">
        <v>101.343</v>
      </c>
      <c r="P109">
        <v>39</v>
      </c>
      <c r="Q109">
        <v>0</v>
      </c>
      <c r="R109">
        <v>8</v>
      </c>
      <c r="S109" s="3" t="s">
        <v>7</v>
      </c>
      <c r="T109">
        <v>265</v>
      </c>
      <c r="U109">
        <v>268</v>
      </c>
      <c r="V109">
        <v>105</v>
      </c>
      <c r="W109">
        <v>0.34</v>
      </c>
      <c r="X109">
        <v>912087</v>
      </c>
      <c r="Y109" s="3" t="s">
        <v>31</v>
      </c>
      <c r="Z109">
        <v>101.343</v>
      </c>
      <c r="AA109">
        <v>900000</v>
      </c>
      <c r="AB109" s="3" t="s">
        <v>9</v>
      </c>
      <c r="AC109" s="3" t="s">
        <v>10</v>
      </c>
      <c r="AD109">
        <v>912327</v>
      </c>
      <c r="AE109">
        <v>912327</v>
      </c>
      <c r="AF109" s="3" t="s">
        <v>640</v>
      </c>
    </row>
    <row r="110" spans="1:32" x14ac:dyDescent="0.35">
      <c r="A110" s="3" t="s">
        <v>608</v>
      </c>
      <c r="B110" s="3" t="s">
        <v>608</v>
      </c>
      <c r="C110" s="3" t="s">
        <v>608</v>
      </c>
      <c r="D110" s="3" t="s">
        <v>608</v>
      </c>
      <c r="E110" s="3" t="s">
        <v>608</v>
      </c>
      <c r="F110" s="3" t="s">
        <v>970</v>
      </c>
      <c r="G110" s="3" t="s">
        <v>970</v>
      </c>
      <c r="H110" s="3" t="s">
        <v>971</v>
      </c>
      <c r="I110" s="3" t="s">
        <v>428</v>
      </c>
      <c r="J110" s="3" t="s">
        <v>4</v>
      </c>
      <c r="K110" s="3" t="s">
        <v>640</v>
      </c>
      <c r="L110" s="3" t="s">
        <v>30</v>
      </c>
      <c r="M110" s="3" t="s">
        <v>14</v>
      </c>
      <c r="N110">
        <v>-300000</v>
      </c>
      <c r="O110">
        <v>125.05</v>
      </c>
      <c r="P110">
        <v>133</v>
      </c>
      <c r="Q110">
        <v>0</v>
      </c>
      <c r="R110">
        <v>0</v>
      </c>
      <c r="S110" s="3" t="s">
        <v>7</v>
      </c>
      <c r="T110">
        <v>-523</v>
      </c>
      <c r="U110">
        <v>-529</v>
      </c>
      <c r="V110">
        <v>-703</v>
      </c>
      <c r="W110">
        <v>-2.27</v>
      </c>
      <c r="X110">
        <v>-375150</v>
      </c>
      <c r="Y110" s="3" t="s">
        <v>640</v>
      </c>
      <c r="Z110">
        <v>0</v>
      </c>
      <c r="AA110">
        <v>0</v>
      </c>
      <c r="AB110" s="3" t="s">
        <v>9</v>
      </c>
      <c r="AC110" s="3" t="s">
        <v>10</v>
      </c>
      <c r="AD110">
        <v>-383422</v>
      </c>
      <c r="AE110">
        <v>383422</v>
      </c>
      <c r="AF110" s="3" t="s">
        <v>640</v>
      </c>
    </row>
    <row r="111" spans="1:32" x14ac:dyDescent="0.35">
      <c r="A111" s="3" t="s">
        <v>608</v>
      </c>
      <c r="B111" s="3" t="s">
        <v>608</v>
      </c>
      <c r="C111" s="3" t="s">
        <v>608</v>
      </c>
      <c r="D111" s="3" t="s">
        <v>608</v>
      </c>
      <c r="E111" s="3" t="s">
        <v>608</v>
      </c>
      <c r="F111" s="3" t="s">
        <v>994</v>
      </c>
      <c r="G111" s="3" t="s">
        <v>994</v>
      </c>
      <c r="H111" s="3" t="s">
        <v>995</v>
      </c>
      <c r="I111" s="3" t="s">
        <v>216</v>
      </c>
      <c r="J111" s="3" t="s">
        <v>4</v>
      </c>
      <c r="K111" s="3" t="s">
        <v>640</v>
      </c>
      <c r="L111" s="3" t="s">
        <v>30</v>
      </c>
      <c r="M111" s="3" t="s">
        <v>14</v>
      </c>
      <c r="N111">
        <v>6300000</v>
      </c>
      <c r="O111">
        <v>105.56</v>
      </c>
      <c r="P111">
        <v>73</v>
      </c>
      <c r="Q111">
        <v>0</v>
      </c>
      <c r="R111">
        <v>0</v>
      </c>
      <c r="S111" s="3" t="s">
        <v>7</v>
      </c>
      <c r="T111">
        <v>1579</v>
      </c>
      <c r="U111">
        <v>1592</v>
      </c>
      <c r="V111">
        <v>1165</v>
      </c>
      <c r="W111">
        <v>3.76</v>
      </c>
      <c r="X111">
        <v>6650280</v>
      </c>
      <c r="Y111" s="3" t="s">
        <v>640</v>
      </c>
      <c r="Z111">
        <v>0</v>
      </c>
      <c r="AA111">
        <v>0</v>
      </c>
      <c r="AB111" s="3" t="s">
        <v>9</v>
      </c>
      <c r="AC111" s="3" t="s">
        <v>10</v>
      </c>
      <c r="AD111">
        <v>6742191</v>
      </c>
      <c r="AE111">
        <v>6742191</v>
      </c>
      <c r="AF111" s="3" t="s">
        <v>640</v>
      </c>
    </row>
    <row r="112" spans="1:32" x14ac:dyDescent="0.35">
      <c r="A112" s="3" t="s">
        <v>608</v>
      </c>
      <c r="B112" s="3" t="s">
        <v>608</v>
      </c>
      <c r="C112" s="3" t="s">
        <v>608</v>
      </c>
      <c r="D112" s="3" t="s">
        <v>608</v>
      </c>
      <c r="E112" s="3" t="s">
        <v>608</v>
      </c>
      <c r="F112" s="3" t="s">
        <v>217</v>
      </c>
      <c r="G112" s="3" t="s">
        <v>217</v>
      </c>
      <c r="H112" s="3" t="s">
        <v>218</v>
      </c>
      <c r="I112" s="3" t="s">
        <v>219</v>
      </c>
      <c r="J112" s="3" t="s">
        <v>4</v>
      </c>
      <c r="K112" s="3" t="s">
        <v>731</v>
      </c>
      <c r="L112" s="3" t="s">
        <v>30</v>
      </c>
      <c r="M112" s="3" t="s">
        <v>14</v>
      </c>
      <c r="N112">
        <v>-1300000</v>
      </c>
      <c r="O112">
        <v>106.253</v>
      </c>
      <c r="P112">
        <v>118</v>
      </c>
      <c r="Q112">
        <v>0</v>
      </c>
      <c r="R112">
        <v>-53</v>
      </c>
      <c r="S112" s="3" t="s">
        <v>7</v>
      </c>
      <c r="T112">
        <v>-2275</v>
      </c>
      <c r="U112">
        <v>-2304</v>
      </c>
      <c r="V112">
        <v>-2727</v>
      </c>
      <c r="W112">
        <v>-8.8000000000000007</v>
      </c>
      <c r="X112">
        <v>-1381289</v>
      </c>
      <c r="Y112" s="3" t="s">
        <v>31</v>
      </c>
      <c r="Z112">
        <v>106.253</v>
      </c>
      <c r="AA112">
        <v>-1300000</v>
      </c>
      <c r="AB112" s="3" t="s">
        <v>9</v>
      </c>
      <c r="AC112" s="3" t="s">
        <v>10</v>
      </c>
      <c r="AD112">
        <v>-1383747</v>
      </c>
      <c r="AE112">
        <v>1383747</v>
      </c>
      <c r="AF112" s="3" t="s">
        <v>640</v>
      </c>
    </row>
    <row r="113" spans="1:32" x14ac:dyDescent="0.35">
      <c r="A113" s="3" t="s">
        <v>608</v>
      </c>
      <c r="B113" s="3" t="s">
        <v>608</v>
      </c>
      <c r="C113" s="3" t="s">
        <v>608</v>
      </c>
      <c r="D113" s="3" t="s">
        <v>608</v>
      </c>
      <c r="E113" s="3" t="s">
        <v>608</v>
      </c>
      <c r="F113" s="3" t="s">
        <v>220</v>
      </c>
      <c r="G113" s="3" t="s">
        <v>220</v>
      </c>
      <c r="H113" s="3" t="s">
        <v>221</v>
      </c>
      <c r="I113" s="3" t="s">
        <v>219</v>
      </c>
      <c r="J113" s="3" t="s">
        <v>4</v>
      </c>
      <c r="K113" s="3" t="s">
        <v>732</v>
      </c>
      <c r="L113" s="3" t="s">
        <v>30</v>
      </c>
      <c r="M113" s="3" t="s">
        <v>14</v>
      </c>
      <c r="N113">
        <v>1500000</v>
      </c>
      <c r="O113">
        <v>102.6</v>
      </c>
      <c r="P113">
        <v>86</v>
      </c>
      <c r="Q113">
        <v>0</v>
      </c>
      <c r="R113">
        <v>36</v>
      </c>
      <c r="S113" s="3" t="s">
        <v>7</v>
      </c>
      <c r="T113">
        <v>1664</v>
      </c>
      <c r="U113">
        <v>1684</v>
      </c>
      <c r="V113">
        <v>1449</v>
      </c>
      <c r="W113">
        <v>4.67</v>
      </c>
      <c r="X113">
        <v>1539000</v>
      </c>
      <c r="Y113" s="3" t="s">
        <v>31</v>
      </c>
      <c r="Z113">
        <v>102.6</v>
      </c>
      <c r="AA113">
        <v>1500000</v>
      </c>
      <c r="AB113" s="3" t="s">
        <v>9</v>
      </c>
      <c r="AC113" s="3" t="s">
        <v>10</v>
      </c>
      <c r="AD113">
        <v>1547271</v>
      </c>
      <c r="AE113">
        <v>1547271</v>
      </c>
      <c r="AF113" s="3" t="s">
        <v>640</v>
      </c>
    </row>
    <row r="114" spans="1:32" x14ac:dyDescent="0.35">
      <c r="A114" s="3" t="s">
        <v>608</v>
      </c>
      <c r="B114" s="3" t="s">
        <v>608</v>
      </c>
      <c r="C114" s="3" t="s">
        <v>608</v>
      </c>
      <c r="D114" s="3" t="s">
        <v>608</v>
      </c>
      <c r="E114" s="3" t="s">
        <v>608</v>
      </c>
      <c r="F114" s="3" t="s">
        <v>222</v>
      </c>
      <c r="G114" s="3" t="s">
        <v>222</v>
      </c>
      <c r="H114" s="3" t="s">
        <v>223</v>
      </c>
      <c r="I114" s="3" t="s">
        <v>224</v>
      </c>
      <c r="J114" s="3" t="s">
        <v>4</v>
      </c>
      <c r="K114" s="3" t="s">
        <v>733</v>
      </c>
      <c r="L114" s="3" t="s">
        <v>30</v>
      </c>
      <c r="M114" s="3" t="s">
        <v>14</v>
      </c>
      <c r="N114">
        <v>-500000</v>
      </c>
      <c r="O114">
        <v>97.597999999999999</v>
      </c>
      <c r="P114">
        <v>204</v>
      </c>
      <c r="Q114">
        <v>0</v>
      </c>
      <c r="R114">
        <v>-55</v>
      </c>
      <c r="S114" s="3" t="s">
        <v>7</v>
      </c>
      <c r="T114">
        <v>-362</v>
      </c>
      <c r="U114">
        <v>-366</v>
      </c>
      <c r="V114">
        <v>-745</v>
      </c>
      <c r="W114">
        <v>-2.4</v>
      </c>
      <c r="X114">
        <v>-487990</v>
      </c>
      <c r="Y114" s="3" t="s">
        <v>31</v>
      </c>
      <c r="Z114">
        <v>97.597999999999999</v>
      </c>
      <c r="AA114">
        <v>-500000</v>
      </c>
      <c r="AB114" s="3" t="s">
        <v>9</v>
      </c>
      <c r="AC114" s="3" t="s">
        <v>10</v>
      </c>
      <c r="AD114">
        <v>-488720</v>
      </c>
      <c r="AE114">
        <v>488720</v>
      </c>
      <c r="AF114" s="3" t="s">
        <v>640</v>
      </c>
    </row>
    <row r="115" spans="1:32" x14ac:dyDescent="0.35">
      <c r="A115" s="3" t="s">
        <v>608</v>
      </c>
      <c r="B115" s="3" t="s">
        <v>608</v>
      </c>
      <c r="C115" s="3" t="s">
        <v>608</v>
      </c>
      <c r="D115" s="3" t="s">
        <v>608</v>
      </c>
      <c r="E115" s="3" t="s">
        <v>608</v>
      </c>
      <c r="F115" s="3" t="s">
        <v>225</v>
      </c>
      <c r="G115" s="3" t="s">
        <v>225</v>
      </c>
      <c r="H115" s="3" t="s">
        <v>226</v>
      </c>
      <c r="I115" s="3" t="s">
        <v>227</v>
      </c>
      <c r="J115" s="3" t="s">
        <v>4</v>
      </c>
      <c r="K115" s="3" t="s">
        <v>734</v>
      </c>
      <c r="L115" s="3" t="s">
        <v>30</v>
      </c>
      <c r="M115" s="3" t="s">
        <v>14</v>
      </c>
      <c r="N115">
        <v>850000</v>
      </c>
      <c r="O115">
        <v>99.99</v>
      </c>
      <c r="P115">
        <v>146</v>
      </c>
      <c r="Q115">
        <v>0</v>
      </c>
      <c r="R115">
        <v>33</v>
      </c>
      <c r="S115" s="3" t="s">
        <v>7</v>
      </c>
      <c r="T115">
        <v>1385</v>
      </c>
      <c r="U115">
        <v>1403</v>
      </c>
      <c r="V115">
        <v>2053</v>
      </c>
      <c r="W115">
        <v>6.62</v>
      </c>
      <c r="X115">
        <v>849915</v>
      </c>
      <c r="Y115" s="3" t="s">
        <v>31</v>
      </c>
      <c r="Z115">
        <v>99.99</v>
      </c>
      <c r="AA115">
        <v>850000</v>
      </c>
      <c r="AB115" s="3" t="s">
        <v>9</v>
      </c>
      <c r="AC115" s="3" t="s">
        <v>10</v>
      </c>
      <c r="AD115">
        <v>854210</v>
      </c>
      <c r="AE115">
        <v>854210</v>
      </c>
      <c r="AF115" s="3" t="s">
        <v>640</v>
      </c>
    </row>
    <row r="116" spans="1:32" x14ac:dyDescent="0.35">
      <c r="A116" s="3" t="s">
        <v>608</v>
      </c>
      <c r="B116" s="3" t="s">
        <v>608</v>
      </c>
      <c r="C116" s="3" t="s">
        <v>608</v>
      </c>
      <c r="D116" s="3" t="s">
        <v>608</v>
      </c>
      <c r="E116" s="3" t="s">
        <v>608</v>
      </c>
      <c r="F116" s="3" t="s">
        <v>228</v>
      </c>
      <c r="G116" s="3" t="s">
        <v>229</v>
      </c>
      <c r="H116" s="3" t="s">
        <v>229</v>
      </c>
      <c r="I116" s="3" t="s">
        <v>640</v>
      </c>
      <c r="J116" s="3" t="s">
        <v>4</v>
      </c>
      <c r="K116" s="3" t="s">
        <v>652</v>
      </c>
      <c r="L116" s="3" t="s">
        <v>5</v>
      </c>
      <c r="M116" s="3" t="s">
        <v>6</v>
      </c>
      <c r="N116">
        <v>1500000</v>
      </c>
      <c r="O116">
        <v>2.8679999999999999</v>
      </c>
      <c r="P116">
        <v>157</v>
      </c>
      <c r="Q116">
        <v>0</v>
      </c>
      <c r="R116">
        <v>-42</v>
      </c>
      <c r="S116" s="3" t="s">
        <v>7</v>
      </c>
      <c r="T116">
        <v>-11</v>
      </c>
      <c r="U116">
        <v>-738</v>
      </c>
      <c r="V116">
        <v>-1160</v>
      </c>
      <c r="W116">
        <v>-3.74</v>
      </c>
      <c r="X116">
        <v>43014</v>
      </c>
      <c r="Y116" s="3" t="s">
        <v>640</v>
      </c>
      <c r="Z116">
        <v>2.8679999999999999</v>
      </c>
      <c r="AA116">
        <v>1500000</v>
      </c>
      <c r="AB116" s="3" t="s">
        <v>230</v>
      </c>
      <c r="AC116" s="3" t="s">
        <v>10</v>
      </c>
      <c r="AD116">
        <v>-1500000</v>
      </c>
      <c r="AE116">
        <v>1500000</v>
      </c>
      <c r="AF116" s="3" t="s">
        <v>640</v>
      </c>
    </row>
    <row r="117" spans="1:32" x14ac:dyDescent="0.35">
      <c r="A117" s="3" t="s">
        <v>608</v>
      </c>
      <c r="B117" s="3" t="s">
        <v>608</v>
      </c>
      <c r="C117" s="3" t="s">
        <v>608</v>
      </c>
      <c r="D117" s="3" t="s">
        <v>608</v>
      </c>
      <c r="E117" s="3" t="s">
        <v>608</v>
      </c>
      <c r="F117" s="3" t="s">
        <v>231</v>
      </c>
      <c r="G117" s="3" t="s">
        <v>232</v>
      </c>
      <c r="H117" s="3" t="s">
        <v>232</v>
      </c>
      <c r="I117" s="3" t="s">
        <v>640</v>
      </c>
      <c r="J117" s="3" t="s">
        <v>4</v>
      </c>
      <c r="K117" s="3" t="s">
        <v>652</v>
      </c>
      <c r="L117" s="3" t="s">
        <v>5</v>
      </c>
      <c r="M117" s="3" t="s">
        <v>6</v>
      </c>
      <c r="N117">
        <v>-2000000</v>
      </c>
      <c r="O117">
        <v>-0.95799999999999996</v>
      </c>
      <c r="P117">
        <v>81</v>
      </c>
      <c r="Q117">
        <v>0</v>
      </c>
      <c r="R117">
        <v>56</v>
      </c>
      <c r="S117" s="3" t="s">
        <v>7</v>
      </c>
      <c r="T117">
        <v>-5</v>
      </c>
      <c r="U117">
        <v>1026</v>
      </c>
      <c r="V117">
        <v>833</v>
      </c>
      <c r="W117">
        <v>2.69</v>
      </c>
      <c r="X117">
        <v>19168</v>
      </c>
      <c r="Y117" s="3" t="s">
        <v>640</v>
      </c>
      <c r="Z117">
        <v>-0.95799999999999996</v>
      </c>
      <c r="AA117">
        <v>-2000000</v>
      </c>
      <c r="AB117" s="3" t="s">
        <v>230</v>
      </c>
      <c r="AC117" s="3" t="s">
        <v>10</v>
      </c>
      <c r="AD117">
        <v>2000000</v>
      </c>
      <c r="AE117">
        <v>2000000</v>
      </c>
      <c r="AF117" s="3" t="s">
        <v>640</v>
      </c>
    </row>
    <row r="118" spans="1:32" x14ac:dyDescent="0.35">
      <c r="A118" s="3" t="s">
        <v>608</v>
      </c>
      <c r="B118" s="3" t="s">
        <v>608</v>
      </c>
      <c r="C118" s="3" t="s">
        <v>608</v>
      </c>
      <c r="D118" s="3" t="s">
        <v>608</v>
      </c>
      <c r="E118" s="3" t="s">
        <v>608</v>
      </c>
      <c r="F118" s="3" t="s">
        <v>11</v>
      </c>
      <c r="G118" s="3" t="s">
        <v>12</v>
      </c>
      <c r="H118" s="3" t="s">
        <v>12</v>
      </c>
      <c r="I118" s="3" t="s">
        <v>640</v>
      </c>
      <c r="J118" s="3" t="s">
        <v>4</v>
      </c>
      <c r="K118" s="3" t="s">
        <v>640</v>
      </c>
      <c r="L118" s="3" t="s">
        <v>13</v>
      </c>
      <c r="M118" s="3" t="s">
        <v>14</v>
      </c>
      <c r="N118">
        <v>-14</v>
      </c>
      <c r="O118">
        <v>176.06</v>
      </c>
      <c r="P118">
        <v>-85</v>
      </c>
      <c r="Q118">
        <v>4300</v>
      </c>
      <c r="R118">
        <v>0</v>
      </c>
      <c r="S118" s="3" t="s">
        <v>640</v>
      </c>
      <c r="T118">
        <v>-2091</v>
      </c>
      <c r="U118">
        <v>0</v>
      </c>
      <c r="V118">
        <v>0</v>
      </c>
      <c r="W118">
        <v>0</v>
      </c>
      <c r="X118">
        <v>-13897</v>
      </c>
      <c r="Y118" s="3" t="s">
        <v>15</v>
      </c>
      <c r="Z118">
        <v>176.32</v>
      </c>
      <c r="AA118">
        <v>-14</v>
      </c>
      <c r="AB118" s="3" t="s">
        <v>230</v>
      </c>
      <c r="AC118" s="3" t="s">
        <v>10</v>
      </c>
      <c r="AD118">
        <v>0</v>
      </c>
      <c r="AE118">
        <v>0</v>
      </c>
      <c r="AF118" s="3" t="s">
        <v>640</v>
      </c>
    </row>
    <row r="119" spans="1:32" x14ac:dyDescent="0.35">
      <c r="A119" s="3" t="s">
        <v>608</v>
      </c>
      <c r="B119" s="3" t="s">
        <v>608</v>
      </c>
      <c r="C119" s="3" t="s">
        <v>608</v>
      </c>
      <c r="D119" s="3" t="s">
        <v>608</v>
      </c>
      <c r="E119" s="3" t="s">
        <v>608</v>
      </c>
      <c r="F119" s="3" t="s">
        <v>16</v>
      </c>
      <c r="G119" s="3" t="s">
        <v>17</v>
      </c>
      <c r="H119" s="3" t="s">
        <v>17</v>
      </c>
      <c r="I119" s="3" t="s">
        <v>640</v>
      </c>
      <c r="J119" s="3" t="s">
        <v>4</v>
      </c>
      <c r="K119" s="3" t="s">
        <v>640</v>
      </c>
      <c r="L119" s="3" t="s">
        <v>13</v>
      </c>
      <c r="M119" s="3" t="s">
        <v>14</v>
      </c>
      <c r="N119">
        <v>6</v>
      </c>
      <c r="O119">
        <v>135.85</v>
      </c>
      <c r="P119">
        <v>-50</v>
      </c>
      <c r="Q119">
        <v>-420</v>
      </c>
      <c r="R119">
        <v>0</v>
      </c>
      <c r="S119" s="3" t="s">
        <v>640</v>
      </c>
      <c r="T119">
        <v>373</v>
      </c>
      <c r="U119">
        <v>0</v>
      </c>
      <c r="V119">
        <v>0</v>
      </c>
      <c r="W119">
        <v>0</v>
      </c>
      <c r="X119">
        <v>2400</v>
      </c>
      <c r="Y119" s="3" t="s">
        <v>15</v>
      </c>
      <c r="Z119">
        <v>135.91999999999999</v>
      </c>
      <c r="AA119">
        <v>6</v>
      </c>
      <c r="AB119" s="3" t="s">
        <v>230</v>
      </c>
      <c r="AC119" s="3" t="s">
        <v>10</v>
      </c>
      <c r="AD119">
        <v>0</v>
      </c>
      <c r="AE119">
        <v>0</v>
      </c>
      <c r="AF119" s="3" t="s">
        <v>640</v>
      </c>
    </row>
    <row r="120" spans="1:32" x14ac:dyDescent="0.35">
      <c r="A120" s="3" t="s">
        <v>608</v>
      </c>
      <c r="B120" s="3" t="s">
        <v>608</v>
      </c>
      <c r="C120" s="3" t="s">
        <v>608</v>
      </c>
      <c r="D120" s="3" t="s">
        <v>608</v>
      </c>
      <c r="E120" s="3" t="s">
        <v>608</v>
      </c>
      <c r="F120" s="3" t="s">
        <v>233</v>
      </c>
      <c r="G120" s="3" t="s">
        <v>233</v>
      </c>
      <c r="H120" s="3" t="s">
        <v>234</v>
      </c>
      <c r="I120" s="3" t="s">
        <v>235</v>
      </c>
      <c r="J120" s="3" t="s">
        <v>4</v>
      </c>
      <c r="K120" s="3" t="s">
        <v>735</v>
      </c>
      <c r="L120" s="3" t="s">
        <v>30</v>
      </c>
      <c r="M120" s="3" t="s">
        <v>14</v>
      </c>
      <c r="N120">
        <v>-1000000</v>
      </c>
      <c r="O120">
        <v>98.271000000000001</v>
      </c>
      <c r="P120">
        <v>123</v>
      </c>
      <c r="Q120">
        <v>0</v>
      </c>
      <c r="R120">
        <v>-14</v>
      </c>
      <c r="S120" s="3" t="s">
        <v>7</v>
      </c>
      <c r="T120">
        <v>-596</v>
      </c>
      <c r="U120">
        <v>-602</v>
      </c>
      <c r="V120">
        <v>-741</v>
      </c>
      <c r="W120">
        <v>-2.39</v>
      </c>
      <c r="X120">
        <v>-982710</v>
      </c>
      <c r="Y120" s="3" t="s">
        <v>31</v>
      </c>
      <c r="Z120">
        <v>98.271000000000001</v>
      </c>
      <c r="AA120">
        <v>-1000000</v>
      </c>
      <c r="AB120" s="3" t="s">
        <v>230</v>
      </c>
      <c r="AC120" s="3" t="s">
        <v>10</v>
      </c>
      <c r="AD120">
        <v>-986740</v>
      </c>
      <c r="AE120">
        <v>986740</v>
      </c>
      <c r="AF120" s="3" t="s">
        <v>640</v>
      </c>
    </row>
    <row r="121" spans="1:32" x14ac:dyDescent="0.35">
      <c r="A121" s="3" t="s">
        <v>608</v>
      </c>
      <c r="B121" s="3" t="s">
        <v>608</v>
      </c>
      <c r="C121" s="3" t="s">
        <v>608</v>
      </c>
      <c r="D121" s="3" t="s">
        <v>608</v>
      </c>
      <c r="E121" s="3" t="s">
        <v>608</v>
      </c>
      <c r="F121" s="3" t="s">
        <v>236</v>
      </c>
      <c r="G121" s="3" t="s">
        <v>236</v>
      </c>
      <c r="H121" s="3" t="s">
        <v>237</v>
      </c>
      <c r="I121" s="3" t="s">
        <v>238</v>
      </c>
      <c r="J121" s="3" t="s">
        <v>4</v>
      </c>
      <c r="K121" s="3" t="s">
        <v>736</v>
      </c>
      <c r="L121" s="3" t="s">
        <v>30</v>
      </c>
      <c r="M121" s="3" t="s">
        <v>14</v>
      </c>
      <c r="N121">
        <v>1000000</v>
      </c>
      <c r="O121">
        <v>99.284000000000006</v>
      </c>
      <c r="P121">
        <v>96</v>
      </c>
      <c r="Q121">
        <v>0</v>
      </c>
      <c r="R121">
        <v>17</v>
      </c>
      <c r="S121" s="3" t="s">
        <v>640</v>
      </c>
      <c r="T121">
        <v>986</v>
      </c>
      <c r="U121">
        <v>998</v>
      </c>
      <c r="V121">
        <v>961</v>
      </c>
      <c r="W121">
        <v>3.1</v>
      </c>
      <c r="X121">
        <v>992840</v>
      </c>
      <c r="Y121" s="3" t="s">
        <v>31</v>
      </c>
      <c r="Z121">
        <v>99.284000000000006</v>
      </c>
      <c r="AA121">
        <v>1000000</v>
      </c>
      <c r="AB121" s="3" t="s">
        <v>230</v>
      </c>
      <c r="AC121" s="3" t="s">
        <v>10</v>
      </c>
      <c r="AD121">
        <v>993079</v>
      </c>
      <c r="AE121">
        <v>993079</v>
      </c>
      <c r="AF121" s="3" t="s">
        <v>640</v>
      </c>
    </row>
    <row r="122" spans="1:32" x14ac:dyDescent="0.35">
      <c r="A122" s="3" t="s">
        <v>608</v>
      </c>
      <c r="B122" s="3" t="s">
        <v>608</v>
      </c>
      <c r="C122" s="3" t="s">
        <v>608</v>
      </c>
      <c r="D122" s="3" t="s">
        <v>608</v>
      </c>
      <c r="E122" s="3" t="s">
        <v>608</v>
      </c>
      <c r="F122" s="3" t="s">
        <v>239</v>
      </c>
      <c r="G122" s="3" t="s">
        <v>239</v>
      </c>
      <c r="H122" s="3" t="s">
        <v>240</v>
      </c>
      <c r="I122" s="3" t="s">
        <v>241</v>
      </c>
      <c r="J122" s="3" t="s">
        <v>4</v>
      </c>
      <c r="K122" s="3" t="s">
        <v>737</v>
      </c>
      <c r="L122" s="3" t="s">
        <v>30</v>
      </c>
      <c r="M122" s="3" t="s">
        <v>14</v>
      </c>
      <c r="N122">
        <v>1000000</v>
      </c>
      <c r="O122">
        <v>107.871</v>
      </c>
      <c r="P122">
        <v>85</v>
      </c>
      <c r="Q122">
        <v>0</v>
      </c>
      <c r="R122">
        <v>45</v>
      </c>
      <c r="S122" s="3" t="s">
        <v>7</v>
      </c>
      <c r="T122">
        <v>673</v>
      </c>
      <c r="U122">
        <v>680</v>
      </c>
      <c r="V122">
        <v>575</v>
      </c>
      <c r="W122">
        <v>1.85</v>
      </c>
      <c r="X122">
        <v>1078710</v>
      </c>
      <c r="Y122" s="3" t="s">
        <v>31</v>
      </c>
      <c r="Z122">
        <v>107.871</v>
      </c>
      <c r="AA122">
        <v>1000000</v>
      </c>
      <c r="AB122" s="3" t="s">
        <v>230</v>
      </c>
      <c r="AC122" s="3" t="s">
        <v>10</v>
      </c>
      <c r="AD122">
        <v>1086339</v>
      </c>
      <c r="AE122">
        <v>1086339</v>
      </c>
      <c r="AF122" s="3" t="s">
        <v>640</v>
      </c>
    </row>
    <row r="123" spans="1:32" x14ac:dyDescent="0.35">
      <c r="A123" s="3" t="s">
        <v>608</v>
      </c>
      <c r="B123" s="3" t="s">
        <v>608</v>
      </c>
      <c r="C123" s="3" t="s">
        <v>608</v>
      </c>
      <c r="D123" s="3" t="s">
        <v>608</v>
      </c>
      <c r="E123" s="3" t="s">
        <v>608</v>
      </c>
      <c r="F123" s="3" t="s">
        <v>242</v>
      </c>
      <c r="G123" s="3" t="s">
        <v>243</v>
      </c>
      <c r="H123" s="3" t="s">
        <v>243</v>
      </c>
      <c r="I123" s="3" t="s">
        <v>244</v>
      </c>
      <c r="J123" s="3" t="s">
        <v>4</v>
      </c>
      <c r="K123" s="3" t="s">
        <v>652</v>
      </c>
      <c r="L123" s="3" t="s">
        <v>245</v>
      </c>
      <c r="M123" s="3" t="s">
        <v>6</v>
      </c>
      <c r="N123">
        <v>1750000</v>
      </c>
      <c r="O123">
        <v>-0.99399999999999999</v>
      </c>
      <c r="P123">
        <v>76</v>
      </c>
      <c r="Q123">
        <v>0</v>
      </c>
      <c r="R123">
        <v>-49</v>
      </c>
      <c r="S123" s="3" t="s">
        <v>246</v>
      </c>
      <c r="T123">
        <v>-6</v>
      </c>
      <c r="U123">
        <v>-902</v>
      </c>
      <c r="V123">
        <v>-686</v>
      </c>
      <c r="W123">
        <v>-2.21</v>
      </c>
      <c r="X123">
        <v>-17396</v>
      </c>
      <c r="Y123" s="3" t="s">
        <v>640</v>
      </c>
      <c r="Z123">
        <v>-0.99399999999999999</v>
      </c>
      <c r="AA123">
        <v>1750000</v>
      </c>
      <c r="AB123" s="3" t="s">
        <v>230</v>
      </c>
      <c r="AC123" s="3" t="s">
        <v>10</v>
      </c>
      <c r="AD123">
        <v>-1750000</v>
      </c>
      <c r="AE123">
        <v>1750000</v>
      </c>
      <c r="AF123" s="3" t="s">
        <v>640</v>
      </c>
    </row>
    <row r="124" spans="1:32" x14ac:dyDescent="0.35">
      <c r="A124" s="3" t="s">
        <v>608</v>
      </c>
      <c r="B124" s="3" t="s">
        <v>608</v>
      </c>
      <c r="C124" s="3" t="s">
        <v>608</v>
      </c>
      <c r="D124" s="3" t="s">
        <v>608</v>
      </c>
      <c r="E124" s="3" t="s">
        <v>608</v>
      </c>
      <c r="F124" s="3" t="s">
        <v>247</v>
      </c>
      <c r="G124" s="3" t="s">
        <v>247</v>
      </c>
      <c r="H124" s="3" t="s">
        <v>248</v>
      </c>
      <c r="I124" s="3" t="s">
        <v>249</v>
      </c>
      <c r="J124" s="3" t="s">
        <v>4</v>
      </c>
      <c r="K124" s="3" t="s">
        <v>738</v>
      </c>
      <c r="L124" s="3" t="s">
        <v>30</v>
      </c>
      <c r="M124" s="3" t="s">
        <v>14</v>
      </c>
      <c r="N124">
        <v>500000</v>
      </c>
      <c r="O124">
        <v>99.082999999999998</v>
      </c>
      <c r="P124">
        <v>201</v>
      </c>
      <c r="Q124">
        <v>0</v>
      </c>
      <c r="R124">
        <v>22</v>
      </c>
      <c r="S124" s="3" t="s">
        <v>250</v>
      </c>
      <c r="T124">
        <v>452</v>
      </c>
      <c r="U124">
        <v>457</v>
      </c>
      <c r="V124">
        <v>920</v>
      </c>
      <c r="W124">
        <v>2.97</v>
      </c>
      <c r="X124">
        <v>495415</v>
      </c>
      <c r="Y124" s="3" t="s">
        <v>31</v>
      </c>
      <c r="Z124">
        <v>99.082999999999998</v>
      </c>
      <c r="AA124">
        <v>500000</v>
      </c>
      <c r="AB124" s="3" t="s">
        <v>230</v>
      </c>
      <c r="AC124" s="3" t="s">
        <v>10</v>
      </c>
      <c r="AD124">
        <v>495704</v>
      </c>
      <c r="AE124">
        <v>495704</v>
      </c>
      <c r="AF124" s="3" t="s">
        <v>640</v>
      </c>
    </row>
    <row r="125" spans="1:32" x14ac:dyDescent="0.35">
      <c r="A125" s="3" t="s">
        <v>608</v>
      </c>
      <c r="B125" s="3" t="s">
        <v>608</v>
      </c>
      <c r="C125" s="3" t="s">
        <v>608</v>
      </c>
      <c r="D125" s="3" t="s">
        <v>608</v>
      </c>
      <c r="E125" s="3" t="s">
        <v>608</v>
      </c>
      <c r="F125" s="3" t="s">
        <v>251</v>
      </c>
      <c r="G125" s="3" t="s">
        <v>251</v>
      </c>
      <c r="H125" s="3" t="s">
        <v>252</v>
      </c>
      <c r="I125" s="3" t="s">
        <v>253</v>
      </c>
      <c r="J125" s="3" t="s">
        <v>4</v>
      </c>
      <c r="K125" s="3" t="s">
        <v>864</v>
      </c>
      <c r="L125" s="3" t="s">
        <v>30</v>
      </c>
      <c r="M125" s="3" t="s">
        <v>14</v>
      </c>
      <c r="N125">
        <v>500000</v>
      </c>
      <c r="O125">
        <v>99.293999999999997</v>
      </c>
      <c r="P125">
        <v>76</v>
      </c>
      <c r="Q125">
        <v>0</v>
      </c>
      <c r="R125">
        <v>0</v>
      </c>
      <c r="S125" s="3" t="s">
        <v>7</v>
      </c>
      <c r="T125">
        <v>343</v>
      </c>
      <c r="U125">
        <v>347</v>
      </c>
      <c r="V125">
        <v>265</v>
      </c>
      <c r="W125">
        <v>0.85</v>
      </c>
      <c r="X125">
        <v>496470</v>
      </c>
      <c r="Y125" s="3" t="s">
        <v>31</v>
      </c>
      <c r="Z125">
        <v>99.293999999999997</v>
      </c>
      <c r="AA125">
        <v>500000</v>
      </c>
      <c r="AB125" s="3" t="s">
        <v>230</v>
      </c>
      <c r="AC125" s="3" t="s">
        <v>10</v>
      </c>
      <c r="AD125">
        <v>496470</v>
      </c>
      <c r="AE125">
        <v>496470</v>
      </c>
      <c r="AF125" s="3" t="s">
        <v>640</v>
      </c>
    </row>
    <row r="126" spans="1:32" x14ac:dyDescent="0.35">
      <c r="A126" s="3" t="s">
        <v>608</v>
      </c>
      <c r="B126" s="3" t="s">
        <v>608</v>
      </c>
      <c r="C126" s="3" t="s">
        <v>608</v>
      </c>
      <c r="D126" s="3" t="s">
        <v>608</v>
      </c>
      <c r="E126" s="3" t="s">
        <v>608</v>
      </c>
      <c r="F126" s="3" t="s">
        <v>254</v>
      </c>
      <c r="G126" s="3" t="s">
        <v>255</v>
      </c>
      <c r="H126" s="3" t="s">
        <v>255</v>
      </c>
      <c r="I126" s="3" t="s">
        <v>640</v>
      </c>
      <c r="J126" s="3" t="s">
        <v>4</v>
      </c>
      <c r="K126" s="3" t="s">
        <v>652</v>
      </c>
      <c r="L126" s="3" t="s">
        <v>5</v>
      </c>
      <c r="M126" s="3" t="s">
        <v>6</v>
      </c>
      <c r="N126">
        <v>8000000</v>
      </c>
      <c r="O126">
        <v>-6.585</v>
      </c>
      <c r="P126">
        <v>355</v>
      </c>
      <c r="Q126">
        <v>0</v>
      </c>
      <c r="R126">
        <v>-1111</v>
      </c>
      <c r="S126" s="3" t="s">
        <v>7</v>
      </c>
      <c r="T126">
        <v>135</v>
      </c>
      <c r="U126">
        <v>-3846</v>
      </c>
      <c r="V126">
        <v>-13653</v>
      </c>
      <c r="W126">
        <v>-44.04</v>
      </c>
      <c r="X126">
        <v>-526800</v>
      </c>
      <c r="Y126" s="3" t="s">
        <v>640</v>
      </c>
      <c r="Z126">
        <v>-6.585</v>
      </c>
      <c r="AA126">
        <v>8000000</v>
      </c>
      <c r="AB126" s="3" t="s">
        <v>256</v>
      </c>
      <c r="AC126" s="3" t="s">
        <v>10</v>
      </c>
      <c r="AD126">
        <v>-8000000</v>
      </c>
      <c r="AE126">
        <v>8000000</v>
      </c>
      <c r="AF126" s="3" t="s">
        <v>640</v>
      </c>
    </row>
    <row r="127" spans="1:32" x14ac:dyDescent="0.35">
      <c r="A127" s="3" t="s">
        <v>608</v>
      </c>
      <c r="B127" s="3" t="s">
        <v>608</v>
      </c>
      <c r="C127" s="3" t="s">
        <v>608</v>
      </c>
      <c r="D127" s="3" t="s">
        <v>608</v>
      </c>
      <c r="E127" s="3" t="s">
        <v>608</v>
      </c>
      <c r="F127" s="3" t="s">
        <v>987</v>
      </c>
      <c r="G127" s="3" t="s">
        <v>987</v>
      </c>
      <c r="H127" s="3" t="s">
        <v>988</v>
      </c>
      <c r="I127" s="3" t="s">
        <v>989</v>
      </c>
      <c r="J127" s="3" t="s">
        <v>4</v>
      </c>
      <c r="K127" s="3" t="s">
        <v>990</v>
      </c>
      <c r="L127" s="3" t="s">
        <v>30</v>
      </c>
      <c r="M127" s="3" t="s">
        <v>14</v>
      </c>
      <c r="N127">
        <v>1000000</v>
      </c>
      <c r="O127">
        <v>95.876000000000005</v>
      </c>
      <c r="P127">
        <v>288</v>
      </c>
      <c r="Q127">
        <v>0</v>
      </c>
      <c r="R127">
        <v>0</v>
      </c>
      <c r="S127" s="3" t="s">
        <v>263</v>
      </c>
      <c r="T127">
        <v>451</v>
      </c>
      <c r="U127">
        <v>455</v>
      </c>
      <c r="V127">
        <v>1311</v>
      </c>
      <c r="W127">
        <v>4.2300000000000004</v>
      </c>
      <c r="X127">
        <v>958760</v>
      </c>
      <c r="Y127" s="3" t="s">
        <v>640</v>
      </c>
      <c r="Z127">
        <v>0</v>
      </c>
      <c r="AA127">
        <v>0</v>
      </c>
      <c r="AB127" s="3" t="s">
        <v>256</v>
      </c>
      <c r="AC127" s="3" t="s">
        <v>10</v>
      </c>
      <c r="AD127">
        <v>970604</v>
      </c>
      <c r="AE127">
        <v>970604</v>
      </c>
      <c r="AF127" s="3" t="s">
        <v>640</v>
      </c>
    </row>
    <row r="128" spans="1:32" x14ac:dyDescent="0.35">
      <c r="A128" s="3" t="s">
        <v>608</v>
      </c>
      <c r="B128" s="3" t="s">
        <v>608</v>
      </c>
      <c r="C128" s="3" t="s">
        <v>608</v>
      </c>
      <c r="D128" s="3" t="s">
        <v>608</v>
      </c>
      <c r="E128" s="3" t="s">
        <v>608</v>
      </c>
      <c r="F128" s="3" t="s">
        <v>257</v>
      </c>
      <c r="G128" s="3" t="s">
        <v>257</v>
      </c>
      <c r="H128" s="3" t="s">
        <v>258</v>
      </c>
      <c r="I128" s="3" t="s">
        <v>259</v>
      </c>
      <c r="J128" s="3" t="s">
        <v>4</v>
      </c>
      <c r="K128" s="3" t="s">
        <v>739</v>
      </c>
      <c r="L128" s="3" t="s">
        <v>30</v>
      </c>
      <c r="M128" s="3" t="s">
        <v>14</v>
      </c>
      <c r="N128">
        <v>645000</v>
      </c>
      <c r="O128">
        <v>102.98099999999999</v>
      </c>
      <c r="P128">
        <v>324</v>
      </c>
      <c r="Q128">
        <v>0</v>
      </c>
      <c r="R128">
        <v>68</v>
      </c>
      <c r="S128" s="3" t="s">
        <v>250</v>
      </c>
      <c r="T128">
        <v>167</v>
      </c>
      <c r="U128">
        <v>169</v>
      </c>
      <c r="V128">
        <v>548</v>
      </c>
      <c r="W128">
        <v>1.77</v>
      </c>
      <c r="X128">
        <v>664227</v>
      </c>
      <c r="Y128" s="3" t="s">
        <v>31</v>
      </c>
      <c r="Z128">
        <v>102.98099999999999</v>
      </c>
      <c r="AA128">
        <v>645000</v>
      </c>
      <c r="AB128" s="3" t="s">
        <v>256</v>
      </c>
      <c r="AC128" s="3" t="s">
        <v>10</v>
      </c>
      <c r="AD128">
        <v>666282</v>
      </c>
      <c r="AE128">
        <v>666282</v>
      </c>
      <c r="AF128" s="3" t="s">
        <v>640</v>
      </c>
    </row>
    <row r="129" spans="1:32" x14ac:dyDescent="0.35">
      <c r="A129" s="3" t="s">
        <v>608</v>
      </c>
      <c r="B129" s="3" t="s">
        <v>608</v>
      </c>
      <c r="C129" s="3" t="s">
        <v>608</v>
      </c>
      <c r="D129" s="3" t="s">
        <v>608</v>
      </c>
      <c r="E129" s="3" t="s">
        <v>608</v>
      </c>
      <c r="F129" s="3" t="s">
        <v>260</v>
      </c>
      <c r="G129" s="3" t="s">
        <v>260</v>
      </c>
      <c r="H129" s="3" t="s">
        <v>261</v>
      </c>
      <c r="I129" s="3" t="s">
        <v>262</v>
      </c>
      <c r="J129" s="3" t="s">
        <v>4</v>
      </c>
      <c r="K129" s="3" t="s">
        <v>740</v>
      </c>
      <c r="L129" s="3" t="s">
        <v>30</v>
      </c>
      <c r="M129" s="3" t="s">
        <v>14</v>
      </c>
      <c r="N129">
        <v>100000</v>
      </c>
      <c r="O129">
        <v>95.444999999999993</v>
      </c>
      <c r="P129">
        <v>459</v>
      </c>
      <c r="Q129">
        <v>0</v>
      </c>
      <c r="R129">
        <v>8</v>
      </c>
      <c r="S129" s="3" t="s">
        <v>263</v>
      </c>
      <c r="T129">
        <v>37</v>
      </c>
      <c r="U129">
        <v>37</v>
      </c>
      <c r="V129">
        <v>170</v>
      </c>
      <c r="W129">
        <v>0.55000000000000004</v>
      </c>
      <c r="X129">
        <v>95445</v>
      </c>
      <c r="Y129" s="3" t="s">
        <v>31</v>
      </c>
      <c r="Z129">
        <v>95.444999999999993</v>
      </c>
      <c r="AA129">
        <v>100000</v>
      </c>
      <c r="AB129" s="3" t="s">
        <v>256</v>
      </c>
      <c r="AC129" s="3" t="s">
        <v>10</v>
      </c>
      <c r="AD129">
        <v>97778</v>
      </c>
      <c r="AE129">
        <v>97778</v>
      </c>
      <c r="AF129" s="3" t="s">
        <v>640</v>
      </c>
    </row>
    <row r="130" spans="1:32" x14ac:dyDescent="0.35">
      <c r="A130" s="3" t="s">
        <v>608</v>
      </c>
      <c r="B130" s="3" t="s">
        <v>608</v>
      </c>
      <c r="C130" s="3" t="s">
        <v>608</v>
      </c>
      <c r="D130" s="3" t="s">
        <v>608</v>
      </c>
      <c r="E130" s="3" t="s">
        <v>608</v>
      </c>
      <c r="F130" s="3" t="s">
        <v>264</v>
      </c>
      <c r="G130" s="3" t="s">
        <v>264</v>
      </c>
      <c r="H130" s="3" t="s">
        <v>265</v>
      </c>
      <c r="I130" s="3" t="s">
        <v>262</v>
      </c>
      <c r="J130" s="3" t="s">
        <v>266</v>
      </c>
      <c r="K130" s="3" t="s">
        <v>741</v>
      </c>
      <c r="L130" s="3" t="s">
        <v>30</v>
      </c>
      <c r="M130" s="3" t="s">
        <v>14</v>
      </c>
      <c r="N130">
        <v>750000</v>
      </c>
      <c r="O130">
        <v>99.754999999999995</v>
      </c>
      <c r="P130">
        <v>507</v>
      </c>
      <c r="Q130">
        <v>0</v>
      </c>
      <c r="R130">
        <v>0</v>
      </c>
      <c r="S130" s="3" t="s">
        <v>263</v>
      </c>
      <c r="T130">
        <v>159</v>
      </c>
      <c r="U130">
        <v>161</v>
      </c>
      <c r="V130">
        <v>819</v>
      </c>
      <c r="W130">
        <v>2.64</v>
      </c>
      <c r="X130">
        <v>643304</v>
      </c>
      <c r="Y130" s="3" t="s">
        <v>31</v>
      </c>
      <c r="Z130">
        <v>100.31100000000001</v>
      </c>
      <c r="AA130">
        <v>0</v>
      </c>
      <c r="AB130" s="3" t="s">
        <v>256</v>
      </c>
      <c r="AC130" s="3" t="s">
        <v>10</v>
      </c>
      <c r="AD130">
        <v>654679</v>
      </c>
      <c r="AE130">
        <v>654679</v>
      </c>
      <c r="AF130" s="3" t="s">
        <v>640</v>
      </c>
    </row>
    <row r="131" spans="1:32" x14ac:dyDescent="0.35">
      <c r="A131" s="3" t="s">
        <v>608</v>
      </c>
      <c r="B131" s="3" t="s">
        <v>608</v>
      </c>
      <c r="C131" s="3" t="s">
        <v>608</v>
      </c>
      <c r="D131" s="3" t="s">
        <v>608</v>
      </c>
      <c r="E131" s="3" t="s">
        <v>608</v>
      </c>
      <c r="F131" s="3" t="s">
        <v>267</v>
      </c>
      <c r="G131" s="3" t="s">
        <v>267</v>
      </c>
      <c r="H131" s="3" t="s">
        <v>268</v>
      </c>
      <c r="I131" s="3" t="s">
        <v>269</v>
      </c>
      <c r="J131" s="3" t="s">
        <v>4</v>
      </c>
      <c r="K131" s="3" t="s">
        <v>742</v>
      </c>
      <c r="L131" s="3" t="s">
        <v>30</v>
      </c>
      <c r="M131" s="3" t="s">
        <v>14</v>
      </c>
      <c r="N131">
        <v>177000</v>
      </c>
      <c r="O131">
        <v>98.709000000000003</v>
      </c>
      <c r="P131">
        <v>412</v>
      </c>
      <c r="Q131">
        <v>0</v>
      </c>
      <c r="R131">
        <v>15</v>
      </c>
      <c r="S131" s="3" t="s">
        <v>263</v>
      </c>
      <c r="T131">
        <v>39</v>
      </c>
      <c r="U131">
        <v>39</v>
      </c>
      <c r="V131">
        <v>161</v>
      </c>
      <c r="W131">
        <v>0.52</v>
      </c>
      <c r="X131">
        <v>174715</v>
      </c>
      <c r="Y131" s="3" t="s">
        <v>31</v>
      </c>
      <c r="Z131">
        <v>98.709000000000003</v>
      </c>
      <c r="AA131">
        <v>177000</v>
      </c>
      <c r="AB131" s="3" t="s">
        <v>256</v>
      </c>
      <c r="AC131" s="3" t="s">
        <v>10</v>
      </c>
      <c r="AD131">
        <v>178236</v>
      </c>
      <c r="AE131">
        <v>178236</v>
      </c>
      <c r="AF131" s="3" t="s">
        <v>640</v>
      </c>
    </row>
    <row r="132" spans="1:32" x14ac:dyDescent="0.35">
      <c r="A132" s="3" t="s">
        <v>608</v>
      </c>
      <c r="B132" s="3" t="s">
        <v>608</v>
      </c>
      <c r="C132" s="3" t="s">
        <v>608</v>
      </c>
      <c r="D132" s="3" t="s">
        <v>608</v>
      </c>
      <c r="E132" s="3" t="s">
        <v>608</v>
      </c>
      <c r="F132" s="3" t="s">
        <v>270</v>
      </c>
      <c r="G132" s="3" t="s">
        <v>270</v>
      </c>
      <c r="H132" s="3" t="s">
        <v>271</v>
      </c>
      <c r="I132" s="3" t="s">
        <v>272</v>
      </c>
      <c r="J132" s="3" t="s">
        <v>4</v>
      </c>
      <c r="K132" s="3" t="s">
        <v>743</v>
      </c>
      <c r="L132" s="3" t="s">
        <v>30</v>
      </c>
      <c r="M132" s="3" t="s">
        <v>14</v>
      </c>
      <c r="N132">
        <v>-400000</v>
      </c>
      <c r="O132">
        <v>99.61</v>
      </c>
      <c r="P132">
        <v>361</v>
      </c>
      <c r="Q132">
        <v>-714</v>
      </c>
      <c r="R132">
        <v>-17</v>
      </c>
      <c r="S132" s="3" t="s">
        <v>263</v>
      </c>
      <c r="T132">
        <v>-240</v>
      </c>
      <c r="U132">
        <v>-242</v>
      </c>
      <c r="V132">
        <v>-875</v>
      </c>
      <c r="W132">
        <v>-2.82</v>
      </c>
      <c r="X132">
        <v>-398440</v>
      </c>
      <c r="Y132" s="3" t="s">
        <v>31</v>
      </c>
      <c r="Z132">
        <v>99.253</v>
      </c>
      <c r="AA132">
        <v>-200000</v>
      </c>
      <c r="AB132" s="3" t="s">
        <v>256</v>
      </c>
      <c r="AC132" s="3" t="s">
        <v>10</v>
      </c>
      <c r="AD132">
        <v>-410684</v>
      </c>
      <c r="AE132">
        <v>410684</v>
      </c>
      <c r="AF132" s="3" t="s">
        <v>640</v>
      </c>
    </row>
    <row r="133" spans="1:32" x14ac:dyDescent="0.35">
      <c r="A133" s="3" t="s">
        <v>608</v>
      </c>
      <c r="B133" s="3" t="s">
        <v>608</v>
      </c>
      <c r="C133" s="3" t="s">
        <v>608</v>
      </c>
      <c r="D133" s="3" t="s">
        <v>608</v>
      </c>
      <c r="E133" s="3" t="s">
        <v>608</v>
      </c>
      <c r="F133" s="3" t="s">
        <v>273</v>
      </c>
      <c r="G133" s="3" t="s">
        <v>273</v>
      </c>
      <c r="H133" s="3" t="s">
        <v>274</v>
      </c>
      <c r="I133" s="3" t="s">
        <v>272</v>
      </c>
      <c r="J133" s="3" t="s">
        <v>4</v>
      </c>
      <c r="K133" s="3" t="s">
        <v>744</v>
      </c>
      <c r="L133" s="3" t="s">
        <v>30</v>
      </c>
      <c r="M133" s="3" t="s">
        <v>14</v>
      </c>
      <c r="N133">
        <v>4500000</v>
      </c>
      <c r="O133">
        <v>96.894999999999996</v>
      </c>
      <c r="P133">
        <v>367</v>
      </c>
      <c r="Q133">
        <v>2670</v>
      </c>
      <c r="R133">
        <v>98</v>
      </c>
      <c r="S133" s="3" t="s">
        <v>263</v>
      </c>
      <c r="T133">
        <v>1737</v>
      </c>
      <c r="U133">
        <v>1754</v>
      </c>
      <c r="V133">
        <v>6440</v>
      </c>
      <c r="W133">
        <v>20.77</v>
      </c>
      <c r="X133">
        <v>4360275</v>
      </c>
      <c r="Y133" s="3" t="s">
        <v>31</v>
      </c>
      <c r="Z133">
        <v>97.429000000000002</v>
      </c>
      <c r="AA133">
        <v>-500000</v>
      </c>
      <c r="AB133" s="3" t="s">
        <v>256</v>
      </c>
      <c r="AC133" s="3" t="s">
        <v>10</v>
      </c>
      <c r="AD133">
        <v>4412135</v>
      </c>
      <c r="AE133">
        <v>4412135</v>
      </c>
      <c r="AF133" s="3" t="s">
        <v>640</v>
      </c>
    </row>
    <row r="134" spans="1:32" x14ac:dyDescent="0.35">
      <c r="A134" s="3" t="s">
        <v>608</v>
      </c>
      <c r="B134" s="3" t="s">
        <v>608</v>
      </c>
      <c r="C134" s="3" t="s">
        <v>608</v>
      </c>
      <c r="D134" s="3" t="s">
        <v>608</v>
      </c>
      <c r="E134" s="3" t="s">
        <v>608</v>
      </c>
      <c r="F134" s="3" t="s">
        <v>275</v>
      </c>
      <c r="G134" s="3" t="s">
        <v>275</v>
      </c>
      <c r="H134" s="3" t="s">
        <v>276</v>
      </c>
      <c r="I134" s="3" t="s">
        <v>277</v>
      </c>
      <c r="J134" s="3" t="s">
        <v>4</v>
      </c>
      <c r="K134" s="3" t="s">
        <v>745</v>
      </c>
      <c r="L134" s="3" t="s">
        <v>30</v>
      </c>
      <c r="M134" s="3" t="s">
        <v>14</v>
      </c>
      <c r="N134">
        <v>-3200000</v>
      </c>
      <c r="O134">
        <v>101.099</v>
      </c>
      <c r="P134">
        <v>182</v>
      </c>
      <c r="Q134">
        <v>0</v>
      </c>
      <c r="R134">
        <v>-153</v>
      </c>
      <c r="S134" s="3" t="s">
        <v>263</v>
      </c>
      <c r="T134">
        <v>-754</v>
      </c>
      <c r="U134">
        <v>-761</v>
      </c>
      <c r="V134">
        <v>-1384</v>
      </c>
      <c r="W134">
        <v>-4.47</v>
      </c>
      <c r="X134">
        <v>-3235168</v>
      </c>
      <c r="Y134" s="3" t="s">
        <v>31</v>
      </c>
      <c r="Z134">
        <v>101.099</v>
      </c>
      <c r="AA134">
        <v>-3200000</v>
      </c>
      <c r="AB134" s="3" t="s">
        <v>256</v>
      </c>
      <c r="AC134" s="3" t="s">
        <v>10</v>
      </c>
      <c r="AD134">
        <v>-3255727</v>
      </c>
      <c r="AE134">
        <v>3255727</v>
      </c>
      <c r="AF134" s="3" t="s">
        <v>640</v>
      </c>
    </row>
    <row r="135" spans="1:32" x14ac:dyDescent="0.35">
      <c r="A135" s="3" t="s">
        <v>608</v>
      </c>
      <c r="B135" s="3" t="s">
        <v>608</v>
      </c>
      <c r="C135" s="3" t="s">
        <v>608</v>
      </c>
      <c r="D135" s="3" t="s">
        <v>608</v>
      </c>
      <c r="E135" s="3" t="s">
        <v>608</v>
      </c>
      <c r="F135" s="3" t="s">
        <v>596</v>
      </c>
      <c r="G135" s="3" t="s">
        <v>596</v>
      </c>
      <c r="H135" s="3" t="s">
        <v>597</v>
      </c>
      <c r="I135" s="3" t="s">
        <v>45</v>
      </c>
      <c r="J135" s="3" t="s">
        <v>4</v>
      </c>
      <c r="K135" s="3" t="s">
        <v>746</v>
      </c>
      <c r="L135" s="3" t="s">
        <v>30</v>
      </c>
      <c r="M135" s="3" t="s">
        <v>14</v>
      </c>
      <c r="N135">
        <v>0</v>
      </c>
      <c r="O135">
        <v>102.935</v>
      </c>
      <c r="P135">
        <v>359</v>
      </c>
      <c r="Q135">
        <v>0</v>
      </c>
      <c r="R135">
        <v>172</v>
      </c>
      <c r="S135" s="3" t="s">
        <v>263</v>
      </c>
      <c r="T135">
        <v>0</v>
      </c>
      <c r="U135">
        <v>0</v>
      </c>
      <c r="V135">
        <v>0</v>
      </c>
      <c r="W135">
        <v>0</v>
      </c>
      <c r="X135">
        <v>0</v>
      </c>
      <c r="Y135" s="3" t="s">
        <v>31</v>
      </c>
      <c r="Z135">
        <v>102.935</v>
      </c>
      <c r="AA135">
        <v>0</v>
      </c>
      <c r="AB135" s="3" t="s">
        <v>256</v>
      </c>
      <c r="AC135" s="3" t="s">
        <v>10</v>
      </c>
      <c r="AD135">
        <v>0</v>
      </c>
      <c r="AE135">
        <v>0</v>
      </c>
      <c r="AF135" s="3" t="s">
        <v>640</v>
      </c>
    </row>
    <row r="136" spans="1:32" x14ac:dyDescent="0.35">
      <c r="A136" s="3" t="s">
        <v>608</v>
      </c>
      <c r="B136" s="3" t="s">
        <v>608</v>
      </c>
      <c r="C136" s="3" t="s">
        <v>608</v>
      </c>
      <c r="D136" s="3" t="s">
        <v>608</v>
      </c>
      <c r="E136" s="3" t="s">
        <v>608</v>
      </c>
      <c r="F136" s="3" t="s">
        <v>278</v>
      </c>
      <c r="G136" s="3" t="s">
        <v>278</v>
      </c>
      <c r="H136" s="3" t="s">
        <v>279</v>
      </c>
      <c r="I136" s="3" t="s">
        <v>45</v>
      </c>
      <c r="J136" s="3" t="s">
        <v>4</v>
      </c>
      <c r="K136" s="3" t="s">
        <v>747</v>
      </c>
      <c r="L136" s="3" t="s">
        <v>30</v>
      </c>
      <c r="M136" s="3" t="s">
        <v>14</v>
      </c>
      <c r="N136">
        <v>-6900000</v>
      </c>
      <c r="O136">
        <v>103.002</v>
      </c>
      <c r="P136">
        <v>312</v>
      </c>
      <c r="Q136">
        <v>0</v>
      </c>
      <c r="R136">
        <v>-712</v>
      </c>
      <c r="S136" s="3" t="s">
        <v>263</v>
      </c>
      <c r="T136">
        <v>-3479</v>
      </c>
      <c r="U136">
        <v>-3515</v>
      </c>
      <c r="V136">
        <v>-10959</v>
      </c>
      <c r="W136">
        <v>-35.35</v>
      </c>
      <c r="X136">
        <v>-7107138</v>
      </c>
      <c r="Y136" s="3" t="s">
        <v>31</v>
      </c>
      <c r="Z136">
        <v>103.002</v>
      </c>
      <c r="AA136">
        <v>-6900000</v>
      </c>
      <c r="AB136" s="3" t="s">
        <v>256</v>
      </c>
      <c r="AC136" s="3" t="s">
        <v>10</v>
      </c>
      <c r="AD136">
        <v>-7190080</v>
      </c>
      <c r="AE136">
        <v>7190080</v>
      </c>
      <c r="AF136" s="3" t="s">
        <v>640</v>
      </c>
    </row>
    <row r="137" spans="1:32" x14ac:dyDescent="0.35">
      <c r="A137" s="3" t="s">
        <v>608</v>
      </c>
      <c r="B137" s="3" t="s">
        <v>608</v>
      </c>
      <c r="C137" s="3" t="s">
        <v>608</v>
      </c>
      <c r="D137" s="3" t="s">
        <v>608</v>
      </c>
      <c r="E137" s="3" t="s">
        <v>608</v>
      </c>
      <c r="F137" s="3" t="s">
        <v>280</v>
      </c>
      <c r="G137" s="3" t="s">
        <v>280</v>
      </c>
      <c r="H137" s="3" t="s">
        <v>281</v>
      </c>
      <c r="I137" s="3" t="s">
        <v>282</v>
      </c>
      <c r="J137" s="3" t="s">
        <v>283</v>
      </c>
      <c r="K137" s="3" t="s">
        <v>748</v>
      </c>
      <c r="L137" s="3" t="s">
        <v>30</v>
      </c>
      <c r="M137" s="3" t="s">
        <v>14</v>
      </c>
      <c r="N137">
        <v>0</v>
      </c>
      <c r="O137">
        <v>105.27200000000001</v>
      </c>
      <c r="P137">
        <v>376</v>
      </c>
      <c r="Q137">
        <v>0</v>
      </c>
      <c r="R137">
        <v>0</v>
      </c>
      <c r="S137" s="3" t="s">
        <v>263</v>
      </c>
      <c r="T137">
        <v>0</v>
      </c>
      <c r="U137">
        <v>0</v>
      </c>
      <c r="V137">
        <v>0</v>
      </c>
      <c r="W137">
        <v>0</v>
      </c>
      <c r="X137">
        <v>0</v>
      </c>
      <c r="Y137" s="3" t="s">
        <v>31</v>
      </c>
      <c r="Z137">
        <v>105.27200000000001</v>
      </c>
      <c r="AA137">
        <v>0</v>
      </c>
      <c r="AB137" s="3" t="s">
        <v>256</v>
      </c>
      <c r="AC137" s="3" t="s">
        <v>10</v>
      </c>
      <c r="AD137">
        <v>0</v>
      </c>
      <c r="AE137">
        <v>0</v>
      </c>
      <c r="AF137" s="3" t="s">
        <v>640</v>
      </c>
    </row>
    <row r="138" spans="1:32" x14ac:dyDescent="0.35">
      <c r="A138" s="3" t="s">
        <v>608</v>
      </c>
      <c r="B138" s="3" t="s">
        <v>608</v>
      </c>
      <c r="C138" s="3" t="s">
        <v>608</v>
      </c>
      <c r="D138" s="3" t="s">
        <v>608</v>
      </c>
      <c r="E138" s="3" t="s">
        <v>608</v>
      </c>
      <c r="F138" s="3" t="s">
        <v>284</v>
      </c>
      <c r="G138" s="3" t="s">
        <v>284</v>
      </c>
      <c r="H138" s="3" t="s">
        <v>285</v>
      </c>
      <c r="I138" s="3" t="s">
        <v>282</v>
      </c>
      <c r="J138" s="3" t="s">
        <v>4</v>
      </c>
      <c r="K138" s="3" t="s">
        <v>749</v>
      </c>
      <c r="L138" s="3" t="s">
        <v>30</v>
      </c>
      <c r="M138" s="3" t="s">
        <v>14</v>
      </c>
      <c r="N138">
        <v>16558000</v>
      </c>
      <c r="O138">
        <v>100.087</v>
      </c>
      <c r="P138">
        <v>326</v>
      </c>
      <c r="Q138">
        <v>0</v>
      </c>
      <c r="R138">
        <v>1361</v>
      </c>
      <c r="S138" s="3" t="s">
        <v>263</v>
      </c>
      <c r="T138">
        <v>712</v>
      </c>
      <c r="U138">
        <v>716</v>
      </c>
      <c r="V138">
        <v>2336</v>
      </c>
      <c r="W138">
        <v>7.54</v>
      </c>
      <c r="X138">
        <v>16572405</v>
      </c>
      <c r="Y138" s="3" t="s">
        <v>31</v>
      </c>
      <c r="Z138">
        <v>100.087</v>
      </c>
      <c r="AA138">
        <v>16558000</v>
      </c>
      <c r="AB138" s="3" t="s">
        <v>256</v>
      </c>
      <c r="AC138" s="3" t="s">
        <v>10</v>
      </c>
      <c r="AD138">
        <v>16855479</v>
      </c>
      <c r="AE138">
        <v>16855479</v>
      </c>
      <c r="AF138" s="3" t="s">
        <v>640</v>
      </c>
    </row>
    <row r="139" spans="1:32" x14ac:dyDescent="0.35">
      <c r="A139" s="3" t="s">
        <v>608</v>
      </c>
      <c r="B139" s="3" t="s">
        <v>608</v>
      </c>
      <c r="C139" s="3" t="s">
        <v>608</v>
      </c>
      <c r="D139" s="3" t="s">
        <v>608</v>
      </c>
      <c r="E139" s="3" t="s">
        <v>608</v>
      </c>
      <c r="F139" s="3" t="s">
        <v>598</v>
      </c>
      <c r="G139" s="3" t="s">
        <v>598</v>
      </c>
      <c r="H139" s="3" t="s">
        <v>599</v>
      </c>
      <c r="I139" s="3" t="s">
        <v>600</v>
      </c>
      <c r="J139" s="3" t="s">
        <v>4</v>
      </c>
      <c r="K139" s="3" t="s">
        <v>750</v>
      </c>
      <c r="L139" s="3" t="s">
        <v>30</v>
      </c>
      <c r="M139" s="3" t="s">
        <v>14</v>
      </c>
      <c r="N139">
        <v>4769000</v>
      </c>
      <c r="O139">
        <v>95.025999999999996</v>
      </c>
      <c r="P139">
        <v>638</v>
      </c>
      <c r="Q139">
        <v>0</v>
      </c>
      <c r="R139">
        <v>635</v>
      </c>
      <c r="S139" s="3" t="s">
        <v>250</v>
      </c>
      <c r="T139">
        <v>2210</v>
      </c>
      <c r="U139">
        <v>2232</v>
      </c>
      <c r="V139">
        <v>14229</v>
      </c>
      <c r="W139">
        <v>45.9</v>
      </c>
      <c r="X139">
        <v>4531790</v>
      </c>
      <c r="Y139" s="3" t="s">
        <v>31</v>
      </c>
      <c r="Z139">
        <v>95.025999999999996</v>
      </c>
      <c r="AA139">
        <v>4769000</v>
      </c>
      <c r="AB139" s="3" t="s">
        <v>256</v>
      </c>
      <c r="AC139" s="3" t="s">
        <v>10</v>
      </c>
      <c r="AD139">
        <v>4562915</v>
      </c>
      <c r="AE139">
        <v>4562915</v>
      </c>
      <c r="AF139" s="3" t="s">
        <v>640</v>
      </c>
    </row>
    <row r="140" spans="1:32" x14ac:dyDescent="0.35">
      <c r="A140" s="3" t="s">
        <v>608</v>
      </c>
      <c r="B140" s="3" t="s">
        <v>608</v>
      </c>
      <c r="C140" s="3" t="s">
        <v>608</v>
      </c>
      <c r="D140" s="3" t="s">
        <v>608</v>
      </c>
      <c r="E140" s="3" t="s">
        <v>608</v>
      </c>
      <c r="F140" s="3" t="s">
        <v>601</v>
      </c>
      <c r="G140" s="3" t="s">
        <v>601</v>
      </c>
      <c r="H140" s="3" t="s">
        <v>599</v>
      </c>
      <c r="I140" s="3" t="s">
        <v>600</v>
      </c>
      <c r="J140" s="3" t="s">
        <v>4</v>
      </c>
      <c r="K140" s="3" t="s">
        <v>751</v>
      </c>
      <c r="L140" s="3" t="s">
        <v>30</v>
      </c>
      <c r="M140" s="3" t="s">
        <v>14</v>
      </c>
      <c r="N140">
        <v>-4006000</v>
      </c>
      <c r="O140">
        <v>96.808999999999997</v>
      </c>
      <c r="P140">
        <v>617</v>
      </c>
      <c r="Q140">
        <v>0</v>
      </c>
      <c r="R140">
        <v>-535</v>
      </c>
      <c r="S140" s="3" t="s">
        <v>250</v>
      </c>
      <c r="T140">
        <v>-1577</v>
      </c>
      <c r="U140">
        <v>-1592</v>
      </c>
      <c r="V140">
        <v>-9824</v>
      </c>
      <c r="W140">
        <v>-31.69</v>
      </c>
      <c r="X140">
        <v>-3878169</v>
      </c>
      <c r="Y140" s="3" t="s">
        <v>31</v>
      </c>
      <c r="Z140">
        <v>96.808999999999997</v>
      </c>
      <c r="AA140">
        <v>-4006000</v>
      </c>
      <c r="AB140" s="3" t="s">
        <v>256</v>
      </c>
      <c r="AC140" s="3" t="s">
        <v>10</v>
      </c>
      <c r="AD140">
        <v>-3888334</v>
      </c>
      <c r="AE140">
        <v>3888334</v>
      </c>
      <c r="AF140" s="3" t="s">
        <v>640</v>
      </c>
    </row>
    <row r="141" spans="1:32" x14ac:dyDescent="0.35">
      <c r="A141" s="3" t="s">
        <v>608</v>
      </c>
      <c r="B141" s="3" t="s">
        <v>608</v>
      </c>
      <c r="C141" s="3" t="s">
        <v>608</v>
      </c>
      <c r="D141" s="3" t="s">
        <v>608</v>
      </c>
      <c r="E141" s="3" t="s">
        <v>608</v>
      </c>
      <c r="F141" s="3" t="s">
        <v>286</v>
      </c>
      <c r="G141" s="3" t="s">
        <v>286</v>
      </c>
      <c r="H141" s="3" t="s">
        <v>287</v>
      </c>
      <c r="I141" s="3" t="s">
        <v>288</v>
      </c>
      <c r="J141" s="3" t="s">
        <v>4</v>
      </c>
      <c r="K141" s="3" t="s">
        <v>752</v>
      </c>
      <c r="L141" s="3" t="s">
        <v>30</v>
      </c>
      <c r="M141" s="3" t="s">
        <v>14</v>
      </c>
      <c r="N141">
        <v>-200000</v>
      </c>
      <c r="O141">
        <v>99.899000000000001</v>
      </c>
      <c r="P141">
        <v>196</v>
      </c>
      <c r="Q141">
        <v>0</v>
      </c>
      <c r="R141">
        <v>-9</v>
      </c>
      <c r="S141" s="3" t="s">
        <v>263</v>
      </c>
      <c r="T141">
        <v>-161</v>
      </c>
      <c r="U141">
        <v>-163</v>
      </c>
      <c r="V141">
        <v>-318</v>
      </c>
      <c r="W141">
        <v>-1.03</v>
      </c>
      <c r="X141">
        <v>-199798</v>
      </c>
      <c r="Y141" s="3" t="s">
        <v>31</v>
      </c>
      <c r="Z141">
        <v>99.899000000000001</v>
      </c>
      <c r="AA141">
        <v>-200000</v>
      </c>
      <c r="AB141" s="3" t="s">
        <v>256</v>
      </c>
      <c r="AC141" s="3" t="s">
        <v>10</v>
      </c>
      <c r="AD141">
        <v>-199947</v>
      </c>
      <c r="AE141">
        <v>199947</v>
      </c>
      <c r="AF141" s="3" t="s">
        <v>640</v>
      </c>
    </row>
    <row r="142" spans="1:32" x14ac:dyDescent="0.35">
      <c r="A142" s="3" t="s">
        <v>608</v>
      </c>
      <c r="B142" s="3" t="s">
        <v>608</v>
      </c>
      <c r="C142" s="3" t="s">
        <v>608</v>
      </c>
      <c r="D142" s="3" t="s">
        <v>608</v>
      </c>
      <c r="E142" s="3" t="s">
        <v>608</v>
      </c>
      <c r="F142" s="3" t="s">
        <v>289</v>
      </c>
      <c r="G142" s="3" t="s">
        <v>289</v>
      </c>
      <c r="H142" s="3" t="s">
        <v>290</v>
      </c>
      <c r="I142" s="3" t="s">
        <v>291</v>
      </c>
      <c r="J142" s="3" t="s">
        <v>4</v>
      </c>
      <c r="K142" s="3" t="s">
        <v>753</v>
      </c>
      <c r="L142" s="3" t="s">
        <v>30</v>
      </c>
      <c r="M142" s="3" t="s">
        <v>14</v>
      </c>
      <c r="N142">
        <v>-14200000</v>
      </c>
      <c r="O142">
        <v>100.596</v>
      </c>
      <c r="P142">
        <v>159</v>
      </c>
      <c r="Q142">
        <v>0</v>
      </c>
      <c r="R142">
        <v>-486</v>
      </c>
      <c r="S142" s="3" t="s">
        <v>250</v>
      </c>
      <c r="T142">
        <v>-8690</v>
      </c>
      <c r="U142">
        <v>-8778</v>
      </c>
      <c r="V142">
        <v>-13958</v>
      </c>
      <c r="W142">
        <v>-45.03</v>
      </c>
      <c r="X142">
        <v>-14284632</v>
      </c>
      <c r="Y142" s="3" t="s">
        <v>31</v>
      </c>
      <c r="Z142">
        <v>100.596</v>
      </c>
      <c r="AA142">
        <v>-14200000</v>
      </c>
      <c r="AB142" s="3" t="s">
        <v>256</v>
      </c>
      <c r="AC142" s="3" t="s">
        <v>10</v>
      </c>
      <c r="AD142">
        <v>-14353200</v>
      </c>
      <c r="AE142">
        <v>14353200</v>
      </c>
      <c r="AF142" s="3" t="s">
        <v>640</v>
      </c>
    </row>
    <row r="143" spans="1:32" x14ac:dyDescent="0.35">
      <c r="A143" s="3" t="s">
        <v>608</v>
      </c>
      <c r="B143" s="3" t="s">
        <v>608</v>
      </c>
      <c r="C143" s="3" t="s">
        <v>608</v>
      </c>
      <c r="D143" s="3" t="s">
        <v>608</v>
      </c>
      <c r="E143" s="3" t="s">
        <v>608</v>
      </c>
      <c r="F143" s="3" t="s">
        <v>292</v>
      </c>
      <c r="G143" s="3" t="s">
        <v>292</v>
      </c>
      <c r="H143" s="3" t="s">
        <v>293</v>
      </c>
      <c r="I143" s="3" t="s">
        <v>294</v>
      </c>
      <c r="J143" s="3" t="s">
        <v>4</v>
      </c>
      <c r="K143" s="3" t="s">
        <v>754</v>
      </c>
      <c r="L143" s="3" t="s">
        <v>30</v>
      </c>
      <c r="M143" s="3" t="s">
        <v>14</v>
      </c>
      <c r="N143">
        <v>1600000</v>
      </c>
      <c r="O143">
        <v>99.004999999999995</v>
      </c>
      <c r="P143">
        <v>381</v>
      </c>
      <c r="Q143">
        <v>0</v>
      </c>
      <c r="R143">
        <v>-148</v>
      </c>
      <c r="S143" s="3" t="s">
        <v>263</v>
      </c>
      <c r="T143">
        <v>1279</v>
      </c>
      <c r="U143">
        <v>1293</v>
      </c>
      <c r="V143">
        <v>4928</v>
      </c>
      <c r="W143">
        <v>15.9</v>
      </c>
      <c r="X143">
        <v>1584080</v>
      </c>
      <c r="Y143" s="3" t="s">
        <v>31</v>
      </c>
      <c r="Z143">
        <v>98.503</v>
      </c>
      <c r="AA143">
        <v>0</v>
      </c>
      <c r="AB143" s="3" t="s">
        <v>256</v>
      </c>
      <c r="AC143" s="3" t="s">
        <v>10</v>
      </c>
      <c r="AD143">
        <v>1591625</v>
      </c>
      <c r="AE143">
        <v>1591625</v>
      </c>
      <c r="AF143" s="3" t="s">
        <v>640</v>
      </c>
    </row>
    <row r="144" spans="1:32" x14ac:dyDescent="0.35">
      <c r="A144" s="3" t="s">
        <v>608</v>
      </c>
      <c r="B144" s="3" t="s">
        <v>608</v>
      </c>
      <c r="C144" s="3" t="s">
        <v>608</v>
      </c>
      <c r="D144" s="3" t="s">
        <v>608</v>
      </c>
      <c r="E144" s="3" t="s">
        <v>608</v>
      </c>
      <c r="F144" s="3" t="s">
        <v>606</v>
      </c>
      <c r="G144" s="3" t="s">
        <v>606</v>
      </c>
      <c r="H144" s="3" t="s">
        <v>607</v>
      </c>
      <c r="I144" s="3" t="s">
        <v>294</v>
      </c>
      <c r="J144" s="3" t="s">
        <v>283</v>
      </c>
      <c r="K144" s="3" t="s">
        <v>755</v>
      </c>
      <c r="L144" s="3" t="s">
        <v>30</v>
      </c>
      <c r="M144" s="3" t="s">
        <v>14</v>
      </c>
      <c r="N144">
        <v>3700000</v>
      </c>
      <c r="O144">
        <v>108.38</v>
      </c>
      <c r="P144">
        <v>430</v>
      </c>
      <c r="Q144">
        <v>-8651</v>
      </c>
      <c r="R144">
        <v>531</v>
      </c>
      <c r="S144" s="3" t="s">
        <v>263</v>
      </c>
      <c r="T144">
        <v>2915</v>
      </c>
      <c r="U144">
        <v>2961</v>
      </c>
      <c r="V144">
        <v>12730</v>
      </c>
      <c r="W144">
        <v>41.07</v>
      </c>
      <c r="X144">
        <v>4447814</v>
      </c>
      <c r="Y144" s="3" t="s">
        <v>31</v>
      </c>
      <c r="Z144">
        <v>108.64</v>
      </c>
      <c r="AA144">
        <v>3000000</v>
      </c>
      <c r="AB144" s="3" t="s">
        <v>256</v>
      </c>
      <c r="AC144" s="3" t="s">
        <v>10</v>
      </c>
      <c r="AD144">
        <v>4509948</v>
      </c>
      <c r="AE144">
        <v>4509948</v>
      </c>
      <c r="AF144" s="3" t="s">
        <v>640</v>
      </c>
    </row>
    <row r="145" spans="1:32" x14ac:dyDescent="0.35">
      <c r="A145" s="3" t="s">
        <v>608</v>
      </c>
      <c r="B145" s="3" t="s">
        <v>608</v>
      </c>
      <c r="C145" s="3" t="s">
        <v>608</v>
      </c>
      <c r="D145" s="3" t="s">
        <v>608</v>
      </c>
      <c r="E145" s="3" t="s">
        <v>608</v>
      </c>
      <c r="F145" s="3" t="s">
        <v>295</v>
      </c>
      <c r="G145" s="3" t="s">
        <v>295</v>
      </c>
      <c r="H145" s="3" t="s">
        <v>296</v>
      </c>
      <c r="I145" s="3" t="s">
        <v>294</v>
      </c>
      <c r="J145" s="3" t="s">
        <v>4</v>
      </c>
      <c r="K145" s="3" t="s">
        <v>756</v>
      </c>
      <c r="L145" s="3" t="s">
        <v>30</v>
      </c>
      <c r="M145" s="3" t="s">
        <v>14</v>
      </c>
      <c r="N145">
        <v>-1800000</v>
      </c>
      <c r="O145">
        <v>98.527000000000001</v>
      </c>
      <c r="P145">
        <v>367</v>
      </c>
      <c r="Q145">
        <v>0</v>
      </c>
      <c r="R145">
        <v>-148</v>
      </c>
      <c r="S145" s="3" t="s">
        <v>263</v>
      </c>
      <c r="T145">
        <v>-1077</v>
      </c>
      <c r="U145">
        <v>-1088</v>
      </c>
      <c r="V145">
        <v>-3991</v>
      </c>
      <c r="W145">
        <v>-12.87</v>
      </c>
      <c r="X145">
        <v>-1773486</v>
      </c>
      <c r="Y145" s="3" t="s">
        <v>31</v>
      </c>
      <c r="Z145">
        <v>98.527000000000001</v>
      </c>
      <c r="AA145">
        <v>-1800000</v>
      </c>
      <c r="AB145" s="3" t="s">
        <v>256</v>
      </c>
      <c r="AC145" s="3" t="s">
        <v>10</v>
      </c>
      <c r="AD145">
        <v>-1823207</v>
      </c>
      <c r="AE145">
        <v>1823207</v>
      </c>
      <c r="AF145" s="3" t="s">
        <v>640</v>
      </c>
    </row>
    <row r="146" spans="1:32" x14ac:dyDescent="0.35">
      <c r="A146" s="3" t="s">
        <v>608</v>
      </c>
      <c r="B146" s="3" t="s">
        <v>608</v>
      </c>
      <c r="C146" s="3" t="s">
        <v>608</v>
      </c>
      <c r="D146" s="3" t="s">
        <v>608</v>
      </c>
      <c r="E146" s="3" t="s">
        <v>608</v>
      </c>
      <c r="F146" s="3" t="s">
        <v>297</v>
      </c>
      <c r="G146" s="3" t="s">
        <v>297</v>
      </c>
      <c r="H146" s="3" t="s">
        <v>298</v>
      </c>
      <c r="I146" s="3" t="s">
        <v>294</v>
      </c>
      <c r="J146" s="3" t="s">
        <v>4</v>
      </c>
      <c r="K146" s="3" t="s">
        <v>757</v>
      </c>
      <c r="L146" s="3" t="s">
        <v>30</v>
      </c>
      <c r="M146" s="3" t="s">
        <v>14</v>
      </c>
      <c r="N146">
        <v>0</v>
      </c>
      <c r="O146">
        <v>97.93</v>
      </c>
      <c r="P146">
        <v>371</v>
      </c>
      <c r="Q146">
        <v>0</v>
      </c>
      <c r="R146">
        <v>-47</v>
      </c>
      <c r="S146" s="3" t="s">
        <v>263</v>
      </c>
      <c r="T146">
        <v>0</v>
      </c>
      <c r="U146">
        <v>0</v>
      </c>
      <c r="V146">
        <v>0</v>
      </c>
      <c r="W146">
        <v>0</v>
      </c>
      <c r="X146">
        <v>0</v>
      </c>
      <c r="Y146" s="3" t="s">
        <v>31</v>
      </c>
      <c r="Z146">
        <v>97.93</v>
      </c>
      <c r="AA146">
        <v>0</v>
      </c>
      <c r="AB146" s="3" t="s">
        <v>256</v>
      </c>
      <c r="AC146" s="3" t="s">
        <v>10</v>
      </c>
      <c r="AD146">
        <v>0</v>
      </c>
      <c r="AE146">
        <v>0</v>
      </c>
      <c r="AF146" s="3" t="s">
        <v>640</v>
      </c>
    </row>
    <row r="147" spans="1:32" x14ac:dyDescent="0.35">
      <c r="A147" s="3" t="s">
        <v>608</v>
      </c>
      <c r="B147" s="3" t="s">
        <v>608</v>
      </c>
      <c r="C147" s="3" t="s">
        <v>608</v>
      </c>
      <c r="D147" s="3" t="s">
        <v>608</v>
      </c>
      <c r="E147" s="3" t="s">
        <v>608</v>
      </c>
      <c r="F147" s="3" t="s">
        <v>299</v>
      </c>
      <c r="G147" s="3" t="s">
        <v>299</v>
      </c>
      <c r="H147" s="3" t="s">
        <v>300</v>
      </c>
      <c r="I147" s="3" t="s">
        <v>294</v>
      </c>
      <c r="J147" s="3" t="s">
        <v>283</v>
      </c>
      <c r="K147" s="3" t="s">
        <v>758</v>
      </c>
      <c r="L147" s="3" t="s">
        <v>30</v>
      </c>
      <c r="M147" s="3" t="s">
        <v>14</v>
      </c>
      <c r="N147">
        <v>-3200000</v>
      </c>
      <c r="O147">
        <v>108.633</v>
      </c>
      <c r="P147">
        <v>394</v>
      </c>
      <c r="Q147">
        <v>0</v>
      </c>
      <c r="R147">
        <v>-579</v>
      </c>
      <c r="S147" s="3" t="s">
        <v>263</v>
      </c>
      <c r="T147">
        <v>-1738</v>
      </c>
      <c r="U147">
        <v>-1765</v>
      </c>
      <c r="V147">
        <v>-6960</v>
      </c>
      <c r="W147">
        <v>-22.45</v>
      </c>
      <c r="X147">
        <v>-3855738</v>
      </c>
      <c r="Y147" s="3" t="s">
        <v>31</v>
      </c>
      <c r="Z147">
        <v>108.633</v>
      </c>
      <c r="AA147">
        <v>-3200000</v>
      </c>
      <c r="AB147" s="3" t="s">
        <v>256</v>
      </c>
      <c r="AC147" s="3" t="s">
        <v>10</v>
      </c>
      <c r="AD147">
        <v>-3906868</v>
      </c>
      <c r="AE147">
        <v>3906868</v>
      </c>
      <c r="AF147" s="3" t="s">
        <v>640</v>
      </c>
    </row>
    <row r="148" spans="1:32" x14ac:dyDescent="0.35">
      <c r="A148" s="3" t="s">
        <v>608</v>
      </c>
      <c r="B148" s="3" t="s">
        <v>608</v>
      </c>
      <c r="C148" s="3" t="s">
        <v>608</v>
      </c>
      <c r="D148" s="3" t="s">
        <v>608</v>
      </c>
      <c r="E148" s="3" t="s">
        <v>608</v>
      </c>
      <c r="F148" s="3" t="s">
        <v>301</v>
      </c>
      <c r="G148" s="3" t="s">
        <v>301</v>
      </c>
      <c r="H148" s="3" t="s">
        <v>302</v>
      </c>
      <c r="I148" s="3" t="s">
        <v>294</v>
      </c>
      <c r="J148" s="3" t="s">
        <v>4</v>
      </c>
      <c r="K148" s="3" t="s">
        <v>759</v>
      </c>
      <c r="L148" s="3" t="s">
        <v>30</v>
      </c>
      <c r="M148" s="3" t="s">
        <v>14</v>
      </c>
      <c r="N148">
        <v>-2000000</v>
      </c>
      <c r="O148">
        <v>109.95699999999999</v>
      </c>
      <c r="P148">
        <v>335</v>
      </c>
      <c r="Q148">
        <v>0</v>
      </c>
      <c r="R148">
        <v>-294</v>
      </c>
      <c r="S148" s="3" t="s">
        <v>263</v>
      </c>
      <c r="T148">
        <v>-838</v>
      </c>
      <c r="U148">
        <v>-846</v>
      </c>
      <c r="V148">
        <v>-2836</v>
      </c>
      <c r="W148">
        <v>-9.15</v>
      </c>
      <c r="X148">
        <v>-2199140</v>
      </c>
      <c r="Y148" s="3" t="s">
        <v>31</v>
      </c>
      <c r="Z148">
        <v>109.95699999999999</v>
      </c>
      <c r="AA148">
        <v>-2000000</v>
      </c>
      <c r="AB148" s="3" t="s">
        <v>256</v>
      </c>
      <c r="AC148" s="3" t="s">
        <v>10</v>
      </c>
      <c r="AD148">
        <v>-2281380</v>
      </c>
      <c r="AE148">
        <v>2281380</v>
      </c>
      <c r="AF148" s="3" t="s">
        <v>640</v>
      </c>
    </row>
    <row r="149" spans="1:32" x14ac:dyDescent="0.35">
      <c r="A149" s="3" t="s">
        <v>608</v>
      </c>
      <c r="B149" s="3" t="s">
        <v>608</v>
      </c>
      <c r="C149" s="3" t="s">
        <v>608</v>
      </c>
      <c r="D149" s="3" t="s">
        <v>608</v>
      </c>
      <c r="E149" s="3" t="s">
        <v>608</v>
      </c>
      <c r="F149" s="3" t="s">
        <v>303</v>
      </c>
      <c r="G149" s="3" t="s">
        <v>303</v>
      </c>
      <c r="H149" s="3" t="s">
        <v>304</v>
      </c>
      <c r="I149" s="3" t="s">
        <v>294</v>
      </c>
      <c r="J149" s="3" t="s">
        <v>4</v>
      </c>
      <c r="K149" s="3" t="s">
        <v>760</v>
      </c>
      <c r="L149" s="3" t="s">
        <v>30</v>
      </c>
      <c r="M149" s="3" t="s">
        <v>14</v>
      </c>
      <c r="N149">
        <v>0</v>
      </c>
      <c r="O149">
        <v>104.17</v>
      </c>
      <c r="P149">
        <v>331</v>
      </c>
      <c r="Q149">
        <v>0</v>
      </c>
      <c r="R149">
        <v>11</v>
      </c>
      <c r="S149" s="3" t="s">
        <v>263</v>
      </c>
      <c r="T149">
        <v>0</v>
      </c>
      <c r="U149">
        <v>0</v>
      </c>
      <c r="V149">
        <v>0</v>
      </c>
      <c r="W149">
        <v>0</v>
      </c>
      <c r="X149">
        <v>0</v>
      </c>
      <c r="Y149" s="3" t="s">
        <v>31</v>
      </c>
      <c r="Z149">
        <v>104.17</v>
      </c>
      <c r="AA149">
        <v>0</v>
      </c>
      <c r="AB149" s="3" t="s">
        <v>256</v>
      </c>
      <c r="AC149" s="3" t="s">
        <v>10</v>
      </c>
      <c r="AD149">
        <v>0</v>
      </c>
      <c r="AE149">
        <v>0</v>
      </c>
      <c r="AF149" s="3" t="s">
        <v>640</v>
      </c>
    </row>
    <row r="150" spans="1:32" x14ac:dyDescent="0.35">
      <c r="A150" s="3" t="s">
        <v>608</v>
      </c>
      <c r="B150" s="3" t="s">
        <v>608</v>
      </c>
      <c r="C150" s="3" t="s">
        <v>608</v>
      </c>
      <c r="D150" s="3" t="s">
        <v>608</v>
      </c>
      <c r="E150" s="3" t="s">
        <v>608</v>
      </c>
      <c r="F150" s="3" t="s">
        <v>948</v>
      </c>
      <c r="G150" s="3" t="s">
        <v>948</v>
      </c>
      <c r="H150" s="3" t="s">
        <v>949</v>
      </c>
      <c r="I150" s="3" t="s">
        <v>294</v>
      </c>
      <c r="J150" s="3" t="s">
        <v>266</v>
      </c>
      <c r="K150" s="3" t="s">
        <v>950</v>
      </c>
      <c r="L150" s="3" t="s">
        <v>30</v>
      </c>
      <c r="M150" s="3" t="s">
        <v>14</v>
      </c>
      <c r="N150">
        <v>-675000</v>
      </c>
      <c r="O150">
        <v>103.55500000000001</v>
      </c>
      <c r="P150">
        <v>333</v>
      </c>
      <c r="Q150">
        <v>1633</v>
      </c>
      <c r="R150">
        <v>-110</v>
      </c>
      <c r="S150" s="3" t="s">
        <v>263</v>
      </c>
      <c r="T150">
        <v>-126</v>
      </c>
      <c r="U150">
        <v>-128</v>
      </c>
      <c r="V150">
        <v>-427</v>
      </c>
      <c r="W150">
        <v>-1.38</v>
      </c>
      <c r="X150">
        <v>-601029</v>
      </c>
      <c r="Y150" s="3" t="s">
        <v>31</v>
      </c>
      <c r="Z150">
        <v>103.77200000000001</v>
      </c>
      <c r="AA150">
        <v>-875000</v>
      </c>
      <c r="AB150" s="3" t="s">
        <v>256</v>
      </c>
      <c r="AC150" s="3" t="s">
        <v>10</v>
      </c>
      <c r="AD150">
        <v>-610351</v>
      </c>
      <c r="AE150">
        <v>610351</v>
      </c>
      <c r="AF150" s="3" t="s">
        <v>640</v>
      </c>
    </row>
    <row r="151" spans="1:32" x14ac:dyDescent="0.35">
      <c r="A151" s="3" t="s">
        <v>608</v>
      </c>
      <c r="B151" s="3" t="s">
        <v>608</v>
      </c>
      <c r="C151" s="3" t="s">
        <v>608</v>
      </c>
      <c r="D151" s="3" t="s">
        <v>608</v>
      </c>
      <c r="E151" s="3" t="s">
        <v>608</v>
      </c>
      <c r="F151" s="3" t="s">
        <v>859</v>
      </c>
      <c r="G151" s="3" t="s">
        <v>859</v>
      </c>
      <c r="H151" s="3" t="s">
        <v>860</v>
      </c>
      <c r="I151" s="3" t="s">
        <v>294</v>
      </c>
      <c r="J151" s="3" t="s">
        <v>4</v>
      </c>
      <c r="K151" s="3" t="s">
        <v>861</v>
      </c>
      <c r="L151" s="3" t="s">
        <v>30</v>
      </c>
      <c r="M151" s="3" t="s">
        <v>14</v>
      </c>
      <c r="N151">
        <v>2500000</v>
      </c>
      <c r="O151">
        <v>103.595</v>
      </c>
      <c r="P151">
        <v>163</v>
      </c>
      <c r="Q151">
        <v>0</v>
      </c>
      <c r="R151">
        <v>282</v>
      </c>
      <c r="S151" s="3" t="s">
        <v>263</v>
      </c>
      <c r="T151">
        <v>310</v>
      </c>
      <c r="U151">
        <v>315</v>
      </c>
      <c r="V151">
        <v>513</v>
      </c>
      <c r="W151">
        <v>1.65</v>
      </c>
      <c r="X151">
        <v>2589875</v>
      </c>
      <c r="Y151" s="3" t="s">
        <v>31</v>
      </c>
      <c r="Z151">
        <v>103.595</v>
      </c>
      <c r="AA151">
        <v>2500000</v>
      </c>
      <c r="AB151" s="3" t="s">
        <v>256</v>
      </c>
      <c r="AC151" s="3" t="s">
        <v>10</v>
      </c>
      <c r="AD151">
        <v>2670741</v>
      </c>
      <c r="AE151">
        <v>2670741</v>
      </c>
      <c r="AF151" s="3" t="s">
        <v>640</v>
      </c>
    </row>
    <row r="152" spans="1:32" x14ac:dyDescent="0.35">
      <c r="A152" s="3" t="s">
        <v>608</v>
      </c>
      <c r="B152" s="3" t="s">
        <v>608</v>
      </c>
      <c r="C152" s="3" t="s">
        <v>608</v>
      </c>
      <c r="D152" s="3" t="s">
        <v>608</v>
      </c>
      <c r="E152" s="3" t="s">
        <v>608</v>
      </c>
      <c r="F152" s="3" t="s">
        <v>305</v>
      </c>
      <c r="G152" s="3" t="s">
        <v>305</v>
      </c>
      <c r="H152" s="3" t="s">
        <v>306</v>
      </c>
      <c r="I152" s="3" t="s">
        <v>53</v>
      </c>
      <c r="J152" s="3" t="s">
        <v>4</v>
      </c>
      <c r="K152" s="3" t="s">
        <v>761</v>
      </c>
      <c r="L152" s="3" t="s">
        <v>30</v>
      </c>
      <c r="M152" s="3" t="s">
        <v>14</v>
      </c>
      <c r="N152">
        <v>400000</v>
      </c>
      <c r="O152">
        <v>96.998999999999995</v>
      </c>
      <c r="P152">
        <v>292</v>
      </c>
      <c r="Q152">
        <v>0</v>
      </c>
      <c r="R152">
        <v>19</v>
      </c>
      <c r="S152" s="3" t="s">
        <v>263</v>
      </c>
      <c r="T152">
        <v>164</v>
      </c>
      <c r="U152">
        <v>166</v>
      </c>
      <c r="V152">
        <v>483</v>
      </c>
      <c r="W152">
        <v>1.56</v>
      </c>
      <c r="X152">
        <v>387996</v>
      </c>
      <c r="Y152" s="3" t="s">
        <v>31</v>
      </c>
      <c r="Z152">
        <v>96.998999999999995</v>
      </c>
      <c r="AA152">
        <v>400000</v>
      </c>
      <c r="AB152" s="3" t="s">
        <v>256</v>
      </c>
      <c r="AC152" s="3" t="s">
        <v>10</v>
      </c>
      <c r="AD152">
        <v>389989</v>
      </c>
      <c r="AE152">
        <v>389989</v>
      </c>
      <c r="AF152" s="3" t="s">
        <v>640</v>
      </c>
    </row>
    <row r="153" spans="1:32" x14ac:dyDescent="0.35">
      <c r="A153" s="3" t="s">
        <v>608</v>
      </c>
      <c r="B153" s="3" t="s">
        <v>608</v>
      </c>
      <c r="C153" s="3" t="s">
        <v>608</v>
      </c>
      <c r="D153" s="3" t="s">
        <v>608</v>
      </c>
      <c r="E153" s="3" t="s">
        <v>608</v>
      </c>
      <c r="F153" s="3" t="s">
        <v>307</v>
      </c>
      <c r="G153" s="3" t="s">
        <v>307</v>
      </c>
      <c r="H153" s="3" t="s">
        <v>308</v>
      </c>
      <c r="I153" s="3" t="s">
        <v>53</v>
      </c>
      <c r="J153" s="3" t="s">
        <v>4</v>
      </c>
      <c r="K153" s="3" t="s">
        <v>762</v>
      </c>
      <c r="L153" s="3" t="s">
        <v>30</v>
      </c>
      <c r="M153" s="3" t="s">
        <v>14</v>
      </c>
      <c r="N153">
        <v>4800000</v>
      </c>
      <c r="O153">
        <v>108.35</v>
      </c>
      <c r="P153">
        <v>235</v>
      </c>
      <c r="Q153">
        <v>17864</v>
      </c>
      <c r="R153">
        <v>813</v>
      </c>
      <c r="S153" s="3" t="s">
        <v>263</v>
      </c>
      <c r="T153">
        <v>1578</v>
      </c>
      <c r="U153">
        <v>1593</v>
      </c>
      <c r="V153">
        <v>3735</v>
      </c>
      <c r="W153">
        <v>12.05</v>
      </c>
      <c r="X153">
        <v>5200800</v>
      </c>
      <c r="Y153" s="3" t="s">
        <v>31</v>
      </c>
      <c r="Z153">
        <v>108.042</v>
      </c>
      <c r="AA153">
        <v>5800000</v>
      </c>
      <c r="AB153" s="3" t="s">
        <v>256</v>
      </c>
      <c r="AC153" s="3" t="s">
        <v>10</v>
      </c>
      <c r="AD153">
        <v>5311833</v>
      </c>
      <c r="AE153">
        <v>5311833</v>
      </c>
      <c r="AF153" s="3" t="s">
        <v>640</v>
      </c>
    </row>
    <row r="154" spans="1:32" x14ac:dyDescent="0.35">
      <c r="A154" s="3" t="s">
        <v>608</v>
      </c>
      <c r="B154" s="3" t="s">
        <v>608</v>
      </c>
      <c r="C154" s="3" t="s">
        <v>608</v>
      </c>
      <c r="D154" s="3" t="s">
        <v>608</v>
      </c>
      <c r="E154" s="3" t="s">
        <v>608</v>
      </c>
      <c r="F154" s="3" t="s">
        <v>309</v>
      </c>
      <c r="G154" s="3" t="s">
        <v>309</v>
      </c>
      <c r="H154" s="3" t="s">
        <v>310</v>
      </c>
      <c r="I154" s="3" t="s">
        <v>63</v>
      </c>
      <c r="J154" s="3" t="s">
        <v>4</v>
      </c>
      <c r="K154" s="3" t="s">
        <v>763</v>
      </c>
      <c r="L154" s="3" t="s">
        <v>30</v>
      </c>
      <c r="M154" s="3" t="s">
        <v>14</v>
      </c>
      <c r="N154">
        <v>1000000</v>
      </c>
      <c r="O154">
        <v>98.167000000000002</v>
      </c>
      <c r="P154">
        <v>216</v>
      </c>
      <c r="Q154">
        <v>0</v>
      </c>
      <c r="R154">
        <v>0</v>
      </c>
      <c r="S154" s="3" t="s">
        <v>263</v>
      </c>
      <c r="T154">
        <v>356</v>
      </c>
      <c r="U154">
        <v>360</v>
      </c>
      <c r="V154">
        <v>775</v>
      </c>
      <c r="W154">
        <v>2.5</v>
      </c>
      <c r="X154">
        <v>981670</v>
      </c>
      <c r="Y154" s="3" t="s">
        <v>31</v>
      </c>
      <c r="Z154">
        <v>98.167000000000002</v>
      </c>
      <c r="AA154">
        <v>1000000</v>
      </c>
      <c r="AB154" s="3" t="s">
        <v>256</v>
      </c>
      <c r="AC154" s="3" t="s">
        <v>10</v>
      </c>
      <c r="AD154">
        <v>992889</v>
      </c>
      <c r="AE154">
        <v>992889</v>
      </c>
      <c r="AF154" s="3" t="s">
        <v>640</v>
      </c>
    </row>
    <row r="155" spans="1:32" x14ac:dyDescent="0.35">
      <c r="A155" s="3" t="s">
        <v>608</v>
      </c>
      <c r="B155" s="3" t="s">
        <v>608</v>
      </c>
      <c r="C155" s="3" t="s">
        <v>608</v>
      </c>
      <c r="D155" s="3" t="s">
        <v>608</v>
      </c>
      <c r="E155" s="3" t="s">
        <v>608</v>
      </c>
      <c r="F155" s="3" t="s">
        <v>311</v>
      </c>
      <c r="G155" s="3" t="s">
        <v>311</v>
      </c>
      <c r="H155" s="3" t="s">
        <v>312</v>
      </c>
      <c r="I155" s="3" t="s">
        <v>63</v>
      </c>
      <c r="J155" s="3" t="s">
        <v>266</v>
      </c>
      <c r="K155" s="3" t="s">
        <v>764</v>
      </c>
      <c r="L155" s="3" t="s">
        <v>30</v>
      </c>
      <c r="M155" s="3" t="s">
        <v>14</v>
      </c>
      <c r="N155">
        <v>900000</v>
      </c>
      <c r="O155">
        <v>104.23</v>
      </c>
      <c r="P155">
        <v>122</v>
      </c>
      <c r="Q155">
        <v>0</v>
      </c>
      <c r="R155">
        <v>110</v>
      </c>
      <c r="S155" s="3" t="s">
        <v>263</v>
      </c>
      <c r="T155">
        <v>93</v>
      </c>
      <c r="U155">
        <v>94</v>
      </c>
      <c r="V155">
        <v>115</v>
      </c>
      <c r="W155">
        <v>0.37</v>
      </c>
      <c r="X155">
        <v>806595</v>
      </c>
      <c r="Y155" s="3" t="s">
        <v>31</v>
      </c>
      <c r="Z155">
        <v>104.23</v>
      </c>
      <c r="AA155">
        <v>900000</v>
      </c>
      <c r="AB155" s="3" t="s">
        <v>256</v>
      </c>
      <c r="AC155" s="3" t="s">
        <v>10</v>
      </c>
      <c r="AD155">
        <v>833373</v>
      </c>
      <c r="AE155">
        <v>833373</v>
      </c>
      <c r="AF155" s="3" t="s">
        <v>640</v>
      </c>
    </row>
    <row r="156" spans="1:32" x14ac:dyDescent="0.35">
      <c r="A156" s="3" t="s">
        <v>608</v>
      </c>
      <c r="B156" s="3" t="s">
        <v>608</v>
      </c>
      <c r="C156" s="3" t="s">
        <v>608</v>
      </c>
      <c r="D156" s="3" t="s">
        <v>608</v>
      </c>
      <c r="E156" s="3" t="s">
        <v>608</v>
      </c>
      <c r="F156" s="3" t="s">
        <v>313</v>
      </c>
      <c r="G156" s="3" t="s">
        <v>313</v>
      </c>
      <c r="H156" s="3" t="s">
        <v>314</v>
      </c>
      <c r="I156" s="3" t="s">
        <v>63</v>
      </c>
      <c r="J156" s="3" t="s">
        <v>4</v>
      </c>
      <c r="K156" s="3" t="s">
        <v>765</v>
      </c>
      <c r="L156" s="3" t="s">
        <v>30</v>
      </c>
      <c r="M156" s="3" t="s">
        <v>14</v>
      </c>
      <c r="N156">
        <v>1154000</v>
      </c>
      <c r="O156">
        <v>101.232</v>
      </c>
      <c r="P156">
        <v>110</v>
      </c>
      <c r="Q156">
        <v>0</v>
      </c>
      <c r="R156">
        <v>115</v>
      </c>
      <c r="S156" s="3" t="s">
        <v>263</v>
      </c>
      <c r="T156">
        <v>48</v>
      </c>
      <c r="U156">
        <v>49</v>
      </c>
      <c r="V156">
        <v>53</v>
      </c>
      <c r="W156">
        <v>0.17</v>
      </c>
      <c r="X156">
        <v>1168217</v>
      </c>
      <c r="Y156" s="3" t="s">
        <v>31</v>
      </c>
      <c r="Z156">
        <v>101.232</v>
      </c>
      <c r="AA156">
        <v>1154000</v>
      </c>
      <c r="AB156" s="3" t="s">
        <v>256</v>
      </c>
      <c r="AC156" s="3" t="s">
        <v>10</v>
      </c>
      <c r="AD156">
        <v>1192973</v>
      </c>
      <c r="AE156">
        <v>1192973</v>
      </c>
      <c r="AF156" s="3" t="s">
        <v>640</v>
      </c>
    </row>
    <row r="157" spans="1:32" x14ac:dyDescent="0.35">
      <c r="A157" s="3" t="s">
        <v>608</v>
      </c>
      <c r="B157" s="3" t="s">
        <v>608</v>
      </c>
      <c r="C157" s="3" t="s">
        <v>608</v>
      </c>
      <c r="D157" s="3" t="s">
        <v>608</v>
      </c>
      <c r="E157" s="3" t="s">
        <v>608</v>
      </c>
      <c r="F157" s="3" t="s">
        <v>315</v>
      </c>
      <c r="G157" s="3" t="s">
        <v>315</v>
      </c>
      <c r="H157" s="3" t="s">
        <v>316</v>
      </c>
      <c r="I157" s="3" t="s">
        <v>68</v>
      </c>
      <c r="J157" s="3" t="s">
        <v>4</v>
      </c>
      <c r="K157" s="3" t="s">
        <v>766</v>
      </c>
      <c r="L157" s="3" t="s">
        <v>30</v>
      </c>
      <c r="M157" s="3" t="s">
        <v>14</v>
      </c>
      <c r="N157">
        <v>-1050000</v>
      </c>
      <c r="O157">
        <v>100.295</v>
      </c>
      <c r="P157">
        <v>265</v>
      </c>
      <c r="Q157">
        <v>-2495</v>
      </c>
      <c r="R157">
        <v>-31</v>
      </c>
      <c r="S157" s="3" t="s">
        <v>263</v>
      </c>
      <c r="T157">
        <v>-594</v>
      </c>
      <c r="U157">
        <v>-600</v>
      </c>
      <c r="V157">
        <v>-1589</v>
      </c>
      <c r="W157">
        <v>-5.13</v>
      </c>
      <c r="X157">
        <v>-1053098</v>
      </c>
      <c r="Y157" s="3" t="s">
        <v>31</v>
      </c>
      <c r="Z157">
        <v>99.796000000000006</v>
      </c>
      <c r="AA157">
        <v>-500000</v>
      </c>
      <c r="AB157" s="3" t="s">
        <v>256</v>
      </c>
      <c r="AC157" s="3" t="s">
        <v>10</v>
      </c>
      <c r="AD157">
        <v>-1056691</v>
      </c>
      <c r="AE157">
        <v>1056691</v>
      </c>
      <c r="AF157" s="3" t="s">
        <v>640</v>
      </c>
    </row>
    <row r="158" spans="1:32" x14ac:dyDescent="0.35">
      <c r="A158" s="3" t="s">
        <v>608</v>
      </c>
      <c r="B158" s="3" t="s">
        <v>608</v>
      </c>
      <c r="C158" s="3" t="s">
        <v>608</v>
      </c>
      <c r="D158" s="3" t="s">
        <v>608</v>
      </c>
      <c r="E158" s="3" t="s">
        <v>608</v>
      </c>
      <c r="F158" s="3" t="s">
        <v>929</v>
      </c>
      <c r="G158" s="3" t="s">
        <v>929</v>
      </c>
      <c r="H158" s="3" t="s">
        <v>930</v>
      </c>
      <c r="I158" s="3" t="s">
        <v>68</v>
      </c>
      <c r="J158" s="3" t="s">
        <v>4</v>
      </c>
      <c r="K158" s="3" t="s">
        <v>931</v>
      </c>
      <c r="L158" s="3" t="s">
        <v>30</v>
      </c>
      <c r="M158" s="3" t="s">
        <v>14</v>
      </c>
      <c r="N158">
        <v>-500000</v>
      </c>
      <c r="O158">
        <v>106.657</v>
      </c>
      <c r="P158">
        <v>261</v>
      </c>
      <c r="Q158">
        <v>0</v>
      </c>
      <c r="R158">
        <v>0</v>
      </c>
      <c r="S158" s="3" t="s">
        <v>263</v>
      </c>
      <c r="T158">
        <v>-281</v>
      </c>
      <c r="U158">
        <v>-284</v>
      </c>
      <c r="V158">
        <v>-739</v>
      </c>
      <c r="W158">
        <v>-2.38</v>
      </c>
      <c r="X158">
        <v>-533285</v>
      </c>
      <c r="Y158" s="3" t="s">
        <v>31</v>
      </c>
      <c r="Z158">
        <v>106.657</v>
      </c>
      <c r="AA158">
        <v>-500000</v>
      </c>
      <c r="AB158" s="3" t="s">
        <v>256</v>
      </c>
      <c r="AC158" s="3" t="s">
        <v>10</v>
      </c>
      <c r="AD158">
        <v>-549238</v>
      </c>
      <c r="AE158">
        <v>549238</v>
      </c>
      <c r="AF158" s="3" t="s">
        <v>640</v>
      </c>
    </row>
    <row r="159" spans="1:32" x14ac:dyDescent="0.35">
      <c r="A159" s="3" t="s">
        <v>608</v>
      </c>
      <c r="B159" s="3" t="s">
        <v>608</v>
      </c>
      <c r="C159" s="3" t="s">
        <v>608</v>
      </c>
      <c r="D159" s="3" t="s">
        <v>608</v>
      </c>
      <c r="E159" s="3" t="s">
        <v>608</v>
      </c>
      <c r="F159" s="3" t="s">
        <v>317</v>
      </c>
      <c r="G159" s="3" t="s">
        <v>317</v>
      </c>
      <c r="H159" s="3" t="s">
        <v>318</v>
      </c>
      <c r="I159" s="3" t="s">
        <v>68</v>
      </c>
      <c r="J159" s="3" t="s">
        <v>4</v>
      </c>
      <c r="K159" s="3" t="s">
        <v>767</v>
      </c>
      <c r="L159" s="3" t="s">
        <v>30</v>
      </c>
      <c r="M159" s="3" t="s">
        <v>14</v>
      </c>
      <c r="N159">
        <v>1419000</v>
      </c>
      <c r="O159">
        <v>111.11799999999999</v>
      </c>
      <c r="P159">
        <v>235</v>
      </c>
      <c r="Q159">
        <v>0</v>
      </c>
      <c r="R159">
        <v>211</v>
      </c>
      <c r="S159" s="3" t="s">
        <v>263</v>
      </c>
      <c r="T159">
        <v>467</v>
      </c>
      <c r="U159">
        <v>472</v>
      </c>
      <c r="V159">
        <v>1109</v>
      </c>
      <c r="W159">
        <v>3.58</v>
      </c>
      <c r="X159">
        <v>1576764</v>
      </c>
      <c r="Y159" s="3" t="s">
        <v>31</v>
      </c>
      <c r="Z159">
        <v>111.11799999999999</v>
      </c>
      <c r="AA159">
        <v>1419000</v>
      </c>
      <c r="AB159" s="3" t="s">
        <v>256</v>
      </c>
      <c r="AC159" s="3" t="s">
        <v>10</v>
      </c>
      <c r="AD159">
        <v>1639954</v>
      </c>
      <c r="AE159">
        <v>1639954</v>
      </c>
      <c r="AF159" s="3" t="s">
        <v>640</v>
      </c>
    </row>
    <row r="160" spans="1:32" x14ac:dyDescent="0.35">
      <c r="A160" s="3" t="s">
        <v>608</v>
      </c>
      <c r="B160" s="3" t="s">
        <v>608</v>
      </c>
      <c r="C160" s="3" t="s">
        <v>608</v>
      </c>
      <c r="D160" s="3" t="s">
        <v>608</v>
      </c>
      <c r="E160" s="3" t="s">
        <v>608</v>
      </c>
      <c r="F160" s="3" t="s">
        <v>319</v>
      </c>
      <c r="G160" s="3" t="s">
        <v>319</v>
      </c>
      <c r="H160" s="3" t="s">
        <v>320</v>
      </c>
      <c r="I160" s="3" t="s">
        <v>68</v>
      </c>
      <c r="J160" s="3" t="s">
        <v>283</v>
      </c>
      <c r="K160" s="3" t="s">
        <v>768</v>
      </c>
      <c r="L160" s="3" t="s">
        <v>30</v>
      </c>
      <c r="M160" s="3" t="s">
        <v>14</v>
      </c>
      <c r="N160">
        <v>1515000</v>
      </c>
      <c r="O160">
        <v>104.34</v>
      </c>
      <c r="P160">
        <v>149</v>
      </c>
      <c r="Q160">
        <v>0</v>
      </c>
      <c r="R160">
        <v>305</v>
      </c>
      <c r="S160" s="3" t="s">
        <v>263</v>
      </c>
      <c r="T160">
        <v>150</v>
      </c>
      <c r="U160">
        <v>152</v>
      </c>
      <c r="V160">
        <v>226</v>
      </c>
      <c r="W160">
        <v>0.73</v>
      </c>
      <c r="X160">
        <v>1753312</v>
      </c>
      <c r="Y160" s="3" t="s">
        <v>31</v>
      </c>
      <c r="Z160">
        <v>104.34</v>
      </c>
      <c r="AA160">
        <v>1515000</v>
      </c>
      <c r="AB160" s="3" t="s">
        <v>256</v>
      </c>
      <c r="AC160" s="3" t="s">
        <v>10</v>
      </c>
      <c r="AD160">
        <v>1767061</v>
      </c>
      <c r="AE160">
        <v>1767061</v>
      </c>
      <c r="AF160" s="3" t="s">
        <v>640</v>
      </c>
    </row>
    <row r="161" spans="1:32" x14ac:dyDescent="0.35">
      <c r="A161" s="3" t="s">
        <v>608</v>
      </c>
      <c r="B161" s="3" t="s">
        <v>608</v>
      </c>
      <c r="C161" s="3" t="s">
        <v>608</v>
      </c>
      <c r="D161" s="3" t="s">
        <v>608</v>
      </c>
      <c r="E161" s="3" t="s">
        <v>608</v>
      </c>
      <c r="F161" s="3" t="s">
        <v>321</v>
      </c>
      <c r="G161" s="3" t="s">
        <v>321</v>
      </c>
      <c r="H161" s="3" t="s">
        <v>322</v>
      </c>
      <c r="I161" s="3" t="s">
        <v>74</v>
      </c>
      <c r="J161" s="3" t="s">
        <v>4</v>
      </c>
      <c r="K161" s="3" t="s">
        <v>769</v>
      </c>
      <c r="L161" s="3" t="s">
        <v>30</v>
      </c>
      <c r="M161" s="3" t="s">
        <v>14</v>
      </c>
      <c r="N161">
        <v>4400000</v>
      </c>
      <c r="O161">
        <v>100.083</v>
      </c>
      <c r="P161">
        <v>211</v>
      </c>
      <c r="Q161">
        <v>0</v>
      </c>
      <c r="R161">
        <v>196</v>
      </c>
      <c r="S161" s="3" t="s">
        <v>263</v>
      </c>
      <c r="T161">
        <v>1866</v>
      </c>
      <c r="U161">
        <v>1884</v>
      </c>
      <c r="V161">
        <v>3971</v>
      </c>
      <c r="W161">
        <v>12.81</v>
      </c>
      <c r="X161">
        <v>4403652</v>
      </c>
      <c r="Y161" s="3" t="s">
        <v>31</v>
      </c>
      <c r="Z161">
        <v>100.083</v>
      </c>
      <c r="AA161">
        <v>4400000</v>
      </c>
      <c r="AB161" s="3" t="s">
        <v>256</v>
      </c>
      <c r="AC161" s="3" t="s">
        <v>10</v>
      </c>
      <c r="AD161">
        <v>4426963</v>
      </c>
      <c r="AE161">
        <v>4426963</v>
      </c>
      <c r="AF161" s="3" t="s">
        <v>640</v>
      </c>
    </row>
    <row r="162" spans="1:32" x14ac:dyDescent="0.35">
      <c r="A162" s="3" t="s">
        <v>608</v>
      </c>
      <c r="B162" s="3" t="s">
        <v>608</v>
      </c>
      <c r="C162" s="3" t="s">
        <v>608</v>
      </c>
      <c r="D162" s="3" t="s">
        <v>608</v>
      </c>
      <c r="E162" s="3" t="s">
        <v>608</v>
      </c>
      <c r="F162" s="3" t="s">
        <v>323</v>
      </c>
      <c r="G162" s="3" t="s">
        <v>323</v>
      </c>
      <c r="H162" s="3" t="s">
        <v>324</v>
      </c>
      <c r="I162" s="3" t="s">
        <v>74</v>
      </c>
      <c r="J162" s="3" t="s">
        <v>4</v>
      </c>
      <c r="K162" s="3" t="s">
        <v>770</v>
      </c>
      <c r="L162" s="3" t="s">
        <v>30</v>
      </c>
      <c r="M162" s="3" t="s">
        <v>14</v>
      </c>
      <c r="N162">
        <v>500000</v>
      </c>
      <c r="O162">
        <v>107.62</v>
      </c>
      <c r="P162">
        <v>183</v>
      </c>
      <c r="Q162">
        <v>4485</v>
      </c>
      <c r="R162">
        <v>133</v>
      </c>
      <c r="S162" s="3" t="s">
        <v>263</v>
      </c>
      <c r="T162">
        <v>206</v>
      </c>
      <c r="U162">
        <v>208</v>
      </c>
      <c r="V162">
        <v>380</v>
      </c>
      <c r="W162">
        <v>1.23</v>
      </c>
      <c r="X162">
        <v>538100</v>
      </c>
      <c r="Y162" s="3" t="s">
        <v>31</v>
      </c>
      <c r="Z162">
        <v>107.321</v>
      </c>
      <c r="AA162">
        <v>1500000</v>
      </c>
      <c r="AB162" s="3" t="s">
        <v>256</v>
      </c>
      <c r="AC162" s="3" t="s">
        <v>10</v>
      </c>
      <c r="AD162">
        <v>549111</v>
      </c>
      <c r="AE162">
        <v>549111</v>
      </c>
      <c r="AF162" s="3" t="s">
        <v>640</v>
      </c>
    </row>
    <row r="163" spans="1:32" x14ac:dyDescent="0.35">
      <c r="A163" s="3" t="s">
        <v>608</v>
      </c>
      <c r="B163" s="3" t="s">
        <v>608</v>
      </c>
      <c r="C163" s="3" t="s">
        <v>608</v>
      </c>
      <c r="D163" s="3" t="s">
        <v>608</v>
      </c>
      <c r="E163" s="3" t="s">
        <v>608</v>
      </c>
      <c r="F163" s="3" t="s">
        <v>325</v>
      </c>
      <c r="G163" s="3" t="s">
        <v>325</v>
      </c>
      <c r="H163" s="3" t="s">
        <v>326</v>
      </c>
      <c r="I163" s="3" t="s">
        <v>74</v>
      </c>
      <c r="J163" s="3" t="s">
        <v>4</v>
      </c>
      <c r="K163" s="3" t="s">
        <v>771</v>
      </c>
      <c r="L163" s="3" t="s">
        <v>30</v>
      </c>
      <c r="M163" s="3" t="s">
        <v>14</v>
      </c>
      <c r="N163">
        <v>-1000000</v>
      </c>
      <c r="O163">
        <v>99.950999999999993</v>
      </c>
      <c r="P163">
        <v>194</v>
      </c>
      <c r="Q163">
        <v>0</v>
      </c>
      <c r="R163">
        <v>-38</v>
      </c>
      <c r="S163" s="3" t="s">
        <v>263</v>
      </c>
      <c r="T163">
        <v>-215</v>
      </c>
      <c r="U163">
        <v>-217</v>
      </c>
      <c r="V163">
        <v>-420</v>
      </c>
      <c r="W163">
        <v>-1.36</v>
      </c>
      <c r="X163">
        <v>-999510</v>
      </c>
      <c r="Y163" s="3" t="s">
        <v>31</v>
      </c>
      <c r="Z163">
        <v>99.950999999999993</v>
      </c>
      <c r="AA163">
        <v>-1000000</v>
      </c>
      <c r="AB163" s="3" t="s">
        <v>256</v>
      </c>
      <c r="AC163" s="3" t="s">
        <v>10</v>
      </c>
      <c r="AD163">
        <v>-1007120</v>
      </c>
      <c r="AE163">
        <v>1007120</v>
      </c>
      <c r="AF163" s="3" t="s">
        <v>640</v>
      </c>
    </row>
    <row r="164" spans="1:32" x14ac:dyDescent="0.35">
      <c r="A164" s="3" t="s">
        <v>608</v>
      </c>
      <c r="B164" s="3" t="s">
        <v>608</v>
      </c>
      <c r="C164" s="3" t="s">
        <v>608</v>
      </c>
      <c r="D164" s="3" t="s">
        <v>608</v>
      </c>
      <c r="E164" s="3" t="s">
        <v>608</v>
      </c>
      <c r="F164" s="3" t="s">
        <v>327</v>
      </c>
      <c r="G164" s="3" t="s">
        <v>327</v>
      </c>
      <c r="H164" s="3" t="s">
        <v>328</v>
      </c>
      <c r="I164" s="3" t="s">
        <v>90</v>
      </c>
      <c r="J164" s="3" t="s">
        <v>4</v>
      </c>
      <c r="K164" s="3" t="s">
        <v>772</v>
      </c>
      <c r="L164" s="3" t="s">
        <v>30</v>
      </c>
      <c r="M164" s="3" t="s">
        <v>14</v>
      </c>
      <c r="N164">
        <v>11426000</v>
      </c>
      <c r="O164">
        <v>99.19</v>
      </c>
      <c r="P164">
        <v>384</v>
      </c>
      <c r="Q164">
        <v>0</v>
      </c>
      <c r="R164">
        <v>1063</v>
      </c>
      <c r="S164" s="3" t="s">
        <v>263</v>
      </c>
      <c r="T164">
        <v>8393</v>
      </c>
      <c r="U164">
        <v>8484</v>
      </c>
      <c r="V164">
        <v>32551</v>
      </c>
      <c r="W164">
        <v>105</v>
      </c>
      <c r="X164">
        <v>11333449</v>
      </c>
      <c r="Y164" s="3" t="s">
        <v>8</v>
      </c>
      <c r="Z164">
        <v>99.19</v>
      </c>
      <c r="AA164">
        <v>11426000</v>
      </c>
      <c r="AB164" s="3" t="s">
        <v>256</v>
      </c>
      <c r="AC164" s="3" t="s">
        <v>10</v>
      </c>
      <c r="AD164">
        <v>11356693</v>
      </c>
      <c r="AE164">
        <v>11356693</v>
      </c>
      <c r="AF164" s="3" t="s">
        <v>640</v>
      </c>
    </row>
    <row r="165" spans="1:32" x14ac:dyDescent="0.35">
      <c r="A165" s="3" t="s">
        <v>608</v>
      </c>
      <c r="B165" s="3" t="s">
        <v>608</v>
      </c>
      <c r="C165" s="3" t="s">
        <v>608</v>
      </c>
      <c r="D165" s="3" t="s">
        <v>608</v>
      </c>
      <c r="E165" s="3" t="s">
        <v>608</v>
      </c>
      <c r="F165" s="3" t="s">
        <v>329</v>
      </c>
      <c r="G165" s="3" t="s">
        <v>329</v>
      </c>
      <c r="H165" s="3" t="s">
        <v>330</v>
      </c>
      <c r="I165" s="3" t="s">
        <v>90</v>
      </c>
      <c r="J165" s="3" t="s">
        <v>4</v>
      </c>
      <c r="K165" s="3" t="s">
        <v>773</v>
      </c>
      <c r="L165" s="3" t="s">
        <v>30</v>
      </c>
      <c r="M165" s="3" t="s">
        <v>14</v>
      </c>
      <c r="N165">
        <v>-17971000</v>
      </c>
      <c r="O165">
        <v>99.307000000000002</v>
      </c>
      <c r="P165">
        <v>327</v>
      </c>
      <c r="Q165">
        <v>0</v>
      </c>
      <c r="R165">
        <v>-1289</v>
      </c>
      <c r="S165" s="3" t="s">
        <v>263</v>
      </c>
      <c r="T165">
        <v>-8142</v>
      </c>
      <c r="U165">
        <v>-8222</v>
      </c>
      <c r="V165">
        <v>-26888</v>
      </c>
      <c r="W165">
        <v>-86.73</v>
      </c>
      <c r="X165">
        <v>-17846461</v>
      </c>
      <c r="Y165" s="3" t="s">
        <v>8</v>
      </c>
      <c r="Z165">
        <v>99.307000000000002</v>
      </c>
      <c r="AA165">
        <v>-17971000</v>
      </c>
      <c r="AB165" s="3" t="s">
        <v>256</v>
      </c>
      <c r="AC165" s="3" t="s">
        <v>10</v>
      </c>
      <c r="AD165">
        <v>-17874817</v>
      </c>
      <c r="AE165">
        <v>17874817</v>
      </c>
      <c r="AF165" s="3" t="s">
        <v>640</v>
      </c>
    </row>
    <row r="166" spans="1:32" x14ac:dyDescent="0.35">
      <c r="A166" s="3" t="s">
        <v>608</v>
      </c>
      <c r="B166" s="3" t="s">
        <v>608</v>
      </c>
      <c r="C166" s="3" t="s">
        <v>608</v>
      </c>
      <c r="D166" s="3" t="s">
        <v>608</v>
      </c>
      <c r="E166" s="3" t="s">
        <v>608</v>
      </c>
      <c r="F166" s="3" t="s">
        <v>939</v>
      </c>
      <c r="G166" s="3" t="s">
        <v>939</v>
      </c>
      <c r="H166" s="3" t="s">
        <v>940</v>
      </c>
      <c r="I166" s="3" t="s">
        <v>941</v>
      </c>
      <c r="J166" s="3" t="s">
        <v>4</v>
      </c>
      <c r="K166" s="3" t="s">
        <v>942</v>
      </c>
      <c r="L166" s="3" t="s">
        <v>30</v>
      </c>
      <c r="M166" s="3" t="s">
        <v>14</v>
      </c>
      <c r="N166">
        <v>-2500000</v>
      </c>
      <c r="O166">
        <v>100.86199999999999</v>
      </c>
      <c r="P166">
        <v>290</v>
      </c>
      <c r="Q166">
        <v>0</v>
      </c>
      <c r="R166">
        <v>0</v>
      </c>
      <c r="S166" s="3" t="s">
        <v>263</v>
      </c>
      <c r="T166">
        <v>-431</v>
      </c>
      <c r="U166">
        <v>-434</v>
      </c>
      <c r="V166">
        <v>-1261</v>
      </c>
      <c r="W166">
        <v>-4.07</v>
      </c>
      <c r="X166">
        <v>-2521550</v>
      </c>
      <c r="Y166" s="3" t="s">
        <v>31</v>
      </c>
      <c r="Z166">
        <v>100.86199999999999</v>
      </c>
      <c r="AA166">
        <v>-2500000</v>
      </c>
      <c r="AB166" s="3" t="s">
        <v>256</v>
      </c>
      <c r="AC166" s="3" t="s">
        <v>10</v>
      </c>
      <c r="AD166">
        <v>-2532184</v>
      </c>
      <c r="AE166">
        <v>2532184</v>
      </c>
      <c r="AF166" s="3" t="s">
        <v>640</v>
      </c>
    </row>
    <row r="167" spans="1:32" x14ac:dyDescent="0.35">
      <c r="A167" s="3" t="s">
        <v>608</v>
      </c>
      <c r="B167" s="3" t="s">
        <v>608</v>
      </c>
      <c r="C167" s="3" t="s">
        <v>608</v>
      </c>
      <c r="D167" s="3" t="s">
        <v>608</v>
      </c>
      <c r="E167" s="3" t="s">
        <v>608</v>
      </c>
      <c r="F167" s="3" t="s">
        <v>331</v>
      </c>
      <c r="G167" s="3" t="s">
        <v>331</v>
      </c>
      <c r="H167" s="3" t="s">
        <v>332</v>
      </c>
      <c r="I167" s="3" t="s">
        <v>333</v>
      </c>
      <c r="J167" s="3" t="s">
        <v>4</v>
      </c>
      <c r="K167" s="3" t="s">
        <v>758</v>
      </c>
      <c r="L167" s="3" t="s">
        <v>30</v>
      </c>
      <c r="M167" s="3" t="s">
        <v>14</v>
      </c>
      <c r="N167">
        <v>11600000</v>
      </c>
      <c r="O167">
        <v>104.428</v>
      </c>
      <c r="P167">
        <v>267</v>
      </c>
      <c r="Q167">
        <v>0</v>
      </c>
      <c r="R167">
        <v>990</v>
      </c>
      <c r="S167" s="3" t="s">
        <v>263</v>
      </c>
      <c r="T167">
        <v>5568</v>
      </c>
      <c r="U167">
        <v>5623</v>
      </c>
      <c r="V167">
        <v>14997</v>
      </c>
      <c r="W167">
        <v>48.38</v>
      </c>
      <c r="X167">
        <v>12113648</v>
      </c>
      <c r="Y167" s="3" t="s">
        <v>31</v>
      </c>
      <c r="Z167">
        <v>104.428</v>
      </c>
      <c r="AA167">
        <v>11600000</v>
      </c>
      <c r="AB167" s="3" t="s">
        <v>256</v>
      </c>
      <c r="AC167" s="3" t="s">
        <v>10</v>
      </c>
      <c r="AD167">
        <v>12390970</v>
      </c>
      <c r="AE167">
        <v>12390970</v>
      </c>
      <c r="AF167" s="3" t="s">
        <v>640</v>
      </c>
    </row>
    <row r="168" spans="1:32" x14ac:dyDescent="0.35">
      <c r="A168" s="3" t="s">
        <v>608</v>
      </c>
      <c r="B168" s="3" t="s">
        <v>608</v>
      </c>
      <c r="C168" s="3" t="s">
        <v>608</v>
      </c>
      <c r="D168" s="3" t="s">
        <v>608</v>
      </c>
      <c r="E168" s="3" t="s">
        <v>608</v>
      </c>
      <c r="F168" s="3" t="s">
        <v>334</v>
      </c>
      <c r="G168" s="3" t="s">
        <v>334</v>
      </c>
      <c r="H168" s="3" t="s">
        <v>335</v>
      </c>
      <c r="I168" s="3" t="s">
        <v>336</v>
      </c>
      <c r="J168" s="3" t="s">
        <v>4</v>
      </c>
      <c r="K168" s="3" t="s">
        <v>774</v>
      </c>
      <c r="L168" s="3" t="s">
        <v>30</v>
      </c>
      <c r="M168" s="3" t="s">
        <v>14</v>
      </c>
      <c r="N168">
        <v>200000</v>
      </c>
      <c r="O168">
        <v>97.554000000000002</v>
      </c>
      <c r="P168">
        <v>439</v>
      </c>
      <c r="Q168">
        <v>0</v>
      </c>
      <c r="R168">
        <v>18</v>
      </c>
      <c r="S168" s="3" t="s">
        <v>263</v>
      </c>
      <c r="T168">
        <v>91</v>
      </c>
      <c r="U168">
        <v>92</v>
      </c>
      <c r="V168">
        <v>403</v>
      </c>
      <c r="W168">
        <v>1.3</v>
      </c>
      <c r="X168">
        <v>195108</v>
      </c>
      <c r="Y168" s="3" t="s">
        <v>31</v>
      </c>
      <c r="Z168">
        <v>97.554000000000002</v>
      </c>
      <c r="AA168">
        <v>200000</v>
      </c>
      <c r="AB168" s="3" t="s">
        <v>256</v>
      </c>
      <c r="AC168" s="3" t="s">
        <v>10</v>
      </c>
      <c r="AD168">
        <v>195478</v>
      </c>
      <c r="AE168">
        <v>195478</v>
      </c>
      <c r="AF168" s="3" t="s">
        <v>640</v>
      </c>
    </row>
    <row r="169" spans="1:32" x14ac:dyDescent="0.35">
      <c r="A169" s="3" t="s">
        <v>608</v>
      </c>
      <c r="B169" s="3" t="s">
        <v>608</v>
      </c>
      <c r="C169" s="3" t="s">
        <v>608</v>
      </c>
      <c r="D169" s="3" t="s">
        <v>608</v>
      </c>
      <c r="E169" s="3" t="s">
        <v>608</v>
      </c>
      <c r="F169" s="3" t="s">
        <v>337</v>
      </c>
      <c r="G169" s="3" t="s">
        <v>337</v>
      </c>
      <c r="H169" s="3" t="s">
        <v>338</v>
      </c>
      <c r="I169" s="3" t="s">
        <v>118</v>
      </c>
      <c r="J169" s="3" t="s">
        <v>4</v>
      </c>
      <c r="K169" s="3" t="s">
        <v>775</v>
      </c>
      <c r="L169" s="3" t="s">
        <v>30</v>
      </c>
      <c r="M169" s="3" t="s">
        <v>14</v>
      </c>
      <c r="N169">
        <v>-2700000</v>
      </c>
      <c r="O169">
        <v>100.17</v>
      </c>
      <c r="P169">
        <v>259</v>
      </c>
      <c r="Q169">
        <v>0</v>
      </c>
      <c r="R169">
        <v>-166</v>
      </c>
      <c r="S169" s="3" t="s">
        <v>263</v>
      </c>
      <c r="T169">
        <v>-2011</v>
      </c>
      <c r="U169">
        <v>-2033</v>
      </c>
      <c r="V169">
        <v>-5274</v>
      </c>
      <c r="W169">
        <v>-17.010000000000002</v>
      </c>
      <c r="X169">
        <v>-2704590</v>
      </c>
      <c r="Y169" s="3" t="s">
        <v>31</v>
      </c>
      <c r="Z169">
        <v>100.17</v>
      </c>
      <c r="AA169">
        <v>-2700000</v>
      </c>
      <c r="AB169" s="3" t="s">
        <v>256</v>
      </c>
      <c r="AC169" s="3" t="s">
        <v>10</v>
      </c>
      <c r="AD169">
        <v>-2705755</v>
      </c>
      <c r="AE169">
        <v>2705755</v>
      </c>
      <c r="AF169" s="3" t="s">
        <v>640</v>
      </c>
    </row>
    <row r="170" spans="1:32" x14ac:dyDescent="0.35">
      <c r="A170" s="3" t="s">
        <v>608</v>
      </c>
      <c r="B170" s="3" t="s">
        <v>608</v>
      </c>
      <c r="C170" s="3" t="s">
        <v>608</v>
      </c>
      <c r="D170" s="3" t="s">
        <v>608</v>
      </c>
      <c r="E170" s="3" t="s">
        <v>608</v>
      </c>
      <c r="F170" s="3" t="s">
        <v>339</v>
      </c>
      <c r="G170" s="3" t="s">
        <v>339</v>
      </c>
      <c r="H170" s="3" t="s">
        <v>340</v>
      </c>
      <c r="I170" s="3" t="s">
        <v>118</v>
      </c>
      <c r="J170" s="3" t="s">
        <v>4</v>
      </c>
      <c r="K170" s="3" t="s">
        <v>776</v>
      </c>
      <c r="L170" s="3" t="s">
        <v>30</v>
      </c>
      <c r="M170" s="3" t="s">
        <v>14</v>
      </c>
      <c r="N170">
        <v>9700000</v>
      </c>
      <c r="O170">
        <v>103.989</v>
      </c>
      <c r="P170">
        <v>194</v>
      </c>
      <c r="Q170">
        <v>0</v>
      </c>
      <c r="R170">
        <v>698</v>
      </c>
      <c r="S170" s="3" t="s">
        <v>263</v>
      </c>
      <c r="T170">
        <v>3272</v>
      </c>
      <c r="U170">
        <v>3303</v>
      </c>
      <c r="V170">
        <v>6401</v>
      </c>
      <c r="W170">
        <v>20.65</v>
      </c>
      <c r="X170">
        <v>10086933</v>
      </c>
      <c r="Y170" s="3" t="s">
        <v>31</v>
      </c>
      <c r="Z170">
        <v>103.989</v>
      </c>
      <c r="AA170">
        <v>9700000</v>
      </c>
      <c r="AB170" s="3" t="s">
        <v>256</v>
      </c>
      <c r="AC170" s="3" t="s">
        <v>10</v>
      </c>
      <c r="AD170">
        <v>10242498</v>
      </c>
      <c r="AE170">
        <v>10242498</v>
      </c>
      <c r="AF170" s="3" t="s">
        <v>640</v>
      </c>
    </row>
    <row r="171" spans="1:32" x14ac:dyDescent="0.35">
      <c r="A171" s="3" t="s">
        <v>608</v>
      </c>
      <c r="B171" s="3" t="s">
        <v>608</v>
      </c>
      <c r="C171" s="3" t="s">
        <v>608</v>
      </c>
      <c r="D171" s="3" t="s">
        <v>608</v>
      </c>
      <c r="E171" s="3" t="s">
        <v>608</v>
      </c>
      <c r="F171" s="3" t="s">
        <v>341</v>
      </c>
      <c r="G171" s="3" t="s">
        <v>341</v>
      </c>
      <c r="H171" s="3" t="s">
        <v>342</v>
      </c>
      <c r="I171" s="3" t="s">
        <v>343</v>
      </c>
      <c r="J171" s="3" t="s">
        <v>4</v>
      </c>
      <c r="K171" s="3" t="s">
        <v>777</v>
      </c>
      <c r="L171" s="3" t="s">
        <v>30</v>
      </c>
      <c r="M171" s="3" t="s">
        <v>14</v>
      </c>
      <c r="N171">
        <v>0</v>
      </c>
      <c r="O171">
        <v>99.995000000000005</v>
      </c>
      <c r="P171">
        <v>339</v>
      </c>
      <c r="Q171">
        <v>21774</v>
      </c>
      <c r="R171">
        <v>299</v>
      </c>
      <c r="S171" s="3" t="s">
        <v>263</v>
      </c>
      <c r="T171">
        <v>0</v>
      </c>
      <c r="U171">
        <v>0</v>
      </c>
      <c r="V171">
        <v>0</v>
      </c>
      <c r="W171">
        <v>0</v>
      </c>
      <c r="X171">
        <v>0</v>
      </c>
      <c r="Y171" s="3" t="s">
        <v>31</v>
      </c>
      <c r="Z171">
        <v>99.412000000000006</v>
      </c>
      <c r="AA171">
        <v>3800000</v>
      </c>
      <c r="AB171" s="3" t="s">
        <v>256</v>
      </c>
      <c r="AC171" s="3" t="s">
        <v>10</v>
      </c>
      <c r="AD171">
        <v>-299</v>
      </c>
      <c r="AE171">
        <v>299</v>
      </c>
      <c r="AF171" s="3" t="s">
        <v>640</v>
      </c>
    </row>
    <row r="172" spans="1:32" x14ac:dyDescent="0.35">
      <c r="A172" s="3" t="s">
        <v>608</v>
      </c>
      <c r="B172" s="3" t="s">
        <v>608</v>
      </c>
      <c r="C172" s="3" t="s">
        <v>608</v>
      </c>
      <c r="D172" s="3" t="s">
        <v>608</v>
      </c>
      <c r="E172" s="3" t="s">
        <v>608</v>
      </c>
      <c r="F172" s="3" t="s">
        <v>344</v>
      </c>
      <c r="G172" s="3" t="s">
        <v>344</v>
      </c>
      <c r="H172" s="3" t="s">
        <v>345</v>
      </c>
      <c r="I172" s="3" t="s">
        <v>346</v>
      </c>
      <c r="J172" s="3" t="s">
        <v>4</v>
      </c>
      <c r="K172" s="3" t="s">
        <v>778</v>
      </c>
      <c r="L172" s="3" t="s">
        <v>30</v>
      </c>
      <c r="M172" s="3" t="s">
        <v>14</v>
      </c>
      <c r="N172">
        <v>-1425000</v>
      </c>
      <c r="O172">
        <v>107.08499999999999</v>
      </c>
      <c r="P172">
        <v>228</v>
      </c>
      <c r="Q172">
        <v>-5602</v>
      </c>
      <c r="R172">
        <v>-190</v>
      </c>
      <c r="S172" s="3" t="s">
        <v>250</v>
      </c>
      <c r="T172">
        <v>-1081</v>
      </c>
      <c r="U172">
        <v>-1094</v>
      </c>
      <c r="V172">
        <v>-2498</v>
      </c>
      <c r="W172">
        <v>-8.06</v>
      </c>
      <c r="X172">
        <v>-1525961</v>
      </c>
      <c r="Y172" s="3" t="s">
        <v>31</v>
      </c>
      <c r="Z172">
        <v>106.854</v>
      </c>
      <c r="AA172">
        <v>-2425000</v>
      </c>
      <c r="AB172" s="3" t="s">
        <v>256</v>
      </c>
      <c r="AC172" s="3" t="s">
        <v>10</v>
      </c>
      <c r="AD172">
        <v>-1529017</v>
      </c>
      <c r="AE172">
        <v>1529017</v>
      </c>
      <c r="AF172" s="3" t="s">
        <v>640</v>
      </c>
    </row>
    <row r="173" spans="1:32" x14ac:dyDescent="0.35">
      <c r="A173" s="3" t="s">
        <v>608</v>
      </c>
      <c r="B173" s="3" t="s">
        <v>608</v>
      </c>
      <c r="C173" s="3" t="s">
        <v>608</v>
      </c>
      <c r="D173" s="3" t="s">
        <v>608</v>
      </c>
      <c r="E173" s="3" t="s">
        <v>608</v>
      </c>
      <c r="F173" s="3" t="s">
        <v>837</v>
      </c>
      <c r="G173" s="3" t="s">
        <v>837</v>
      </c>
      <c r="H173" s="3" t="s">
        <v>838</v>
      </c>
      <c r="I173" s="3" t="s">
        <v>839</v>
      </c>
      <c r="J173" s="3" t="s">
        <v>4</v>
      </c>
      <c r="K173" s="3" t="s">
        <v>840</v>
      </c>
      <c r="L173" s="3" t="s">
        <v>30</v>
      </c>
      <c r="M173" s="3" t="s">
        <v>14</v>
      </c>
      <c r="N173">
        <v>-7100000</v>
      </c>
      <c r="O173">
        <v>97.658000000000001</v>
      </c>
      <c r="P173">
        <v>314</v>
      </c>
      <c r="Q173">
        <v>0</v>
      </c>
      <c r="R173">
        <v>-388</v>
      </c>
      <c r="S173" s="3" t="s">
        <v>250</v>
      </c>
      <c r="T173">
        <v>-2629</v>
      </c>
      <c r="U173">
        <v>-2654</v>
      </c>
      <c r="V173">
        <v>-8333</v>
      </c>
      <c r="W173">
        <v>-26.88</v>
      </c>
      <c r="X173">
        <v>-6933718</v>
      </c>
      <c r="Y173" s="3" t="s">
        <v>31</v>
      </c>
      <c r="Z173">
        <v>97.658000000000001</v>
      </c>
      <c r="AA173">
        <v>-7100000</v>
      </c>
      <c r="AB173" s="3" t="s">
        <v>256</v>
      </c>
      <c r="AC173" s="3" t="s">
        <v>10</v>
      </c>
      <c r="AD173">
        <v>-7038472</v>
      </c>
      <c r="AE173">
        <v>7038472</v>
      </c>
      <c r="AF173" s="3" t="s">
        <v>640</v>
      </c>
    </row>
    <row r="174" spans="1:32" x14ac:dyDescent="0.35">
      <c r="A174" s="3" t="s">
        <v>608</v>
      </c>
      <c r="B174" s="3" t="s">
        <v>608</v>
      </c>
      <c r="C174" s="3" t="s">
        <v>608</v>
      </c>
      <c r="D174" s="3" t="s">
        <v>608</v>
      </c>
      <c r="E174" s="3" t="s">
        <v>608</v>
      </c>
      <c r="F174" s="3" t="s">
        <v>347</v>
      </c>
      <c r="G174" s="3" t="s">
        <v>347</v>
      </c>
      <c r="H174" s="3" t="s">
        <v>348</v>
      </c>
      <c r="I174" s="3" t="s">
        <v>349</v>
      </c>
      <c r="J174" s="3" t="s">
        <v>4</v>
      </c>
      <c r="K174" s="3" t="s">
        <v>779</v>
      </c>
      <c r="L174" s="3" t="s">
        <v>30</v>
      </c>
      <c r="M174" s="3" t="s">
        <v>14</v>
      </c>
      <c r="N174">
        <v>538000</v>
      </c>
      <c r="O174">
        <v>105.69499999999999</v>
      </c>
      <c r="P174">
        <v>274</v>
      </c>
      <c r="Q174">
        <v>0</v>
      </c>
      <c r="R174">
        <v>66</v>
      </c>
      <c r="S174" s="3" t="s">
        <v>263</v>
      </c>
      <c r="T174">
        <v>139</v>
      </c>
      <c r="U174">
        <v>141</v>
      </c>
      <c r="V174">
        <v>385</v>
      </c>
      <c r="W174">
        <v>1.24</v>
      </c>
      <c r="X174">
        <v>568639</v>
      </c>
      <c r="Y174" s="3" t="s">
        <v>31</v>
      </c>
      <c r="Z174">
        <v>105.69499999999999</v>
      </c>
      <c r="AA174">
        <v>538000</v>
      </c>
      <c r="AB174" s="3" t="s">
        <v>256</v>
      </c>
      <c r="AC174" s="3" t="s">
        <v>10</v>
      </c>
      <c r="AD174">
        <v>578655</v>
      </c>
      <c r="AE174">
        <v>578655</v>
      </c>
      <c r="AF174" s="3" t="s">
        <v>640</v>
      </c>
    </row>
    <row r="175" spans="1:32" x14ac:dyDescent="0.35">
      <c r="A175" s="3" t="s">
        <v>608</v>
      </c>
      <c r="B175" s="3" t="s">
        <v>608</v>
      </c>
      <c r="C175" s="3" t="s">
        <v>608</v>
      </c>
      <c r="D175" s="3" t="s">
        <v>608</v>
      </c>
      <c r="E175" s="3" t="s">
        <v>608</v>
      </c>
      <c r="F175" s="3" t="s">
        <v>351</v>
      </c>
      <c r="G175" s="3" t="s">
        <v>351</v>
      </c>
      <c r="H175" s="3" t="s">
        <v>352</v>
      </c>
      <c r="I175" s="3" t="s">
        <v>350</v>
      </c>
      <c r="J175" s="3" t="s">
        <v>4</v>
      </c>
      <c r="K175" s="3" t="s">
        <v>780</v>
      </c>
      <c r="L175" s="3" t="s">
        <v>30</v>
      </c>
      <c r="M175" s="3" t="s">
        <v>14</v>
      </c>
      <c r="N175">
        <v>-2000000</v>
      </c>
      <c r="O175">
        <v>108.47799999999999</v>
      </c>
      <c r="P175">
        <v>176</v>
      </c>
      <c r="Q175">
        <v>0</v>
      </c>
      <c r="R175">
        <v>-184</v>
      </c>
      <c r="S175" s="3" t="s">
        <v>263</v>
      </c>
      <c r="T175">
        <v>-838</v>
      </c>
      <c r="U175">
        <v>-846</v>
      </c>
      <c r="V175">
        <v>-1485</v>
      </c>
      <c r="W175">
        <v>-4.79</v>
      </c>
      <c r="X175">
        <v>-2169560</v>
      </c>
      <c r="Y175" s="3" t="s">
        <v>31</v>
      </c>
      <c r="Z175">
        <v>108.47799999999999</v>
      </c>
      <c r="AA175">
        <v>-2000000</v>
      </c>
      <c r="AB175" s="3" t="s">
        <v>256</v>
      </c>
      <c r="AC175" s="3" t="s">
        <v>10</v>
      </c>
      <c r="AD175">
        <v>-2230052</v>
      </c>
      <c r="AE175">
        <v>2230052</v>
      </c>
      <c r="AF175" s="3" t="s">
        <v>640</v>
      </c>
    </row>
    <row r="176" spans="1:32" x14ac:dyDescent="0.35">
      <c r="A176" s="3" t="s">
        <v>608</v>
      </c>
      <c r="B176" s="3" t="s">
        <v>608</v>
      </c>
      <c r="C176" s="3" t="s">
        <v>608</v>
      </c>
      <c r="D176" s="3" t="s">
        <v>608</v>
      </c>
      <c r="E176" s="3" t="s">
        <v>608</v>
      </c>
      <c r="F176" s="3" t="s">
        <v>353</v>
      </c>
      <c r="G176" s="3" t="s">
        <v>353</v>
      </c>
      <c r="H176" s="3" t="s">
        <v>354</v>
      </c>
      <c r="I176" s="3" t="s">
        <v>355</v>
      </c>
      <c r="J176" s="3" t="s">
        <v>4</v>
      </c>
      <c r="K176" s="3" t="s">
        <v>781</v>
      </c>
      <c r="L176" s="3" t="s">
        <v>30</v>
      </c>
      <c r="M176" s="3" t="s">
        <v>14</v>
      </c>
      <c r="N176">
        <v>-4831000</v>
      </c>
      <c r="O176">
        <v>99.191000000000003</v>
      </c>
      <c r="P176">
        <v>269</v>
      </c>
      <c r="Q176">
        <v>0</v>
      </c>
      <c r="R176">
        <v>-293</v>
      </c>
      <c r="S176" s="3" t="s">
        <v>263</v>
      </c>
      <c r="T176">
        <v>-2911</v>
      </c>
      <c r="U176">
        <v>-2943</v>
      </c>
      <c r="V176">
        <v>-7907</v>
      </c>
      <c r="W176">
        <v>-25.51</v>
      </c>
      <c r="X176">
        <v>-4791917</v>
      </c>
      <c r="Y176" s="3" t="s">
        <v>31</v>
      </c>
      <c r="Z176">
        <v>99.191000000000003</v>
      </c>
      <c r="AA176">
        <v>-4831000</v>
      </c>
      <c r="AB176" s="3" t="s">
        <v>256</v>
      </c>
      <c r="AC176" s="3" t="s">
        <v>10</v>
      </c>
      <c r="AD176">
        <v>-4808793</v>
      </c>
      <c r="AE176">
        <v>4808793</v>
      </c>
      <c r="AF176" s="3" t="s">
        <v>640</v>
      </c>
    </row>
    <row r="177" spans="1:32" x14ac:dyDescent="0.35">
      <c r="A177" s="3" t="s">
        <v>608</v>
      </c>
      <c r="B177" s="3" t="s">
        <v>608</v>
      </c>
      <c r="C177" s="3" t="s">
        <v>608</v>
      </c>
      <c r="D177" s="3" t="s">
        <v>608</v>
      </c>
      <c r="E177" s="3" t="s">
        <v>608</v>
      </c>
      <c r="F177" s="3" t="s">
        <v>356</v>
      </c>
      <c r="G177" s="3" t="s">
        <v>356</v>
      </c>
      <c r="H177" s="3" t="s">
        <v>357</v>
      </c>
      <c r="I177" s="3" t="s">
        <v>355</v>
      </c>
      <c r="J177" s="3" t="s">
        <v>283</v>
      </c>
      <c r="K177" s="3" t="s">
        <v>782</v>
      </c>
      <c r="L177" s="3" t="s">
        <v>30</v>
      </c>
      <c r="M177" s="3" t="s">
        <v>14</v>
      </c>
      <c r="N177">
        <v>-630000</v>
      </c>
      <c r="O177">
        <v>113.015</v>
      </c>
      <c r="P177">
        <v>242</v>
      </c>
      <c r="Q177">
        <v>-1005</v>
      </c>
      <c r="R177">
        <v>-272</v>
      </c>
      <c r="S177" s="3" t="s">
        <v>263</v>
      </c>
      <c r="T177">
        <v>-325</v>
      </c>
      <c r="U177">
        <v>-331</v>
      </c>
      <c r="V177">
        <v>-801</v>
      </c>
      <c r="W177">
        <v>-2.58</v>
      </c>
      <c r="X177">
        <v>-789719</v>
      </c>
      <c r="Y177" s="3" t="s">
        <v>31</v>
      </c>
      <c r="Z177">
        <v>112.958</v>
      </c>
      <c r="AA177">
        <v>-1590000</v>
      </c>
      <c r="AB177" s="3" t="s">
        <v>256</v>
      </c>
      <c r="AC177" s="3" t="s">
        <v>10</v>
      </c>
      <c r="AD177">
        <v>-803066</v>
      </c>
      <c r="AE177">
        <v>803066</v>
      </c>
      <c r="AF177" s="3" t="s">
        <v>640</v>
      </c>
    </row>
    <row r="178" spans="1:32" x14ac:dyDescent="0.35">
      <c r="A178" s="3" t="s">
        <v>608</v>
      </c>
      <c r="B178" s="3" t="s">
        <v>608</v>
      </c>
      <c r="C178" s="3" t="s">
        <v>608</v>
      </c>
      <c r="D178" s="3" t="s">
        <v>608</v>
      </c>
      <c r="E178" s="3" t="s">
        <v>608</v>
      </c>
      <c r="F178" s="3" t="s">
        <v>907</v>
      </c>
      <c r="G178" s="3" t="s">
        <v>907</v>
      </c>
      <c r="H178" s="3" t="s">
        <v>908</v>
      </c>
      <c r="I178" s="3" t="s">
        <v>355</v>
      </c>
      <c r="J178" s="3" t="s">
        <v>4</v>
      </c>
      <c r="K178" s="3" t="s">
        <v>909</v>
      </c>
      <c r="L178" s="3" t="s">
        <v>30</v>
      </c>
      <c r="M178" s="3" t="s">
        <v>14</v>
      </c>
      <c r="N178">
        <v>0</v>
      </c>
      <c r="O178">
        <v>98.885000000000005</v>
      </c>
      <c r="P178">
        <v>245</v>
      </c>
      <c r="Q178">
        <v>0</v>
      </c>
      <c r="R178">
        <v>-200</v>
      </c>
      <c r="S178" s="3" t="s">
        <v>263</v>
      </c>
      <c r="T178">
        <v>0</v>
      </c>
      <c r="U178">
        <v>0</v>
      </c>
      <c r="V178">
        <v>0</v>
      </c>
      <c r="W178">
        <v>0</v>
      </c>
      <c r="X178">
        <v>0</v>
      </c>
      <c r="Y178" s="3" t="s">
        <v>31</v>
      </c>
      <c r="Z178">
        <v>98.885000000000005</v>
      </c>
      <c r="AA178">
        <v>0</v>
      </c>
      <c r="AB178" s="3" t="s">
        <v>256</v>
      </c>
      <c r="AC178" s="3" t="s">
        <v>10</v>
      </c>
      <c r="AD178">
        <v>0</v>
      </c>
      <c r="AE178">
        <v>0</v>
      </c>
      <c r="AF178" s="3" t="s">
        <v>640</v>
      </c>
    </row>
    <row r="179" spans="1:32" x14ac:dyDescent="0.35">
      <c r="A179" s="3" t="s">
        <v>608</v>
      </c>
      <c r="B179" s="3" t="s">
        <v>608</v>
      </c>
      <c r="C179" s="3" t="s">
        <v>608</v>
      </c>
      <c r="D179" s="3" t="s">
        <v>608</v>
      </c>
      <c r="E179" s="3" t="s">
        <v>608</v>
      </c>
      <c r="F179" s="3" t="s">
        <v>841</v>
      </c>
      <c r="G179" s="3" t="s">
        <v>841</v>
      </c>
      <c r="H179" s="3" t="s">
        <v>842</v>
      </c>
      <c r="I179" s="3" t="s">
        <v>135</v>
      </c>
      <c r="J179" s="3" t="s">
        <v>4</v>
      </c>
      <c r="K179" s="3" t="s">
        <v>843</v>
      </c>
      <c r="L179" s="3" t="s">
        <v>30</v>
      </c>
      <c r="M179" s="3" t="s">
        <v>14</v>
      </c>
      <c r="N179">
        <v>3000000</v>
      </c>
      <c r="O179">
        <v>103.04900000000001</v>
      </c>
      <c r="P179">
        <v>297</v>
      </c>
      <c r="Q179">
        <v>0</v>
      </c>
      <c r="R179">
        <v>277</v>
      </c>
      <c r="S179" s="3" t="s">
        <v>263</v>
      </c>
      <c r="T179">
        <v>1006</v>
      </c>
      <c r="U179">
        <v>1016</v>
      </c>
      <c r="V179">
        <v>3019</v>
      </c>
      <c r="W179">
        <v>9.74</v>
      </c>
      <c r="X179">
        <v>3091470</v>
      </c>
      <c r="Y179" s="3" t="s">
        <v>31</v>
      </c>
      <c r="Z179">
        <v>103.04900000000001</v>
      </c>
      <c r="AA179">
        <v>3000000</v>
      </c>
      <c r="AB179" s="3" t="s">
        <v>256</v>
      </c>
      <c r="AC179" s="3" t="s">
        <v>10</v>
      </c>
      <c r="AD179">
        <v>3145285</v>
      </c>
      <c r="AE179">
        <v>3145285</v>
      </c>
      <c r="AF179" s="3" t="s">
        <v>640</v>
      </c>
    </row>
    <row r="180" spans="1:32" x14ac:dyDescent="0.35">
      <c r="A180" s="3" t="s">
        <v>608</v>
      </c>
      <c r="B180" s="3" t="s">
        <v>608</v>
      </c>
      <c r="C180" s="3" t="s">
        <v>608</v>
      </c>
      <c r="D180" s="3" t="s">
        <v>608</v>
      </c>
      <c r="E180" s="3" t="s">
        <v>608</v>
      </c>
      <c r="F180" s="3" t="s">
        <v>358</v>
      </c>
      <c r="G180" s="3" t="s">
        <v>358</v>
      </c>
      <c r="H180" s="3" t="s">
        <v>359</v>
      </c>
      <c r="I180" s="3" t="s">
        <v>135</v>
      </c>
      <c r="J180" s="3" t="s">
        <v>4</v>
      </c>
      <c r="K180" s="3" t="s">
        <v>783</v>
      </c>
      <c r="L180" s="3" t="s">
        <v>30</v>
      </c>
      <c r="M180" s="3" t="s">
        <v>14</v>
      </c>
      <c r="N180">
        <v>-1000000</v>
      </c>
      <c r="O180">
        <v>104.197</v>
      </c>
      <c r="P180">
        <v>254</v>
      </c>
      <c r="Q180">
        <v>0</v>
      </c>
      <c r="R180">
        <v>-113</v>
      </c>
      <c r="S180" s="3" t="s">
        <v>263</v>
      </c>
      <c r="T180">
        <v>-204</v>
      </c>
      <c r="U180">
        <v>-206</v>
      </c>
      <c r="V180">
        <v>-522</v>
      </c>
      <c r="W180">
        <v>-1.69</v>
      </c>
      <c r="X180">
        <v>-1041970</v>
      </c>
      <c r="Y180" s="3" t="s">
        <v>31</v>
      </c>
      <c r="Z180">
        <v>104.197</v>
      </c>
      <c r="AA180">
        <v>-1000000</v>
      </c>
      <c r="AB180" s="3" t="s">
        <v>256</v>
      </c>
      <c r="AC180" s="3" t="s">
        <v>10</v>
      </c>
      <c r="AD180">
        <v>-1081642</v>
      </c>
      <c r="AE180">
        <v>1081642</v>
      </c>
      <c r="AF180" s="3" t="s">
        <v>640</v>
      </c>
    </row>
    <row r="181" spans="1:32" x14ac:dyDescent="0.35">
      <c r="A181" s="3" t="s">
        <v>608</v>
      </c>
      <c r="B181" s="3" t="s">
        <v>608</v>
      </c>
      <c r="C181" s="3" t="s">
        <v>608</v>
      </c>
      <c r="D181" s="3" t="s">
        <v>608</v>
      </c>
      <c r="E181" s="3" t="s">
        <v>608</v>
      </c>
      <c r="F181" s="3" t="s">
        <v>587</v>
      </c>
      <c r="G181" s="3" t="s">
        <v>587</v>
      </c>
      <c r="H181" s="3" t="s">
        <v>361</v>
      </c>
      <c r="I181" s="3" t="s">
        <v>140</v>
      </c>
      <c r="J181" s="3" t="s">
        <v>4</v>
      </c>
      <c r="K181" s="3" t="s">
        <v>784</v>
      </c>
      <c r="L181" s="3" t="s">
        <v>30</v>
      </c>
      <c r="M181" s="3" t="s">
        <v>14</v>
      </c>
      <c r="N181">
        <v>800000</v>
      </c>
      <c r="O181">
        <v>98.331999999999994</v>
      </c>
      <c r="P181">
        <v>345</v>
      </c>
      <c r="Q181">
        <v>0</v>
      </c>
      <c r="R181">
        <v>63</v>
      </c>
      <c r="S181" s="3" t="s">
        <v>263</v>
      </c>
      <c r="T181">
        <v>588</v>
      </c>
      <c r="U181">
        <v>594</v>
      </c>
      <c r="V181">
        <v>2053</v>
      </c>
      <c r="W181">
        <v>6.62</v>
      </c>
      <c r="X181">
        <v>786656</v>
      </c>
      <c r="Y181" s="3" t="s">
        <v>31</v>
      </c>
      <c r="Z181">
        <v>98.331999999999994</v>
      </c>
      <c r="AA181">
        <v>800000</v>
      </c>
      <c r="AB181" s="3" t="s">
        <v>256</v>
      </c>
      <c r="AC181" s="3" t="s">
        <v>10</v>
      </c>
      <c r="AD181">
        <v>790689</v>
      </c>
      <c r="AE181">
        <v>790689</v>
      </c>
      <c r="AF181" s="3" t="s">
        <v>640</v>
      </c>
    </row>
    <row r="182" spans="1:32" x14ac:dyDescent="0.35">
      <c r="A182" s="3" t="s">
        <v>608</v>
      </c>
      <c r="B182" s="3" t="s">
        <v>608</v>
      </c>
      <c r="C182" s="3" t="s">
        <v>608</v>
      </c>
      <c r="D182" s="3" t="s">
        <v>608</v>
      </c>
      <c r="E182" s="3" t="s">
        <v>608</v>
      </c>
      <c r="F182" s="3" t="s">
        <v>991</v>
      </c>
      <c r="G182" s="3" t="s">
        <v>991</v>
      </c>
      <c r="H182" s="3" t="s">
        <v>992</v>
      </c>
      <c r="I182" s="3" t="s">
        <v>140</v>
      </c>
      <c r="J182" s="3" t="s">
        <v>4</v>
      </c>
      <c r="K182" s="3" t="s">
        <v>993</v>
      </c>
      <c r="L182" s="3" t="s">
        <v>30</v>
      </c>
      <c r="M182" s="3" t="s">
        <v>14</v>
      </c>
      <c r="N182">
        <v>-800000</v>
      </c>
      <c r="O182">
        <v>118.44499999999999</v>
      </c>
      <c r="P182">
        <v>285</v>
      </c>
      <c r="Q182">
        <v>0</v>
      </c>
      <c r="R182">
        <v>0</v>
      </c>
      <c r="S182" s="3" t="s">
        <v>263</v>
      </c>
      <c r="T182">
        <v>-423</v>
      </c>
      <c r="U182">
        <v>-427</v>
      </c>
      <c r="V182">
        <v>-1218</v>
      </c>
      <c r="W182">
        <v>-3.93</v>
      </c>
      <c r="X182">
        <v>-947560</v>
      </c>
      <c r="Y182" s="3" t="s">
        <v>31</v>
      </c>
      <c r="Z182">
        <v>118.97</v>
      </c>
      <c r="AA182">
        <v>0</v>
      </c>
      <c r="AB182" s="3" t="s">
        <v>256</v>
      </c>
      <c r="AC182" s="3" t="s">
        <v>10</v>
      </c>
      <c r="AD182">
        <v>-992915</v>
      </c>
      <c r="AE182">
        <v>992915</v>
      </c>
      <c r="AF182" s="3" t="s">
        <v>640</v>
      </c>
    </row>
    <row r="183" spans="1:32" x14ac:dyDescent="0.35">
      <c r="A183" s="3" t="s">
        <v>608</v>
      </c>
      <c r="B183" s="3" t="s">
        <v>608</v>
      </c>
      <c r="C183" s="3" t="s">
        <v>608</v>
      </c>
      <c r="D183" s="3" t="s">
        <v>608</v>
      </c>
      <c r="E183" s="3" t="s">
        <v>608</v>
      </c>
      <c r="F183" s="3" t="s">
        <v>360</v>
      </c>
      <c r="G183" s="3" t="s">
        <v>360</v>
      </c>
      <c r="H183" s="3" t="s">
        <v>361</v>
      </c>
      <c r="I183" s="3" t="s">
        <v>140</v>
      </c>
      <c r="J183" s="3" t="s">
        <v>4</v>
      </c>
      <c r="K183" s="3" t="s">
        <v>785</v>
      </c>
      <c r="L183" s="3" t="s">
        <v>30</v>
      </c>
      <c r="M183" s="3" t="s">
        <v>14</v>
      </c>
      <c r="N183">
        <v>3500000</v>
      </c>
      <c r="O183">
        <v>101.708</v>
      </c>
      <c r="P183">
        <v>287</v>
      </c>
      <c r="Q183">
        <v>0</v>
      </c>
      <c r="R183">
        <v>276</v>
      </c>
      <c r="S183" s="3" t="s">
        <v>263</v>
      </c>
      <c r="T183">
        <v>1135</v>
      </c>
      <c r="U183">
        <v>1145</v>
      </c>
      <c r="V183">
        <v>3285</v>
      </c>
      <c r="W183">
        <v>10.6</v>
      </c>
      <c r="X183">
        <v>3559780</v>
      </c>
      <c r="Y183" s="3" t="s">
        <v>31</v>
      </c>
      <c r="Z183">
        <v>101.708</v>
      </c>
      <c r="AA183">
        <v>3500000</v>
      </c>
      <c r="AB183" s="3" t="s">
        <v>256</v>
      </c>
      <c r="AC183" s="3" t="s">
        <v>10</v>
      </c>
      <c r="AD183">
        <v>3597825</v>
      </c>
      <c r="AE183">
        <v>3597825</v>
      </c>
      <c r="AF183" s="3" t="s">
        <v>640</v>
      </c>
    </row>
    <row r="184" spans="1:32" x14ac:dyDescent="0.35">
      <c r="A184" s="3" t="s">
        <v>608</v>
      </c>
      <c r="B184" s="3" t="s">
        <v>608</v>
      </c>
      <c r="C184" s="3" t="s">
        <v>608</v>
      </c>
      <c r="D184" s="3" t="s">
        <v>608</v>
      </c>
      <c r="E184" s="3" t="s">
        <v>608</v>
      </c>
      <c r="F184" s="3" t="s">
        <v>362</v>
      </c>
      <c r="G184" s="3" t="s">
        <v>362</v>
      </c>
      <c r="H184" s="3" t="s">
        <v>363</v>
      </c>
      <c r="I184" s="3" t="s">
        <v>364</v>
      </c>
      <c r="J184" s="3" t="s">
        <v>4</v>
      </c>
      <c r="K184" s="3" t="s">
        <v>786</v>
      </c>
      <c r="L184" s="3" t="s">
        <v>30</v>
      </c>
      <c r="M184" s="3" t="s">
        <v>14</v>
      </c>
      <c r="N184">
        <v>0</v>
      </c>
      <c r="O184">
        <v>99.57</v>
      </c>
      <c r="P184">
        <v>220</v>
      </c>
      <c r="Q184">
        <v>0</v>
      </c>
      <c r="R184">
        <v>62</v>
      </c>
      <c r="S184" s="3" t="s">
        <v>263</v>
      </c>
      <c r="T184">
        <v>0</v>
      </c>
      <c r="U184">
        <v>0</v>
      </c>
      <c r="V184">
        <v>0</v>
      </c>
      <c r="W184">
        <v>0</v>
      </c>
      <c r="X184">
        <v>0</v>
      </c>
      <c r="Y184" s="3" t="s">
        <v>31</v>
      </c>
      <c r="Z184">
        <v>99.57</v>
      </c>
      <c r="AA184">
        <v>0</v>
      </c>
      <c r="AB184" s="3" t="s">
        <v>256</v>
      </c>
      <c r="AC184" s="3" t="s">
        <v>10</v>
      </c>
      <c r="AD184">
        <v>0</v>
      </c>
      <c r="AE184">
        <v>0</v>
      </c>
      <c r="AF184" s="3" t="s">
        <v>640</v>
      </c>
    </row>
    <row r="185" spans="1:32" x14ac:dyDescent="0.35">
      <c r="A185" s="3" t="s">
        <v>608</v>
      </c>
      <c r="B185" s="3" t="s">
        <v>608</v>
      </c>
      <c r="C185" s="3" t="s">
        <v>608</v>
      </c>
      <c r="D185" s="3" t="s">
        <v>608</v>
      </c>
      <c r="E185" s="3" t="s">
        <v>608</v>
      </c>
      <c r="F185" s="3" t="s">
        <v>365</v>
      </c>
      <c r="G185" s="3" t="s">
        <v>365</v>
      </c>
      <c r="H185" s="3" t="s">
        <v>366</v>
      </c>
      <c r="I185" s="3" t="s">
        <v>364</v>
      </c>
      <c r="J185" s="3" t="s">
        <v>4</v>
      </c>
      <c r="K185" s="3" t="s">
        <v>788</v>
      </c>
      <c r="L185" s="3" t="s">
        <v>30</v>
      </c>
      <c r="M185" s="3" t="s">
        <v>14</v>
      </c>
      <c r="N185">
        <v>0</v>
      </c>
      <c r="O185">
        <v>118.375</v>
      </c>
      <c r="P185">
        <v>217</v>
      </c>
      <c r="Q185">
        <v>0</v>
      </c>
      <c r="R185">
        <v>16</v>
      </c>
      <c r="S185" s="3" t="s">
        <v>263</v>
      </c>
      <c r="T185">
        <v>0</v>
      </c>
      <c r="U185">
        <v>0</v>
      </c>
      <c r="V185">
        <v>0</v>
      </c>
      <c r="W185">
        <v>0</v>
      </c>
      <c r="X185">
        <v>0</v>
      </c>
      <c r="Y185" s="3" t="s">
        <v>31</v>
      </c>
      <c r="Z185">
        <v>118.375</v>
      </c>
      <c r="AA185">
        <v>0</v>
      </c>
      <c r="AB185" s="3" t="s">
        <v>256</v>
      </c>
      <c r="AC185" s="3" t="s">
        <v>10</v>
      </c>
      <c r="AD185">
        <v>0</v>
      </c>
      <c r="AE185">
        <v>0</v>
      </c>
      <c r="AF185" s="3" t="s">
        <v>640</v>
      </c>
    </row>
    <row r="186" spans="1:32" x14ac:dyDescent="0.35">
      <c r="A186" s="3" t="s">
        <v>608</v>
      </c>
      <c r="B186" s="3" t="s">
        <v>608</v>
      </c>
      <c r="C186" s="3" t="s">
        <v>608</v>
      </c>
      <c r="D186" s="3" t="s">
        <v>608</v>
      </c>
      <c r="E186" s="3" t="s">
        <v>608</v>
      </c>
      <c r="F186" s="3" t="s">
        <v>367</v>
      </c>
      <c r="G186" s="3" t="s">
        <v>367</v>
      </c>
      <c r="H186" s="3" t="s">
        <v>368</v>
      </c>
      <c r="I186" s="3" t="s">
        <v>364</v>
      </c>
      <c r="J186" s="3" t="s">
        <v>4</v>
      </c>
      <c r="K186" s="3" t="s">
        <v>789</v>
      </c>
      <c r="L186" s="3" t="s">
        <v>30</v>
      </c>
      <c r="M186" s="3" t="s">
        <v>14</v>
      </c>
      <c r="N186">
        <v>-136000</v>
      </c>
      <c r="O186">
        <v>112.72499999999999</v>
      </c>
      <c r="P186">
        <v>177</v>
      </c>
      <c r="Q186">
        <v>2590</v>
      </c>
      <c r="R186">
        <v>95</v>
      </c>
      <c r="S186" s="3" t="s">
        <v>263</v>
      </c>
      <c r="T186">
        <v>-47</v>
      </c>
      <c r="U186">
        <v>-47</v>
      </c>
      <c r="V186">
        <v>-84</v>
      </c>
      <c r="W186">
        <v>-0.27</v>
      </c>
      <c r="X186">
        <v>-153306</v>
      </c>
      <c r="Y186" s="3" t="s">
        <v>31</v>
      </c>
      <c r="Z186">
        <v>112.33499999999999</v>
      </c>
      <c r="AA186">
        <v>664000</v>
      </c>
      <c r="AB186" s="3" t="s">
        <v>256</v>
      </c>
      <c r="AC186" s="3" t="s">
        <v>10</v>
      </c>
      <c r="AD186">
        <v>-158707</v>
      </c>
      <c r="AE186">
        <v>158707</v>
      </c>
      <c r="AF186" s="3" t="s">
        <v>640</v>
      </c>
    </row>
    <row r="187" spans="1:32" x14ac:dyDescent="0.35">
      <c r="A187" s="3" t="s">
        <v>608</v>
      </c>
      <c r="B187" s="3" t="s">
        <v>608</v>
      </c>
      <c r="C187" s="3" t="s">
        <v>608</v>
      </c>
      <c r="D187" s="3" t="s">
        <v>608</v>
      </c>
      <c r="E187" s="3" t="s">
        <v>608</v>
      </c>
      <c r="F187" s="3" t="s">
        <v>369</v>
      </c>
      <c r="G187" s="3" t="s">
        <v>369</v>
      </c>
      <c r="H187" s="3" t="s">
        <v>370</v>
      </c>
      <c r="I187" s="3" t="s">
        <v>371</v>
      </c>
      <c r="J187" s="3" t="s">
        <v>4</v>
      </c>
      <c r="K187" s="3" t="s">
        <v>790</v>
      </c>
      <c r="L187" s="3" t="s">
        <v>30</v>
      </c>
      <c r="M187" s="3" t="s">
        <v>14</v>
      </c>
      <c r="N187">
        <v>0</v>
      </c>
      <c r="O187">
        <v>100.124</v>
      </c>
      <c r="P187">
        <v>215</v>
      </c>
      <c r="Q187">
        <v>0</v>
      </c>
      <c r="R187">
        <v>0</v>
      </c>
      <c r="S187" s="3" t="s">
        <v>263</v>
      </c>
      <c r="T187">
        <v>0</v>
      </c>
      <c r="U187">
        <v>0</v>
      </c>
      <c r="V187">
        <v>0</v>
      </c>
      <c r="W187">
        <v>0</v>
      </c>
      <c r="X187">
        <v>0</v>
      </c>
      <c r="Y187" s="3" t="s">
        <v>31</v>
      </c>
      <c r="Z187">
        <v>100.124</v>
      </c>
      <c r="AA187">
        <v>0</v>
      </c>
      <c r="AB187" s="3" t="s">
        <v>256</v>
      </c>
      <c r="AC187" s="3" t="s">
        <v>10</v>
      </c>
      <c r="AD187">
        <v>0</v>
      </c>
      <c r="AE187">
        <v>0</v>
      </c>
      <c r="AF187" s="3" t="s">
        <v>640</v>
      </c>
    </row>
    <row r="188" spans="1:32" x14ac:dyDescent="0.35">
      <c r="A188" s="3" t="s">
        <v>608</v>
      </c>
      <c r="B188" s="3" t="s">
        <v>608</v>
      </c>
      <c r="C188" s="3" t="s">
        <v>608</v>
      </c>
      <c r="D188" s="3" t="s">
        <v>608</v>
      </c>
      <c r="E188" s="3" t="s">
        <v>608</v>
      </c>
      <c r="F188" s="3" t="s">
        <v>372</v>
      </c>
      <c r="G188" s="3" t="s">
        <v>372</v>
      </c>
      <c r="H188" s="3" t="s">
        <v>373</v>
      </c>
      <c r="I188" s="3" t="s">
        <v>152</v>
      </c>
      <c r="J188" s="3" t="s">
        <v>4</v>
      </c>
      <c r="K188" s="3" t="s">
        <v>791</v>
      </c>
      <c r="L188" s="3" t="s">
        <v>30</v>
      </c>
      <c r="M188" s="3" t="s">
        <v>14</v>
      </c>
      <c r="N188">
        <v>-3200000</v>
      </c>
      <c r="O188">
        <v>101.77500000000001</v>
      </c>
      <c r="P188">
        <v>437</v>
      </c>
      <c r="Q188">
        <v>0</v>
      </c>
      <c r="R188">
        <v>0</v>
      </c>
      <c r="S188" s="3" t="s">
        <v>263</v>
      </c>
      <c r="T188">
        <v>-2144</v>
      </c>
      <c r="U188">
        <v>-2166</v>
      </c>
      <c r="V188">
        <v>-9466</v>
      </c>
      <c r="W188">
        <v>-30.54</v>
      </c>
      <c r="X188">
        <v>-3256800</v>
      </c>
      <c r="Y188" s="3" t="s">
        <v>31</v>
      </c>
      <c r="Z188">
        <v>101.643</v>
      </c>
      <c r="AA188">
        <v>0</v>
      </c>
      <c r="AB188" s="3" t="s">
        <v>256</v>
      </c>
      <c r="AC188" s="3" t="s">
        <v>10</v>
      </c>
      <c r="AD188">
        <v>-3311384</v>
      </c>
      <c r="AE188">
        <v>3311384</v>
      </c>
      <c r="AF188" s="3" t="s">
        <v>640</v>
      </c>
    </row>
    <row r="189" spans="1:32" x14ac:dyDescent="0.35">
      <c r="A189" s="3" t="s">
        <v>608</v>
      </c>
      <c r="B189" s="3" t="s">
        <v>608</v>
      </c>
      <c r="C189" s="3" t="s">
        <v>608</v>
      </c>
      <c r="D189" s="3" t="s">
        <v>608</v>
      </c>
      <c r="E189" s="3" t="s">
        <v>608</v>
      </c>
      <c r="F189" s="3" t="s">
        <v>916</v>
      </c>
      <c r="G189" s="3" t="s">
        <v>916</v>
      </c>
      <c r="H189" s="3" t="s">
        <v>917</v>
      </c>
      <c r="I189" s="3" t="s">
        <v>152</v>
      </c>
      <c r="J189" s="3" t="s">
        <v>4</v>
      </c>
      <c r="K189" s="3" t="s">
        <v>918</v>
      </c>
      <c r="L189" s="3" t="s">
        <v>30</v>
      </c>
      <c r="M189" s="3" t="s">
        <v>14</v>
      </c>
      <c r="N189">
        <v>6000000</v>
      </c>
      <c r="O189">
        <v>100.44799999999999</v>
      </c>
      <c r="P189">
        <v>413</v>
      </c>
      <c r="Q189">
        <v>0</v>
      </c>
      <c r="R189">
        <v>0</v>
      </c>
      <c r="S189" s="3" t="s">
        <v>263</v>
      </c>
      <c r="T189">
        <v>2875</v>
      </c>
      <c r="U189">
        <v>2903</v>
      </c>
      <c r="V189">
        <v>11997</v>
      </c>
      <c r="W189">
        <v>38.700000000000003</v>
      </c>
      <c r="X189">
        <v>6026880</v>
      </c>
      <c r="Y189" s="3" t="s">
        <v>31</v>
      </c>
      <c r="Z189">
        <v>100.44799999999999</v>
      </c>
      <c r="AA189">
        <v>6000000</v>
      </c>
      <c r="AB189" s="3" t="s">
        <v>256</v>
      </c>
      <c r="AC189" s="3" t="s">
        <v>10</v>
      </c>
      <c r="AD189">
        <v>6116880</v>
      </c>
      <c r="AE189">
        <v>6116880</v>
      </c>
      <c r="AF189" s="3" t="s">
        <v>640</v>
      </c>
    </row>
    <row r="190" spans="1:32" x14ac:dyDescent="0.35">
      <c r="A190" s="3" t="s">
        <v>608</v>
      </c>
      <c r="B190" s="3" t="s">
        <v>608</v>
      </c>
      <c r="C190" s="3" t="s">
        <v>608</v>
      </c>
      <c r="D190" s="3" t="s">
        <v>608</v>
      </c>
      <c r="E190" s="3" t="s">
        <v>608</v>
      </c>
      <c r="F190" s="3" t="s">
        <v>374</v>
      </c>
      <c r="G190" s="3" t="s">
        <v>374</v>
      </c>
      <c r="H190" s="3" t="s">
        <v>375</v>
      </c>
      <c r="I190" s="3" t="s">
        <v>152</v>
      </c>
      <c r="J190" s="3" t="s">
        <v>4</v>
      </c>
      <c r="K190" s="3" t="s">
        <v>792</v>
      </c>
      <c r="L190" s="3" t="s">
        <v>30</v>
      </c>
      <c r="M190" s="3" t="s">
        <v>14</v>
      </c>
      <c r="N190">
        <v>1550000</v>
      </c>
      <c r="O190">
        <v>103.664</v>
      </c>
      <c r="P190">
        <v>408</v>
      </c>
      <c r="Q190">
        <v>0</v>
      </c>
      <c r="R190">
        <v>191</v>
      </c>
      <c r="S190" s="3" t="s">
        <v>263</v>
      </c>
      <c r="T190">
        <v>634</v>
      </c>
      <c r="U190">
        <v>640</v>
      </c>
      <c r="V190">
        <v>2614</v>
      </c>
      <c r="W190">
        <v>8.43</v>
      </c>
      <c r="X190">
        <v>1606792</v>
      </c>
      <c r="Y190" s="3" t="s">
        <v>31</v>
      </c>
      <c r="Z190">
        <v>103.664</v>
      </c>
      <c r="AA190">
        <v>1550000</v>
      </c>
      <c r="AB190" s="3" t="s">
        <v>256</v>
      </c>
      <c r="AC190" s="3" t="s">
        <v>10</v>
      </c>
      <c r="AD190">
        <v>1649597</v>
      </c>
      <c r="AE190">
        <v>1649597</v>
      </c>
      <c r="AF190" s="3" t="s">
        <v>640</v>
      </c>
    </row>
    <row r="191" spans="1:32" x14ac:dyDescent="0.35">
      <c r="A191" s="3" t="s">
        <v>608</v>
      </c>
      <c r="B191" s="3" t="s">
        <v>608</v>
      </c>
      <c r="C191" s="3" t="s">
        <v>608</v>
      </c>
      <c r="D191" s="3" t="s">
        <v>608</v>
      </c>
      <c r="E191" s="3" t="s">
        <v>608</v>
      </c>
      <c r="F191" s="3" t="s">
        <v>376</v>
      </c>
      <c r="G191" s="3" t="s">
        <v>376</v>
      </c>
      <c r="H191" s="3" t="s">
        <v>377</v>
      </c>
      <c r="I191" s="3" t="s">
        <v>378</v>
      </c>
      <c r="J191" s="3" t="s">
        <v>4</v>
      </c>
      <c r="K191" s="3" t="s">
        <v>793</v>
      </c>
      <c r="L191" s="3" t="s">
        <v>30</v>
      </c>
      <c r="M191" s="3" t="s">
        <v>14</v>
      </c>
      <c r="N191">
        <v>3398000</v>
      </c>
      <c r="O191">
        <v>107.345</v>
      </c>
      <c r="P191">
        <v>227</v>
      </c>
      <c r="Q191">
        <v>0</v>
      </c>
      <c r="R191">
        <v>326</v>
      </c>
      <c r="S191" s="3" t="s">
        <v>263</v>
      </c>
      <c r="T191">
        <v>1512</v>
      </c>
      <c r="U191">
        <v>1526</v>
      </c>
      <c r="V191">
        <v>3471</v>
      </c>
      <c r="W191">
        <v>11.2</v>
      </c>
      <c r="X191">
        <v>3647583</v>
      </c>
      <c r="Y191" s="3" t="s">
        <v>31</v>
      </c>
      <c r="Z191">
        <v>107.345</v>
      </c>
      <c r="AA191">
        <v>3398000</v>
      </c>
      <c r="AB191" s="3" t="s">
        <v>256</v>
      </c>
      <c r="AC191" s="3" t="s">
        <v>10</v>
      </c>
      <c r="AD191">
        <v>3711773</v>
      </c>
      <c r="AE191">
        <v>3711773</v>
      </c>
      <c r="AF191" s="3" t="s">
        <v>640</v>
      </c>
    </row>
    <row r="192" spans="1:32" x14ac:dyDescent="0.35">
      <c r="A192" s="3" t="s">
        <v>608</v>
      </c>
      <c r="B192" s="3" t="s">
        <v>608</v>
      </c>
      <c r="C192" s="3" t="s">
        <v>608</v>
      </c>
      <c r="D192" s="3" t="s">
        <v>608</v>
      </c>
      <c r="E192" s="3" t="s">
        <v>608</v>
      </c>
      <c r="F192" s="3" t="s">
        <v>379</v>
      </c>
      <c r="G192" s="3" t="s">
        <v>379</v>
      </c>
      <c r="H192" s="3" t="s">
        <v>380</v>
      </c>
      <c r="I192" s="3" t="s">
        <v>381</v>
      </c>
      <c r="J192" s="3" t="s">
        <v>266</v>
      </c>
      <c r="K192" s="3" t="s">
        <v>794</v>
      </c>
      <c r="L192" s="3" t="s">
        <v>30</v>
      </c>
      <c r="M192" s="3" t="s">
        <v>14</v>
      </c>
      <c r="N192">
        <v>5520000</v>
      </c>
      <c r="O192">
        <v>98.861999999999995</v>
      </c>
      <c r="P192">
        <v>448</v>
      </c>
      <c r="Q192">
        <v>0</v>
      </c>
      <c r="R192">
        <v>626</v>
      </c>
      <c r="S192" s="3" t="s">
        <v>250</v>
      </c>
      <c r="T192">
        <v>2292</v>
      </c>
      <c r="U192">
        <v>2329</v>
      </c>
      <c r="V192">
        <v>10432</v>
      </c>
      <c r="W192">
        <v>33.65</v>
      </c>
      <c r="X192">
        <v>4692332</v>
      </c>
      <c r="Y192" s="3" t="s">
        <v>31</v>
      </c>
      <c r="Z192">
        <v>98.861999999999995</v>
      </c>
      <c r="AA192">
        <v>5520000</v>
      </c>
      <c r="AB192" s="3" t="s">
        <v>256</v>
      </c>
      <c r="AC192" s="3" t="s">
        <v>10</v>
      </c>
      <c r="AD192">
        <v>4721466</v>
      </c>
      <c r="AE192">
        <v>4721466</v>
      </c>
      <c r="AF192" s="3" t="s">
        <v>640</v>
      </c>
    </row>
    <row r="193" spans="1:32" x14ac:dyDescent="0.35">
      <c r="A193" s="3" t="s">
        <v>608</v>
      </c>
      <c r="B193" s="3" t="s">
        <v>608</v>
      </c>
      <c r="C193" s="3" t="s">
        <v>608</v>
      </c>
      <c r="D193" s="3" t="s">
        <v>608</v>
      </c>
      <c r="E193" s="3" t="s">
        <v>608</v>
      </c>
      <c r="F193" s="3" t="s">
        <v>382</v>
      </c>
      <c r="G193" s="3" t="s">
        <v>382</v>
      </c>
      <c r="H193" s="3" t="s">
        <v>383</v>
      </c>
      <c r="I193" s="3" t="s">
        <v>162</v>
      </c>
      <c r="J193" s="3" t="s">
        <v>4</v>
      </c>
      <c r="K193" s="3" t="s">
        <v>795</v>
      </c>
      <c r="L193" s="3" t="s">
        <v>30</v>
      </c>
      <c r="M193" s="3" t="s">
        <v>14</v>
      </c>
      <c r="N193">
        <v>-1500000</v>
      </c>
      <c r="O193">
        <v>106.55500000000001</v>
      </c>
      <c r="P193">
        <v>397</v>
      </c>
      <c r="Q193">
        <v>0</v>
      </c>
      <c r="R193">
        <v>-231</v>
      </c>
      <c r="S193" s="3" t="s">
        <v>263</v>
      </c>
      <c r="T193">
        <v>-472</v>
      </c>
      <c r="U193">
        <v>-476</v>
      </c>
      <c r="V193">
        <v>-1893</v>
      </c>
      <c r="W193">
        <v>-6.11</v>
      </c>
      <c r="X193">
        <v>-1598325</v>
      </c>
      <c r="Y193" s="3" t="s">
        <v>31</v>
      </c>
      <c r="Z193">
        <v>106.55500000000001</v>
      </c>
      <c r="AA193">
        <v>-1500000</v>
      </c>
      <c r="AB193" s="3" t="s">
        <v>256</v>
      </c>
      <c r="AC193" s="3" t="s">
        <v>10</v>
      </c>
      <c r="AD193">
        <v>-1662874</v>
      </c>
      <c r="AE193">
        <v>1662874</v>
      </c>
      <c r="AF193" s="3" t="s">
        <v>640</v>
      </c>
    </row>
    <row r="194" spans="1:32" x14ac:dyDescent="0.35">
      <c r="A194" s="3" t="s">
        <v>608</v>
      </c>
      <c r="B194" s="3" t="s">
        <v>608</v>
      </c>
      <c r="C194" s="3" t="s">
        <v>608</v>
      </c>
      <c r="D194" s="3" t="s">
        <v>608</v>
      </c>
      <c r="E194" s="3" t="s">
        <v>608</v>
      </c>
      <c r="F194" s="3" t="s">
        <v>384</v>
      </c>
      <c r="G194" s="3" t="s">
        <v>384</v>
      </c>
      <c r="H194" s="3" t="s">
        <v>385</v>
      </c>
      <c r="I194" s="3" t="s">
        <v>165</v>
      </c>
      <c r="J194" s="3" t="s">
        <v>4</v>
      </c>
      <c r="K194" s="3" t="s">
        <v>796</v>
      </c>
      <c r="L194" s="3" t="s">
        <v>30</v>
      </c>
      <c r="M194" s="3" t="s">
        <v>14</v>
      </c>
      <c r="N194">
        <v>-3300000</v>
      </c>
      <c r="O194">
        <v>102.39</v>
      </c>
      <c r="P194">
        <v>263</v>
      </c>
      <c r="Q194">
        <v>0</v>
      </c>
      <c r="R194">
        <v>-260</v>
      </c>
      <c r="S194" s="3" t="s">
        <v>263</v>
      </c>
      <c r="T194">
        <v>-1030</v>
      </c>
      <c r="U194">
        <v>-1039</v>
      </c>
      <c r="V194">
        <v>-2730</v>
      </c>
      <c r="W194">
        <v>-8.81</v>
      </c>
      <c r="X194">
        <v>-3378870</v>
      </c>
      <c r="Y194" s="3" t="s">
        <v>31</v>
      </c>
      <c r="Z194">
        <v>102.39</v>
      </c>
      <c r="AA194">
        <v>-3300000</v>
      </c>
      <c r="AB194" s="3" t="s">
        <v>256</v>
      </c>
      <c r="AC194" s="3" t="s">
        <v>10</v>
      </c>
      <c r="AD194">
        <v>-3430596</v>
      </c>
      <c r="AE194">
        <v>3430596</v>
      </c>
      <c r="AF194" s="3" t="s">
        <v>640</v>
      </c>
    </row>
    <row r="195" spans="1:32" x14ac:dyDescent="0.35">
      <c r="A195" s="3" t="s">
        <v>608</v>
      </c>
      <c r="B195" s="3" t="s">
        <v>608</v>
      </c>
      <c r="C195" s="3" t="s">
        <v>608</v>
      </c>
      <c r="D195" s="3" t="s">
        <v>608</v>
      </c>
      <c r="E195" s="3" t="s">
        <v>608</v>
      </c>
      <c r="F195" s="3" t="s">
        <v>996</v>
      </c>
      <c r="G195" s="3" t="s">
        <v>996</v>
      </c>
      <c r="H195" s="3" t="s">
        <v>997</v>
      </c>
      <c r="I195" s="3" t="s">
        <v>388</v>
      </c>
      <c r="J195" s="3" t="s">
        <v>4</v>
      </c>
      <c r="K195" s="3" t="s">
        <v>998</v>
      </c>
      <c r="L195" s="3" t="s">
        <v>30</v>
      </c>
      <c r="M195" s="3" t="s">
        <v>14</v>
      </c>
      <c r="N195">
        <v>-3500000</v>
      </c>
      <c r="O195">
        <v>103.48</v>
      </c>
      <c r="P195">
        <v>297</v>
      </c>
      <c r="Q195">
        <v>0</v>
      </c>
      <c r="R195">
        <v>0</v>
      </c>
      <c r="S195" s="3" t="s">
        <v>250</v>
      </c>
      <c r="T195">
        <v>-2099</v>
      </c>
      <c r="U195">
        <v>-2120</v>
      </c>
      <c r="V195">
        <v>-6297</v>
      </c>
      <c r="W195">
        <v>-20.309999999999999</v>
      </c>
      <c r="X195">
        <v>-3621800</v>
      </c>
      <c r="Y195" s="3" t="s">
        <v>31</v>
      </c>
      <c r="Z195">
        <v>103.401</v>
      </c>
      <c r="AA195">
        <v>0</v>
      </c>
      <c r="AB195" s="3" t="s">
        <v>256</v>
      </c>
      <c r="AC195" s="3" t="s">
        <v>10</v>
      </c>
      <c r="AD195">
        <v>-3655961</v>
      </c>
      <c r="AE195">
        <v>3655961</v>
      </c>
      <c r="AF195" s="3" t="s">
        <v>640</v>
      </c>
    </row>
    <row r="196" spans="1:32" x14ac:dyDescent="0.35">
      <c r="A196" s="3" t="s">
        <v>608</v>
      </c>
      <c r="B196" s="3" t="s">
        <v>608</v>
      </c>
      <c r="C196" s="3" t="s">
        <v>608</v>
      </c>
      <c r="D196" s="3" t="s">
        <v>608</v>
      </c>
      <c r="E196" s="3" t="s">
        <v>608</v>
      </c>
      <c r="F196" s="3" t="s">
        <v>386</v>
      </c>
      <c r="G196" s="3" t="s">
        <v>386</v>
      </c>
      <c r="H196" s="3" t="s">
        <v>387</v>
      </c>
      <c r="I196" s="3" t="s">
        <v>388</v>
      </c>
      <c r="J196" s="3" t="s">
        <v>266</v>
      </c>
      <c r="K196" s="3" t="s">
        <v>797</v>
      </c>
      <c r="L196" s="3" t="s">
        <v>30</v>
      </c>
      <c r="M196" s="3" t="s">
        <v>14</v>
      </c>
      <c r="N196">
        <v>615000</v>
      </c>
      <c r="O196">
        <v>103.505</v>
      </c>
      <c r="P196">
        <v>229</v>
      </c>
      <c r="Q196">
        <v>7</v>
      </c>
      <c r="R196">
        <v>-11</v>
      </c>
      <c r="S196" s="3" t="s">
        <v>263</v>
      </c>
      <c r="T196">
        <v>85</v>
      </c>
      <c r="U196">
        <v>86</v>
      </c>
      <c r="V196">
        <v>197</v>
      </c>
      <c r="W196">
        <v>0.64</v>
      </c>
      <c r="X196">
        <v>547339</v>
      </c>
      <c r="Y196" s="3" t="s">
        <v>31</v>
      </c>
      <c r="Z196">
        <v>103.54300000000001</v>
      </c>
      <c r="AA196">
        <v>-100000</v>
      </c>
      <c r="AB196" s="3" t="s">
        <v>256</v>
      </c>
      <c r="AC196" s="3" t="s">
        <v>10</v>
      </c>
      <c r="AD196">
        <v>551329</v>
      </c>
      <c r="AE196">
        <v>551329</v>
      </c>
      <c r="AF196" s="3" t="s">
        <v>640</v>
      </c>
    </row>
    <row r="197" spans="1:32" x14ac:dyDescent="0.35">
      <c r="A197" s="3" t="s">
        <v>608</v>
      </c>
      <c r="B197" s="3" t="s">
        <v>608</v>
      </c>
      <c r="C197" s="3" t="s">
        <v>608</v>
      </c>
      <c r="D197" s="3" t="s">
        <v>608</v>
      </c>
      <c r="E197" s="3" t="s">
        <v>608</v>
      </c>
      <c r="F197" s="3" t="s">
        <v>389</v>
      </c>
      <c r="G197" s="3" t="s">
        <v>389</v>
      </c>
      <c r="H197" s="3" t="s">
        <v>390</v>
      </c>
      <c r="I197" s="3" t="s">
        <v>388</v>
      </c>
      <c r="J197" s="3" t="s">
        <v>283</v>
      </c>
      <c r="K197" s="3" t="s">
        <v>797</v>
      </c>
      <c r="L197" s="3" t="s">
        <v>30</v>
      </c>
      <c r="M197" s="3" t="s">
        <v>14</v>
      </c>
      <c r="N197">
        <v>1650000</v>
      </c>
      <c r="O197">
        <v>102.584</v>
      </c>
      <c r="P197">
        <v>196</v>
      </c>
      <c r="Q197">
        <v>0</v>
      </c>
      <c r="R197">
        <v>182</v>
      </c>
      <c r="S197" s="3" t="s">
        <v>263</v>
      </c>
      <c r="T197">
        <v>293</v>
      </c>
      <c r="U197">
        <v>297</v>
      </c>
      <c r="V197">
        <v>583</v>
      </c>
      <c r="W197">
        <v>1.88</v>
      </c>
      <c r="X197">
        <v>1877411</v>
      </c>
      <c r="Y197" s="3" t="s">
        <v>31</v>
      </c>
      <c r="Z197">
        <v>102.584</v>
      </c>
      <c r="AA197">
        <v>1650000</v>
      </c>
      <c r="AB197" s="3" t="s">
        <v>256</v>
      </c>
      <c r="AC197" s="3" t="s">
        <v>10</v>
      </c>
      <c r="AD197">
        <v>1885440</v>
      </c>
      <c r="AE197">
        <v>1885440</v>
      </c>
      <c r="AF197" s="3" t="s">
        <v>640</v>
      </c>
    </row>
    <row r="198" spans="1:32" x14ac:dyDescent="0.35">
      <c r="A198" s="3" t="s">
        <v>608</v>
      </c>
      <c r="B198" s="3" t="s">
        <v>608</v>
      </c>
      <c r="C198" s="3" t="s">
        <v>608</v>
      </c>
      <c r="D198" s="3" t="s">
        <v>608</v>
      </c>
      <c r="E198" s="3" t="s">
        <v>608</v>
      </c>
      <c r="F198" s="3" t="s">
        <v>391</v>
      </c>
      <c r="G198" s="3" t="s">
        <v>391</v>
      </c>
      <c r="H198" s="3" t="s">
        <v>392</v>
      </c>
      <c r="I198" s="3" t="s">
        <v>388</v>
      </c>
      <c r="J198" s="3" t="s">
        <v>4</v>
      </c>
      <c r="K198" s="3" t="s">
        <v>798</v>
      </c>
      <c r="L198" s="3" t="s">
        <v>30</v>
      </c>
      <c r="M198" s="3" t="s">
        <v>14</v>
      </c>
      <c r="N198">
        <v>-1050000</v>
      </c>
      <c r="O198">
        <v>100.496</v>
      </c>
      <c r="P198">
        <v>165</v>
      </c>
      <c r="Q198">
        <v>0</v>
      </c>
      <c r="R198">
        <v>-68</v>
      </c>
      <c r="S198" s="3" t="s">
        <v>263</v>
      </c>
      <c r="T198">
        <v>-43</v>
      </c>
      <c r="U198">
        <v>-43</v>
      </c>
      <c r="V198">
        <v>-71</v>
      </c>
      <c r="W198">
        <v>-0.23</v>
      </c>
      <c r="X198">
        <v>-1055208</v>
      </c>
      <c r="Y198" s="3" t="s">
        <v>31</v>
      </c>
      <c r="Z198">
        <v>100.496</v>
      </c>
      <c r="AA198">
        <v>-1050000</v>
      </c>
      <c r="AB198" s="3" t="s">
        <v>256</v>
      </c>
      <c r="AC198" s="3" t="s">
        <v>10</v>
      </c>
      <c r="AD198">
        <v>-1070034</v>
      </c>
      <c r="AE198">
        <v>1070034</v>
      </c>
      <c r="AF198" s="3" t="s">
        <v>640</v>
      </c>
    </row>
    <row r="199" spans="1:32" x14ac:dyDescent="0.35">
      <c r="A199" s="3" t="s">
        <v>608</v>
      </c>
      <c r="B199" s="3" t="s">
        <v>608</v>
      </c>
      <c r="C199" s="3" t="s">
        <v>608</v>
      </c>
      <c r="D199" s="3" t="s">
        <v>608</v>
      </c>
      <c r="E199" s="3" t="s">
        <v>608</v>
      </c>
      <c r="F199" s="3" t="s">
        <v>393</v>
      </c>
      <c r="G199" s="3" t="s">
        <v>393</v>
      </c>
      <c r="H199" s="3" t="s">
        <v>394</v>
      </c>
      <c r="I199" s="3" t="s">
        <v>395</v>
      </c>
      <c r="J199" s="3" t="s">
        <v>4</v>
      </c>
      <c r="K199" s="3" t="s">
        <v>799</v>
      </c>
      <c r="L199" s="3" t="s">
        <v>30</v>
      </c>
      <c r="M199" s="3" t="s">
        <v>14</v>
      </c>
      <c r="N199">
        <v>0</v>
      </c>
      <c r="O199">
        <v>95.08</v>
      </c>
      <c r="P199">
        <v>415</v>
      </c>
      <c r="Q199">
        <v>-58</v>
      </c>
      <c r="R199">
        <v>-126</v>
      </c>
      <c r="S199" s="3" t="s">
        <v>263</v>
      </c>
      <c r="T199">
        <v>0</v>
      </c>
      <c r="U199">
        <v>0</v>
      </c>
      <c r="V199">
        <v>0</v>
      </c>
      <c r="W199">
        <v>0</v>
      </c>
      <c r="X199">
        <v>0</v>
      </c>
      <c r="Y199" s="3" t="s">
        <v>31</v>
      </c>
      <c r="Z199">
        <v>95.051000000000002</v>
      </c>
      <c r="AA199">
        <v>-200000</v>
      </c>
      <c r="AB199" s="3" t="s">
        <v>256</v>
      </c>
      <c r="AC199" s="3" t="s">
        <v>10</v>
      </c>
      <c r="AD199">
        <v>16</v>
      </c>
      <c r="AE199">
        <v>16</v>
      </c>
      <c r="AF199" s="3" t="s">
        <v>640</v>
      </c>
    </row>
    <row r="200" spans="1:32" x14ac:dyDescent="0.35">
      <c r="A200" s="3" t="s">
        <v>608</v>
      </c>
      <c r="B200" s="3" t="s">
        <v>608</v>
      </c>
      <c r="C200" s="3" t="s">
        <v>608</v>
      </c>
      <c r="D200" s="3" t="s">
        <v>608</v>
      </c>
      <c r="E200" s="3" t="s">
        <v>608</v>
      </c>
      <c r="F200" s="3" t="s">
        <v>396</v>
      </c>
      <c r="G200" s="3" t="s">
        <v>396</v>
      </c>
      <c r="H200" s="3" t="s">
        <v>397</v>
      </c>
      <c r="I200" s="3" t="s">
        <v>395</v>
      </c>
      <c r="J200" s="3" t="s">
        <v>4</v>
      </c>
      <c r="K200" s="3" t="s">
        <v>800</v>
      </c>
      <c r="L200" s="3" t="s">
        <v>30</v>
      </c>
      <c r="M200" s="3" t="s">
        <v>14</v>
      </c>
      <c r="N200">
        <v>-3900000</v>
      </c>
      <c r="O200">
        <v>95.227000000000004</v>
      </c>
      <c r="P200">
        <v>380</v>
      </c>
      <c r="Q200">
        <v>0</v>
      </c>
      <c r="R200">
        <v>-267</v>
      </c>
      <c r="S200" s="3" t="s">
        <v>263</v>
      </c>
      <c r="T200">
        <v>-2105</v>
      </c>
      <c r="U200">
        <v>-2126</v>
      </c>
      <c r="V200">
        <v>-8087</v>
      </c>
      <c r="W200">
        <v>-26.09</v>
      </c>
      <c r="X200">
        <v>-3713853</v>
      </c>
      <c r="Y200" s="3" t="s">
        <v>31</v>
      </c>
      <c r="Z200">
        <v>95.227000000000004</v>
      </c>
      <c r="AA200">
        <v>-3900000</v>
      </c>
      <c r="AB200" s="3" t="s">
        <v>256</v>
      </c>
      <c r="AC200" s="3" t="s">
        <v>10</v>
      </c>
      <c r="AD200">
        <v>-3786770</v>
      </c>
      <c r="AE200">
        <v>3786770</v>
      </c>
      <c r="AF200" s="3" t="s">
        <v>640</v>
      </c>
    </row>
    <row r="201" spans="1:32" x14ac:dyDescent="0.35">
      <c r="A201" s="3" t="s">
        <v>608</v>
      </c>
      <c r="B201" s="3" t="s">
        <v>608</v>
      </c>
      <c r="C201" s="3" t="s">
        <v>608</v>
      </c>
      <c r="D201" s="3" t="s">
        <v>608</v>
      </c>
      <c r="E201" s="3" t="s">
        <v>608</v>
      </c>
      <c r="F201" s="3" t="s">
        <v>398</v>
      </c>
      <c r="G201" s="3" t="s">
        <v>398</v>
      </c>
      <c r="H201" s="3" t="s">
        <v>399</v>
      </c>
      <c r="I201" s="3" t="s">
        <v>395</v>
      </c>
      <c r="J201" s="3" t="s">
        <v>4</v>
      </c>
      <c r="K201" s="3" t="s">
        <v>801</v>
      </c>
      <c r="L201" s="3" t="s">
        <v>30</v>
      </c>
      <c r="M201" s="3" t="s">
        <v>14</v>
      </c>
      <c r="N201">
        <v>0</v>
      </c>
      <c r="O201">
        <v>104.15</v>
      </c>
      <c r="P201">
        <v>379</v>
      </c>
      <c r="Q201">
        <v>1540</v>
      </c>
      <c r="R201">
        <v>60</v>
      </c>
      <c r="S201" s="3" t="s">
        <v>263</v>
      </c>
      <c r="T201">
        <v>0</v>
      </c>
      <c r="U201">
        <v>0</v>
      </c>
      <c r="V201">
        <v>0</v>
      </c>
      <c r="W201">
        <v>0</v>
      </c>
      <c r="X201">
        <v>0</v>
      </c>
      <c r="Y201" s="3" t="s">
        <v>31</v>
      </c>
      <c r="Z201">
        <v>103.842</v>
      </c>
      <c r="AA201">
        <v>500000</v>
      </c>
      <c r="AB201" s="3" t="s">
        <v>256</v>
      </c>
      <c r="AC201" s="3" t="s">
        <v>10</v>
      </c>
      <c r="AD201">
        <v>-60</v>
      </c>
      <c r="AE201">
        <v>60</v>
      </c>
      <c r="AF201" s="3" t="s">
        <v>640</v>
      </c>
    </row>
    <row r="202" spans="1:32" x14ac:dyDescent="0.35">
      <c r="A202" s="3" t="s">
        <v>608</v>
      </c>
      <c r="B202" s="3" t="s">
        <v>608</v>
      </c>
      <c r="C202" s="3" t="s">
        <v>608</v>
      </c>
      <c r="D202" s="3" t="s">
        <v>608</v>
      </c>
      <c r="E202" s="3" t="s">
        <v>608</v>
      </c>
      <c r="F202" s="3" t="s">
        <v>400</v>
      </c>
      <c r="G202" s="3" t="s">
        <v>400</v>
      </c>
      <c r="H202" s="3" t="s">
        <v>401</v>
      </c>
      <c r="I202" s="3" t="s">
        <v>395</v>
      </c>
      <c r="J202" s="3" t="s">
        <v>4</v>
      </c>
      <c r="K202" s="3" t="s">
        <v>802</v>
      </c>
      <c r="L202" s="3" t="s">
        <v>30</v>
      </c>
      <c r="M202" s="3" t="s">
        <v>14</v>
      </c>
      <c r="N202">
        <v>1000000</v>
      </c>
      <c r="O202">
        <v>108.697</v>
      </c>
      <c r="P202">
        <v>366</v>
      </c>
      <c r="Q202">
        <v>0</v>
      </c>
      <c r="R202">
        <v>161</v>
      </c>
      <c r="S202" s="3" t="s">
        <v>263</v>
      </c>
      <c r="T202">
        <v>337</v>
      </c>
      <c r="U202">
        <v>340</v>
      </c>
      <c r="V202">
        <v>1245</v>
      </c>
      <c r="W202">
        <v>4.0199999999999996</v>
      </c>
      <c r="X202">
        <v>1086970</v>
      </c>
      <c r="Y202" s="3" t="s">
        <v>31</v>
      </c>
      <c r="Z202">
        <v>108.697</v>
      </c>
      <c r="AA202">
        <v>1000000</v>
      </c>
      <c r="AB202" s="3" t="s">
        <v>256</v>
      </c>
      <c r="AC202" s="3" t="s">
        <v>10</v>
      </c>
      <c r="AD202">
        <v>1122059</v>
      </c>
      <c r="AE202">
        <v>1122059</v>
      </c>
      <c r="AF202" s="3" t="s">
        <v>640</v>
      </c>
    </row>
    <row r="203" spans="1:32" x14ac:dyDescent="0.35">
      <c r="A203" s="3" t="s">
        <v>608</v>
      </c>
      <c r="B203" s="3" t="s">
        <v>608</v>
      </c>
      <c r="C203" s="3" t="s">
        <v>608</v>
      </c>
      <c r="D203" s="3" t="s">
        <v>608</v>
      </c>
      <c r="E203" s="3" t="s">
        <v>608</v>
      </c>
      <c r="F203" s="3" t="s">
        <v>402</v>
      </c>
      <c r="G203" s="3" t="s">
        <v>402</v>
      </c>
      <c r="H203" s="3" t="s">
        <v>403</v>
      </c>
      <c r="I203" s="3" t="s">
        <v>395</v>
      </c>
      <c r="J203" s="3" t="s">
        <v>4</v>
      </c>
      <c r="K203" s="3" t="s">
        <v>803</v>
      </c>
      <c r="L203" s="3" t="s">
        <v>30</v>
      </c>
      <c r="M203" s="3" t="s">
        <v>14</v>
      </c>
      <c r="N203">
        <v>-3100000</v>
      </c>
      <c r="O203">
        <v>98.977000000000004</v>
      </c>
      <c r="P203">
        <v>393</v>
      </c>
      <c r="Q203">
        <v>0</v>
      </c>
      <c r="R203">
        <v>-254</v>
      </c>
      <c r="S203" s="3" t="s">
        <v>263</v>
      </c>
      <c r="T203">
        <v>-817</v>
      </c>
      <c r="U203">
        <v>-824</v>
      </c>
      <c r="V203">
        <v>-3235</v>
      </c>
      <c r="W203">
        <v>-10.44</v>
      </c>
      <c r="X203">
        <v>-3068287</v>
      </c>
      <c r="Y203" s="3" t="s">
        <v>31</v>
      </c>
      <c r="Z203">
        <v>98.977000000000004</v>
      </c>
      <c r="AA203">
        <v>-3100000</v>
      </c>
      <c r="AB203" s="3" t="s">
        <v>256</v>
      </c>
      <c r="AC203" s="3" t="s">
        <v>10</v>
      </c>
      <c r="AD203">
        <v>-3153664</v>
      </c>
      <c r="AE203">
        <v>3153664</v>
      </c>
      <c r="AF203" s="3" t="s">
        <v>640</v>
      </c>
    </row>
    <row r="204" spans="1:32" x14ac:dyDescent="0.35">
      <c r="A204" s="3" t="s">
        <v>608</v>
      </c>
      <c r="B204" s="3" t="s">
        <v>608</v>
      </c>
      <c r="C204" s="3" t="s">
        <v>608</v>
      </c>
      <c r="D204" s="3" t="s">
        <v>608</v>
      </c>
      <c r="E204" s="3" t="s">
        <v>608</v>
      </c>
      <c r="F204" s="3" t="s">
        <v>404</v>
      </c>
      <c r="G204" s="3" t="s">
        <v>404</v>
      </c>
      <c r="H204" s="3" t="s">
        <v>405</v>
      </c>
      <c r="I204" s="3" t="s">
        <v>395</v>
      </c>
      <c r="J204" s="3" t="s">
        <v>4</v>
      </c>
      <c r="K204" s="3" t="s">
        <v>804</v>
      </c>
      <c r="L204" s="3" t="s">
        <v>30</v>
      </c>
      <c r="M204" s="3" t="s">
        <v>14</v>
      </c>
      <c r="N204">
        <v>0</v>
      </c>
      <c r="O204">
        <v>98.275000000000006</v>
      </c>
      <c r="P204">
        <v>392</v>
      </c>
      <c r="Q204">
        <v>0</v>
      </c>
      <c r="R204">
        <v>0</v>
      </c>
      <c r="S204" s="3" t="s">
        <v>263</v>
      </c>
      <c r="T204">
        <v>0</v>
      </c>
      <c r="U204">
        <v>0</v>
      </c>
      <c r="V204">
        <v>0</v>
      </c>
      <c r="W204">
        <v>0</v>
      </c>
      <c r="X204">
        <v>0</v>
      </c>
      <c r="Y204" s="3" t="s">
        <v>31</v>
      </c>
      <c r="Z204">
        <v>98.275000000000006</v>
      </c>
      <c r="AA204">
        <v>0</v>
      </c>
      <c r="AB204" s="3" t="s">
        <v>256</v>
      </c>
      <c r="AC204" s="3" t="s">
        <v>10</v>
      </c>
      <c r="AD204">
        <v>0</v>
      </c>
      <c r="AE204">
        <v>0</v>
      </c>
      <c r="AF204" s="3" t="s">
        <v>640</v>
      </c>
    </row>
    <row r="205" spans="1:32" x14ac:dyDescent="0.35">
      <c r="A205" s="3" t="s">
        <v>608</v>
      </c>
      <c r="B205" s="3" t="s">
        <v>608</v>
      </c>
      <c r="C205" s="3" t="s">
        <v>608</v>
      </c>
      <c r="D205" s="3" t="s">
        <v>608</v>
      </c>
      <c r="E205" s="3" t="s">
        <v>608</v>
      </c>
      <c r="F205" s="3" t="s">
        <v>406</v>
      </c>
      <c r="G205" s="3" t="s">
        <v>406</v>
      </c>
      <c r="H205" s="3" t="s">
        <v>407</v>
      </c>
      <c r="I205" s="3" t="s">
        <v>395</v>
      </c>
      <c r="J205" s="3" t="s">
        <v>4</v>
      </c>
      <c r="K205" s="3" t="s">
        <v>805</v>
      </c>
      <c r="L205" s="3" t="s">
        <v>30</v>
      </c>
      <c r="M205" s="3" t="s">
        <v>14</v>
      </c>
      <c r="N205">
        <v>4000000</v>
      </c>
      <c r="O205">
        <v>101.622</v>
      </c>
      <c r="P205">
        <v>303</v>
      </c>
      <c r="Q205">
        <v>0</v>
      </c>
      <c r="R205">
        <v>411</v>
      </c>
      <c r="S205" s="3" t="s">
        <v>263</v>
      </c>
      <c r="T205">
        <v>536</v>
      </c>
      <c r="U205">
        <v>541</v>
      </c>
      <c r="V205">
        <v>1639</v>
      </c>
      <c r="W205">
        <v>5.29</v>
      </c>
      <c r="X205">
        <v>4064880</v>
      </c>
      <c r="Y205" s="3" t="s">
        <v>31</v>
      </c>
      <c r="Z205">
        <v>101.622</v>
      </c>
      <c r="AA205">
        <v>4000000</v>
      </c>
      <c r="AB205" s="3" t="s">
        <v>256</v>
      </c>
      <c r="AC205" s="3" t="s">
        <v>10</v>
      </c>
      <c r="AD205">
        <v>4161044</v>
      </c>
      <c r="AE205">
        <v>4161044</v>
      </c>
      <c r="AF205" s="3" t="s">
        <v>640</v>
      </c>
    </row>
    <row r="206" spans="1:32" x14ac:dyDescent="0.35">
      <c r="A206" s="3" t="s">
        <v>608</v>
      </c>
      <c r="B206" s="3" t="s">
        <v>608</v>
      </c>
      <c r="C206" s="3" t="s">
        <v>608</v>
      </c>
      <c r="D206" s="3" t="s">
        <v>608</v>
      </c>
      <c r="E206" s="3" t="s">
        <v>608</v>
      </c>
      <c r="F206" s="3" t="s">
        <v>408</v>
      </c>
      <c r="G206" s="3" t="s">
        <v>408</v>
      </c>
      <c r="H206" s="3" t="s">
        <v>409</v>
      </c>
      <c r="I206" s="3" t="s">
        <v>410</v>
      </c>
      <c r="J206" s="3" t="s">
        <v>4</v>
      </c>
      <c r="K206" s="3" t="s">
        <v>806</v>
      </c>
      <c r="L206" s="3" t="s">
        <v>30</v>
      </c>
      <c r="M206" s="3" t="s">
        <v>14</v>
      </c>
      <c r="N206">
        <v>-1565000</v>
      </c>
      <c r="O206">
        <v>98.414000000000001</v>
      </c>
      <c r="P206">
        <v>217</v>
      </c>
      <c r="Q206">
        <v>0</v>
      </c>
      <c r="R206">
        <v>-59</v>
      </c>
      <c r="S206" s="3" t="s">
        <v>250</v>
      </c>
      <c r="T206">
        <v>-775</v>
      </c>
      <c r="U206">
        <v>-783</v>
      </c>
      <c r="V206">
        <v>-1698</v>
      </c>
      <c r="W206">
        <v>-5.48</v>
      </c>
      <c r="X206">
        <v>-1540179</v>
      </c>
      <c r="Y206" s="3" t="s">
        <v>31</v>
      </c>
      <c r="Z206">
        <v>98.414000000000001</v>
      </c>
      <c r="AA206">
        <v>-1565000</v>
      </c>
      <c r="AB206" s="3" t="s">
        <v>256</v>
      </c>
      <c r="AC206" s="3" t="s">
        <v>10</v>
      </c>
      <c r="AD206">
        <v>-1550614</v>
      </c>
      <c r="AE206">
        <v>1550614</v>
      </c>
      <c r="AF206" s="3" t="s">
        <v>640</v>
      </c>
    </row>
    <row r="207" spans="1:32" x14ac:dyDescent="0.35">
      <c r="A207" s="3" t="s">
        <v>608</v>
      </c>
      <c r="B207" s="3" t="s">
        <v>608</v>
      </c>
      <c r="C207" s="3" t="s">
        <v>608</v>
      </c>
      <c r="D207" s="3" t="s">
        <v>608</v>
      </c>
      <c r="E207" s="3" t="s">
        <v>608</v>
      </c>
      <c r="F207" s="3" t="s">
        <v>932</v>
      </c>
      <c r="G207" s="3" t="s">
        <v>932</v>
      </c>
      <c r="H207" s="3" t="s">
        <v>933</v>
      </c>
      <c r="I207" s="3" t="s">
        <v>410</v>
      </c>
      <c r="J207" s="3" t="s">
        <v>4</v>
      </c>
      <c r="K207" s="3" t="s">
        <v>934</v>
      </c>
      <c r="L207" s="3" t="s">
        <v>30</v>
      </c>
      <c r="M207" s="3" t="s">
        <v>14</v>
      </c>
      <c r="N207">
        <v>-5240000</v>
      </c>
      <c r="O207">
        <v>104.042</v>
      </c>
      <c r="P207">
        <v>182</v>
      </c>
      <c r="Q207">
        <v>0</v>
      </c>
      <c r="R207">
        <v>0</v>
      </c>
      <c r="S207" s="3" t="s">
        <v>250</v>
      </c>
      <c r="T207">
        <v>-1274</v>
      </c>
      <c r="U207">
        <v>-1285</v>
      </c>
      <c r="V207">
        <v>-2344</v>
      </c>
      <c r="W207">
        <v>-7.56</v>
      </c>
      <c r="X207">
        <v>-5451801</v>
      </c>
      <c r="Y207" s="3" t="s">
        <v>31</v>
      </c>
      <c r="Z207">
        <v>104.042</v>
      </c>
      <c r="AA207">
        <v>-5240000</v>
      </c>
      <c r="AB207" s="3" t="s">
        <v>256</v>
      </c>
      <c r="AC207" s="3" t="s">
        <v>10</v>
      </c>
      <c r="AD207">
        <v>-5543967</v>
      </c>
      <c r="AE207">
        <v>5543967</v>
      </c>
      <c r="AF207" s="3" t="s">
        <v>640</v>
      </c>
    </row>
    <row r="208" spans="1:32" x14ac:dyDescent="0.35">
      <c r="A208" s="3" t="s">
        <v>608</v>
      </c>
      <c r="B208" s="3" t="s">
        <v>608</v>
      </c>
      <c r="C208" s="3" t="s">
        <v>608</v>
      </c>
      <c r="D208" s="3" t="s">
        <v>608</v>
      </c>
      <c r="E208" s="3" t="s">
        <v>608</v>
      </c>
      <c r="F208" s="3" t="s">
        <v>411</v>
      </c>
      <c r="G208" s="3" t="s">
        <v>411</v>
      </c>
      <c r="H208" s="3" t="s">
        <v>412</v>
      </c>
      <c r="I208" s="3" t="s">
        <v>183</v>
      </c>
      <c r="J208" s="3" t="s">
        <v>4</v>
      </c>
      <c r="K208" s="3" t="s">
        <v>807</v>
      </c>
      <c r="L208" s="3" t="s">
        <v>30</v>
      </c>
      <c r="M208" s="3" t="s">
        <v>14</v>
      </c>
      <c r="N208">
        <v>2230000</v>
      </c>
      <c r="O208">
        <v>100.705</v>
      </c>
      <c r="P208">
        <v>271</v>
      </c>
      <c r="Q208">
        <v>0</v>
      </c>
      <c r="R208">
        <v>145</v>
      </c>
      <c r="S208" s="3" t="s">
        <v>263</v>
      </c>
      <c r="T208">
        <v>991</v>
      </c>
      <c r="U208">
        <v>1001</v>
      </c>
      <c r="V208">
        <v>2713</v>
      </c>
      <c r="W208">
        <v>8.75</v>
      </c>
      <c r="X208">
        <v>2245722</v>
      </c>
      <c r="Y208" s="3" t="s">
        <v>31</v>
      </c>
      <c r="Z208">
        <v>100.705</v>
      </c>
      <c r="AA208">
        <v>2230000</v>
      </c>
      <c r="AB208" s="3" t="s">
        <v>256</v>
      </c>
      <c r="AC208" s="3" t="s">
        <v>10</v>
      </c>
      <c r="AD208">
        <v>2247607</v>
      </c>
      <c r="AE208">
        <v>2247607</v>
      </c>
      <c r="AF208" s="3" t="s">
        <v>640</v>
      </c>
    </row>
    <row r="209" spans="1:32" x14ac:dyDescent="0.35">
      <c r="A209" s="3" t="s">
        <v>608</v>
      </c>
      <c r="B209" s="3" t="s">
        <v>608</v>
      </c>
      <c r="C209" s="3" t="s">
        <v>608</v>
      </c>
      <c r="D209" s="3" t="s">
        <v>608</v>
      </c>
      <c r="E209" s="3" t="s">
        <v>608</v>
      </c>
      <c r="F209" s="3" t="s">
        <v>413</v>
      </c>
      <c r="G209" s="3" t="s">
        <v>413</v>
      </c>
      <c r="H209" s="3" t="s">
        <v>414</v>
      </c>
      <c r="I209" s="3" t="s">
        <v>186</v>
      </c>
      <c r="J209" s="3" t="s">
        <v>4</v>
      </c>
      <c r="K209" s="3" t="s">
        <v>808</v>
      </c>
      <c r="L209" s="3" t="s">
        <v>30</v>
      </c>
      <c r="M209" s="3" t="s">
        <v>14</v>
      </c>
      <c r="N209">
        <v>0</v>
      </c>
      <c r="O209">
        <v>108.044</v>
      </c>
      <c r="P209">
        <v>238</v>
      </c>
      <c r="Q209">
        <v>0</v>
      </c>
      <c r="R209">
        <v>483</v>
      </c>
      <c r="S209" s="3" t="s">
        <v>263</v>
      </c>
      <c r="T209">
        <v>0</v>
      </c>
      <c r="U209">
        <v>0</v>
      </c>
      <c r="V209">
        <v>0</v>
      </c>
      <c r="W209">
        <v>0</v>
      </c>
      <c r="X209">
        <v>0</v>
      </c>
      <c r="Y209" s="3" t="s">
        <v>31</v>
      </c>
      <c r="Z209">
        <v>108.044</v>
      </c>
      <c r="AA209">
        <v>0</v>
      </c>
      <c r="AB209" s="3" t="s">
        <v>256</v>
      </c>
      <c r="AC209" s="3" t="s">
        <v>10</v>
      </c>
      <c r="AD209">
        <v>0</v>
      </c>
      <c r="AE209">
        <v>0</v>
      </c>
      <c r="AF209" s="3" t="s">
        <v>640</v>
      </c>
    </row>
    <row r="210" spans="1:32" x14ac:dyDescent="0.35">
      <c r="A210" s="3" t="s">
        <v>608</v>
      </c>
      <c r="B210" s="3" t="s">
        <v>608</v>
      </c>
      <c r="C210" s="3" t="s">
        <v>608</v>
      </c>
      <c r="D210" s="3" t="s">
        <v>608</v>
      </c>
      <c r="E210" s="3" t="s">
        <v>608</v>
      </c>
      <c r="F210" s="3" t="s">
        <v>415</v>
      </c>
      <c r="G210" s="3" t="s">
        <v>415</v>
      </c>
      <c r="H210" s="3" t="s">
        <v>416</v>
      </c>
      <c r="I210" s="3" t="s">
        <v>186</v>
      </c>
      <c r="J210" s="3" t="s">
        <v>4</v>
      </c>
      <c r="K210" s="3" t="s">
        <v>809</v>
      </c>
      <c r="L210" s="3" t="s">
        <v>30</v>
      </c>
      <c r="M210" s="3" t="s">
        <v>14</v>
      </c>
      <c r="N210">
        <v>0</v>
      </c>
      <c r="O210">
        <v>103.14</v>
      </c>
      <c r="P210">
        <v>236</v>
      </c>
      <c r="Q210">
        <v>0</v>
      </c>
      <c r="R210">
        <v>0</v>
      </c>
      <c r="S210" s="3" t="s">
        <v>263</v>
      </c>
      <c r="T210">
        <v>0</v>
      </c>
      <c r="U210">
        <v>0</v>
      </c>
      <c r="V210">
        <v>0</v>
      </c>
      <c r="W210">
        <v>0</v>
      </c>
      <c r="X210">
        <v>0</v>
      </c>
      <c r="Y210" s="3" t="s">
        <v>31</v>
      </c>
      <c r="Z210">
        <v>103.14</v>
      </c>
      <c r="AA210">
        <v>0</v>
      </c>
      <c r="AB210" s="3" t="s">
        <v>256</v>
      </c>
      <c r="AC210" s="3" t="s">
        <v>10</v>
      </c>
      <c r="AD210">
        <v>0</v>
      </c>
      <c r="AE210">
        <v>0</v>
      </c>
      <c r="AF210" s="3" t="s">
        <v>640</v>
      </c>
    </row>
    <row r="211" spans="1:32" x14ac:dyDescent="0.35">
      <c r="A211" s="3" t="s">
        <v>608</v>
      </c>
      <c r="B211" s="3" t="s">
        <v>608</v>
      </c>
      <c r="C211" s="3" t="s">
        <v>608</v>
      </c>
      <c r="D211" s="3" t="s">
        <v>608</v>
      </c>
      <c r="E211" s="3" t="s">
        <v>608</v>
      </c>
      <c r="F211" s="3" t="s">
        <v>417</v>
      </c>
      <c r="G211" s="3" t="s">
        <v>417</v>
      </c>
      <c r="H211" s="3" t="s">
        <v>418</v>
      </c>
      <c r="I211" s="3" t="s">
        <v>186</v>
      </c>
      <c r="J211" s="3" t="s">
        <v>4</v>
      </c>
      <c r="K211" s="3" t="s">
        <v>810</v>
      </c>
      <c r="L211" s="3" t="s">
        <v>30</v>
      </c>
      <c r="M211" s="3" t="s">
        <v>14</v>
      </c>
      <c r="N211">
        <v>778000</v>
      </c>
      <c r="O211">
        <v>99.873999999999995</v>
      </c>
      <c r="P211">
        <v>232</v>
      </c>
      <c r="Q211">
        <v>0</v>
      </c>
      <c r="R211">
        <v>37</v>
      </c>
      <c r="S211" s="3" t="s">
        <v>263</v>
      </c>
      <c r="T211">
        <v>255</v>
      </c>
      <c r="U211">
        <v>258</v>
      </c>
      <c r="V211">
        <v>597</v>
      </c>
      <c r="W211">
        <v>1.92</v>
      </c>
      <c r="X211">
        <v>777020</v>
      </c>
      <c r="Y211" s="3" t="s">
        <v>31</v>
      </c>
      <c r="Z211">
        <v>99.873999999999995</v>
      </c>
      <c r="AA211">
        <v>778000</v>
      </c>
      <c r="AB211" s="3" t="s">
        <v>256</v>
      </c>
      <c r="AC211" s="3" t="s">
        <v>10</v>
      </c>
      <c r="AD211">
        <v>785002</v>
      </c>
      <c r="AE211">
        <v>785002</v>
      </c>
      <c r="AF211" s="3" t="s">
        <v>640</v>
      </c>
    </row>
    <row r="212" spans="1:32" x14ac:dyDescent="0.35">
      <c r="A212" s="3" t="s">
        <v>608</v>
      </c>
      <c r="B212" s="3" t="s">
        <v>608</v>
      </c>
      <c r="C212" s="3" t="s">
        <v>608</v>
      </c>
      <c r="D212" s="3" t="s">
        <v>608</v>
      </c>
      <c r="E212" s="3" t="s">
        <v>608</v>
      </c>
      <c r="F212" s="3" t="s">
        <v>844</v>
      </c>
      <c r="G212" s="3" t="s">
        <v>844</v>
      </c>
      <c r="H212" s="3" t="s">
        <v>845</v>
      </c>
      <c r="I212" s="3" t="s">
        <v>186</v>
      </c>
      <c r="J212" s="3" t="s">
        <v>4</v>
      </c>
      <c r="K212" s="3" t="s">
        <v>846</v>
      </c>
      <c r="L212" s="3" t="s">
        <v>30</v>
      </c>
      <c r="M212" s="3" t="s">
        <v>14</v>
      </c>
      <c r="N212">
        <v>-3000000</v>
      </c>
      <c r="O212">
        <v>100.429</v>
      </c>
      <c r="P212">
        <v>138</v>
      </c>
      <c r="Q212">
        <v>0</v>
      </c>
      <c r="R212">
        <v>123</v>
      </c>
      <c r="S212" s="3" t="s">
        <v>263</v>
      </c>
      <c r="T212">
        <v>-94</v>
      </c>
      <c r="U212">
        <v>-95</v>
      </c>
      <c r="V212">
        <v>-130</v>
      </c>
      <c r="W212">
        <v>-0.42</v>
      </c>
      <c r="X212">
        <v>-3012870</v>
      </c>
      <c r="Y212" s="3" t="s">
        <v>31</v>
      </c>
      <c r="Z212">
        <v>100.429</v>
      </c>
      <c r="AA212">
        <v>-3000000</v>
      </c>
      <c r="AB212" s="3" t="s">
        <v>256</v>
      </c>
      <c r="AC212" s="3" t="s">
        <v>10</v>
      </c>
      <c r="AD212">
        <v>-3059345</v>
      </c>
      <c r="AE212">
        <v>3059345</v>
      </c>
      <c r="AF212" s="3" t="s">
        <v>640</v>
      </c>
    </row>
    <row r="213" spans="1:32" x14ac:dyDescent="0.35">
      <c r="A213" s="3" t="s">
        <v>608</v>
      </c>
      <c r="B213" s="3" t="s">
        <v>608</v>
      </c>
      <c r="C213" s="3" t="s">
        <v>608</v>
      </c>
      <c r="D213" s="3" t="s">
        <v>608</v>
      </c>
      <c r="E213" s="3" t="s">
        <v>608</v>
      </c>
      <c r="F213" s="3" t="s">
        <v>924</v>
      </c>
      <c r="G213" s="3" t="s">
        <v>924</v>
      </c>
      <c r="H213" s="3" t="s">
        <v>925</v>
      </c>
      <c r="I213" s="3" t="s">
        <v>926</v>
      </c>
      <c r="J213" s="3" t="s">
        <v>4</v>
      </c>
      <c r="K213" s="3" t="s">
        <v>927</v>
      </c>
      <c r="L213" s="3" t="s">
        <v>30</v>
      </c>
      <c r="M213" s="3" t="s">
        <v>14</v>
      </c>
      <c r="N213">
        <v>-2500000</v>
      </c>
      <c r="O213">
        <v>84.447000000000003</v>
      </c>
      <c r="P213">
        <v>695</v>
      </c>
      <c r="Q213">
        <v>0</v>
      </c>
      <c r="R213">
        <v>0</v>
      </c>
      <c r="S213" s="3" t="s">
        <v>263</v>
      </c>
      <c r="T213">
        <v>-971</v>
      </c>
      <c r="U213">
        <v>-981</v>
      </c>
      <c r="V213">
        <v>-6819</v>
      </c>
      <c r="W213">
        <v>-22</v>
      </c>
      <c r="X213">
        <v>-2111175</v>
      </c>
      <c r="Y213" s="3" t="s">
        <v>31</v>
      </c>
      <c r="Z213">
        <v>84.447000000000003</v>
      </c>
      <c r="AA213">
        <v>-2500000</v>
      </c>
      <c r="AB213" s="3" t="s">
        <v>256</v>
      </c>
      <c r="AC213" s="3" t="s">
        <v>10</v>
      </c>
      <c r="AD213">
        <v>-2149180</v>
      </c>
      <c r="AE213">
        <v>2149180</v>
      </c>
      <c r="AF213" s="3" t="s">
        <v>640</v>
      </c>
    </row>
    <row r="214" spans="1:32" x14ac:dyDescent="0.35">
      <c r="A214" s="3" t="s">
        <v>608</v>
      </c>
      <c r="B214" s="3" t="s">
        <v>608</v>
      </c>
      <c r="C214" s="3" t="s">
        <v>608</v>
      </c>
      <c r="D214" s="3" t="s">
        <v>608</v>
      </c>
      <c r="E214" s="3" t="s">
        <v>608</v>
      </c>
      <c r="F214" s="3" t="s">
        <v>419</v>
      </c>
      <c r="G214" s="3" t="s">
        <v>419</v>
      </c>
      <c r="H214" s="3" t="s">
        <v>420</v>
      </c>
      <c r="I214" s="3" t="s">
        <v>421</v>
      </c>
      <c r="J214" s="3" t="s">
        <v>4</v>
      </c>
      <c r="K214" s="3" t="s">
        <v>787</v>
      </c>
      <c r="L214" s="3" t="s">
        <v>30</v>
      </c>
      <c r="M214" s="3" t="s">
        <v>14</v>
      </c>
      <c r="N214">
        <v>-1122000</v>
      </c>
      <c r="O214">
        <v>105.015</v>
      </c>
      <c r="P214">
        <v>259</v>
      </c>
      <c r="Q214">
        <v>2929</v>
      </c>
      <c r="R214">
        <v>-199</v>
      </c>
      <c r="S214" s="3" t="s">
        <v>263</v>
      </c>
      <c r="T214">
        <v>-681</v>
      </c>
      <c r="U214">
        <v>-688</v>
      </c>
      <c r="V214">
        <v>-1781</v>
      </c>
      <c r="W214">
        <v>-5.75</v>
      </c>
      <c r="X214">
        <v>-1178268</v>
      </c>
      <c r="Y214" s="3" t="s">
        <v>31</v>
      </c>
      <c r="Z214">
        <v>105.221</v>
      </c>
      <c r="AA214">
        <v>-1422000</v>
      </c>
      <c r="AB214" s="3" t="s">
        <v>256</v>
      </c>
      <c r="AC214" s="3" t="s">
        <v>10</v>
      </c>
      <c r="AD214">
        <v>-1199454</v>
      </c>
      <c r="AE214">
        <v>1199454</v>
      </c>
      <c r="AF214" s="3" t="s">
        <v>640</v>
      </c>
    </row>
    <row r="215" spans="1:32" x14ac:dyDescent="0.35">
      <c r="A215" s="3" t="s">
        <v>608</v>
      </c>
      <c r="B215" s="3" t="s">
        <v>608</v>
      </c>
      <c r="C215" s="3" t="s">
        <v>608</v>
      </c>
      <c r="D215" s="3" t="s">
        <v>608</v>
      </c>
      <c r="E215" s="3" t="s">
        <v>608</v>
      </c>
      <c r="F215" s="3" t="s">
        <v>422</v>
      </c>
      <c r="G215" s="3" t="s">
        <v>422</v>
      </c>
      <c r="H215" s="3" t="s">
        <v>423</v>
      </c>
      <c r="I215" s="3" t="s">
        <v>209</v>
      </c>
      <c r="J215" s="3" t="s">
        <v>4</v>
      </c>
      <c r="K215" s="3" t="s">
        <v>811</v>
      </c>
      <c r="L215" s="3" t="s">
        <v>30</v>
      </c>
      <c r="M215" s="3" t="s">
        <v>14</v>
      </c>
      <c r="N215">
        <v>14800000</v>
      </c>
      <c r="O215">
        <v>96.903999999999996</v>
      </c>
      <c r="P215">
        <v>330</v>
      </c>
      <c r="Q215">
        <v>0</v>
      </c>
      <c r="R215">
        <v>1014</v>
      </c>
      <c r="S215" s="3" t="s">
        <v>263</v>
      </c>
      <c r="T215">
        <v>10455</v>
      </c>
      <c r="U215">
        <v>10576</v>
      </c>
      <c r="V215">
        <v>34873</v>
      </c>
      <c r="W215">
        <v>112.49</v>
      </c>
      <c r="X215">
        <v>14341792</v>
      </c>
      <c r="Y215" s="3" t="s">
        <v>31</v>
      </c>
      <c r="Z215">
        <v>96.903999999999996</v>
      </c>
      <c r="AA215">
        <v>14800000</v>
      </c>
      <c r="AB215" s="3" t="s">
        <v>256</v>
      </c>
      <c r="AC215" s="3" t="s">
        <v>10</v>
      </c>
      <c r="AD215">
        <v>14356997</v>
      </c>
      <c r="AE215">
        <v>14356997</v>
      </c>
      <c r="AF215" s="3" t="s">
        <v>640</v>
      </c>
    </row>
    <row r="216" spans="1:32" x14ac:dyDescent="0.35">
      <c r="A216" s="3" t="s">
        <v>608</v>
      </c>
      <c r="B216" s="3" t="s">
        <v>608</v>
      </c>
      <c r="C216" s="3" t="s">
        <v>608</v>
      </c>
      <c r="D216" s="3" t="s">
        <v>608</v>
      </c>
      <c r="E216" s="3" t="s">
        <v>608</v>
      </c>
      <c r="F216" s="3" t="s">
        <v>424</v>
      </c>
      <c r="G216" s="3" t="s">
        <v>424</v>
      </c>
      <c r="H216" s="3" t="s">
        <v>425</v>
      </c>
      <c r="I216" s="3" t="s">
        <v>209</v>
      </c>
      <c r="J216" s="3" t="s">
        <v>4</v>
      </c>
      <c r="K216" s="3" t="s">
        <v>812</v>
      </c>
      <c r="L216" s="3" t="s">
        <v>30</v>
      </c>
      <c r="M216" s="3" t="s">
        <v>14</v>
      </c>
      <c r="N216">
        <v>-2000000</v>
      </c>
      <c r="O216">
        <v>98.902000000000001</v>
      </c>
      <c r="P216">
        <v>296</v>
      </c>
      <c r="Q216">
        <v>0</v>
      </c>
      <c r="R216">
        <v>-123</v>
      </c>
      <c r="S216" s="3" t="s">
        <v>263</v>
      </c>
      <c r="T216">
        <v>-959</v>
      </c>
      <c r="U216">
        <v>-968</v>
      </c>
      <c r="V216">
        <v>-2866</v>
      </c>
      <c r="W216">
        <v>-9.24</v>
      </c>
      <c r="X216">
        <v>-1978040</v>
      </c>
      <c r="Y216" s="3" t="s">
        <v>31</v>
      </c>
      <c r="Z216">
        <v>98.902000000000001</v>
      </c>
      <c r="AA216">
        <v>-2000000</v>
      </c>
      <c r="AB216" s="3" t="s">
        <v>256</v>
      </c>
      <c r="AC216" s="3" t="s">
        <v>10</v>
      </c>
      <c r="AD216">
        <v>-1979889</v>
      </c>
      <c r="AE216">
        <v>1979889</v>
      </c>
      <c r="AF216" s="3" t="s">
        <v>640</v>
      </c>
    </row>
    <row r="217" spans="1:32" x14ac:dyDescent="0.35">
      <c r="A217" s="3" t="s">
        <v>608</v>
      </c>
      <c r="B217" s="3" t="s">
        <v>608</v>
      </c>
      <c r="C217" s="3" t="s">
        <v>608</v>
      </c>
      <c r="D217" s="3" t="s">
        <v>608</v>
      </c>
      <c r="E217" s="3" t="s">
        <v>608</v>
      </c>
      <c r="F217" s="3" t="s">
        <v>935</v>
      </c>
      <c r="G217" s="3" t="s">
        <v>935</v>
      </c>
      <c r="H217" s="3" t="s">
        <v>936</v>
      </c>
      <c r="I217" s="3" t="s">
        <v>937</v>
      </c>
      <c r="J217" s="3" t="s">
        <v>4</v>
      </c>
      <c r="K217" s="3" t="s">
        <v>938</v>
      </c>
      <c r="L217" s="3" t="s">
        <v>30</v>
      </c>
      <c r="M217" s="3" t="s">
        <v>14</v>
      </c>
      <c r="N217">
        <v>-508000</v>
      </c>
      <c r="O217">
        <v>107.827</v>
      </c>
      <c r="P217">
        <v>197</v>
      </c>
      <c r="Q217">
        <v>0</v>
      </c>
      <c r="R217">
        <v>0</v>
      </c>
      <c r="S217" s="3" t="s">
        <v>263</v>
      </c>
      <c r="T217">
        <v>-123</v>
      </c>
      <c r="U217">
        <v>-124</v>
      </c>
      <c r="V217">
        <v>-244</v>
      </c>
      <c r="W217">
        <v>-0.79</v>
      </c>
      <c r="X217">
        <v>-547761</v>
      </c>
      <c r="Y217" s="3" t="s">
        <v>31</v>
      </c>
      <c r="Z217">
        <v>107.827</v>
      </c>
      <c r="AA217">
        <v>-508000</v>
      </c>
      <c r="AB217" s="3" t="s">
        <v>256</v>
      </c>
      <c r="AC217" s="3" t="s">
        <v>10</v>
      </c>
      <c r="AD217">
        <v>-563894</v>
      </c>
      <c r="AE217">
        <v>563894</v>
      </c>
      <c r="AF217" s="3" t="s">
        <v>640</v>
      </c>
    </row>
    <row r="218" spans="1:32" x14ac:dyDescent="0.35">
      <c r="A218" s="3" t="s">
        <v>608</v>
      </c>
      <c r="B218" s="3" t="s">
        <v>608</v>
      </c>
      <c r="C218" s="3" t="s">
        <v>608</v>
      </c>
      <c r="D218" s="3" t="s">
        <v>608</v>
      </c>
      <c r="E218" s="3" t="s">
        <v>608</v>
      </c>
      <c r="F218" s="3" t="s">
        <v>426</v>
      </c>
      <c r="G218" s="3" t="s">
        <v>426</v>
      </c>
      <c r="H218" s="3" t="s">
        <v>427</v>
      </c>
      <c r="I218" s="3" t="s">
        <v>428</v>
      </c>
      <c r="J218" s="3" t="s">
        <v>4</v>
      </c>
      <c r="K218" s="3" t="s">
        <v>813</v>
      </c>
      <c r="L218" s="3" t="s">
        <v>30</v>
      </c>
      <c r="M218" s="3" t="s">
        <v>14</v>
      </c>
      <c r="N218">
        <v>1200000</v>
      </c>
      <c r="O218">
        <v>98.064999999999998</v>
      </c>
      <c r="P218">
        <v>355</v>
      </c>
      <c r="Q218">
        <v>0</v>
      </c>
      <c r="R218">
        <v>99</v>
      </c>
      <c r="S218" s="3" t="s">
        <v>263</v>
      </c>
      <c r="T218">
        <v>961</v>
      </c>
      <c r="U218">
        <v>972</v>
      </c>
      <c r="V218">
        <v>3453</v>
      </c>
      <c r="W218">
        <v>11.14</v>
      </c>
      <c r="X218">
        <v>1176780</v>
      </c>
      <c r="Y218" s="3" t="s">
        <v>31</v>
      </c>
      <c r="Z218">
        <v>98.064999999999998</v>
      </c>
      <c r="AA218">
        <v>1200000</v>
      </c>
      <c r="AB218" s="3" t="s">
        <v>256</v>
      </c>
      <c r="AC218" s="3" t="s">
        <v>10</v>
      </c>
      <c r="AD218">
        <v>1183585</v>
      </c>
      <c r="AE218">
        <v>1183585</v>
      </c>
      <c r="AF218" s="3" t="s">
        <v>640</v>
      </c>
    </row>
    <row r="219" spans="1:32" x14ac:dyDescent="0.35">
      <c r="A219" s="3" t="s">
        <v>608</v>
      </c>
      <c r="B219" s="3" t="s">
        <v>608</v>
      </c>
      <c r="C219" s="3" t="s">
        <v>608</v>
      </c>
      <c r="D219" s="3" t="s">
        <v>608</v>
      </c>
      <c r="E219" s="3" t="s">
        <v>608</v>
      </c>
      <c r="F219" s="3" t="s">
        <v>429</v>
      </c>
      <c r="G219" s="3" t="s">
        <v>429</v>
      </c>
      <c r="H219" s="3" t="s">
        <v>430</v>
      </c>
      <c r="I219" s="3" t="s">
        <v>428</v>
      </c>
      <c r="J219" s="3" t="s">
        <v>266</v>
      </c>
      <c r="K219" s="3" t="s">
        <v>814</v>
      </c>
      <c r="L219" s="3" t="s">
        <v>30</v>
      </c>
      <c r="M219" s="3" t="s">
        <v>14</v>
      </c>
      <c r="N219">
        <v>-5430000</v>
      </c>
      <c r="O219">
        <v>118.655</v>
      </c>
      <c r="P219">
        <v>357</v>
      </c>
      <c r="Q219">
        <v>4405</v>
      </c>
      <c r="R219">
        <v>-941</v>
      </c>
      <c r="S219" s="3" t="s">
        <v>263</v>
      </c>
      <c r="T219">
        <v>-3541</v>
      </c>
      <c r="U219">
        <v>-3598</v>
      </c>
      <c r="V219">
        <v>-12831</v>
      </c>
      <c r="W219">
        <v>-41.39</v>
      </c>
      <c r="X219">
        <v>-5539954</v>
      </c>
      <c r="Y219" s="3" t="s">
        <v>31</v>
      </c>
      <c r="Z219">
        <v>118.746</v>
      </c>
      <c r="AA219">
        <v>-5630000</v>
      </c>
      <c r="AB219" s="3" t="s">
        <v>256</v>
      </c>
      <c r="AC219" s="3" t="s">
        <v>10</v>
      </c>
      <c r="AD219">
        <v>-5571590</v>
      </c>
      <c r="AE219">
        <v>5571590</v>
      </c>
      <c r="AF219" s="3" t="s">
        <v>640</v>
      </c>
    </row>
    <row r="220" spans="1:32" x14ac:dyDescent="0.35">
      <c r="A220" s="3" t="s">
        <v>608</v>
      </c>
      <c r="B220" s="3" t="s">
        <v>608</v>
      </c>
      <c r="C220" s="3" t="s">
        <v>608</v>
      </c>
      <c r="D220" s="3" t="s">
        <v>608</v>
      </c>
      <c r="E220" s="3" t="s">
        <v>608</v>
      </c>
      <c r="F220" s="3" t="s">
        <v>431</v>
      </c>
      <c r="G220" s="3" t="s">
        <v>431</v>
      </c>
      <c r="H220" s="3" t="s">
        <v>432</v>
      </c>
      <c r="I220" s="3" t="s">
        <v>428</v>
      </c>
      <c r="J220" s="3" t="s">
        <v>4</v>
      </c>
      <c r="K220" s="3" t="s">
        <v>815</v>
      </c>
      <c r="L220" s="3" t="s">
        <v>30</v>
      </c>
      <c r="M220" s="3" t="s">
        <v>14</v>
      </c>
      <c r="N220">
        <v>0</v>
      </c>
      <c r="O220">
        <v>109.33</v>
      </c>
      <c r="P220">
        <v>322</v>
      </c>
      <c r="Q220">
        <v>0</v>
      </c>
      <c r="R220">
        <v>0</v>
      </c>
      <c r="S220" s="3" t="s">
        <v>263</v>
      </c>
      <c r="T220">
        <v>0</v>
      </c>
      <c r="U220">
        <v>0</v>
      </c>
      <c r="V220">
        <v>0</v>
      </c>
      <c r="W220">
        <v>0</v>
      </c>
      <c r="X220">
        <v>0</v>
      </c>
      <c r="Y220" s="3" t="s">
        <v>31</v>
      </c>
      <c r="Z220">
        <v>109.33</v>
      </c>
      <c r="AA220">
        <v>0</v>
      </c>
      <c r="AB220" s="3" t="s">
        <v>256</v>
      </c>
      <c r="AC220" s="3" t="s">
        <v>10</v>
      </c>
      <c r="AD220">
        <v>0</v>
      </c>
      <c r="AE220">
        <v>0</v>
      </c>
      <c r="AF220" s="3" t="s">
        <v>640</v>
      </c>
    </row>
    <row r="221" spans="1:32" x14ac:dyDescent="0.35">
      <c r="A221" s="3" t="s">
        <v>608</v>
      </c>
      <c r="B221" s="3" t="s">
        <v>608</v>
      </c>
      <c r="C221" s="3" t="s">
        <v>608</v>
      </c>
      <c r="D221" s="3" t="s">
        <v>608</v>
      </c>
      <c r="E221" s="3" t="s">
        <v>608</v>
      </c>
      <c r="F221" s="3" t="s">
        <v>433</v>
      </c>
      <c r="G221" s="3" t="s">
        <v>433</v>
      </c>
      <c r="H221" s="3" t="s">
        <v>434</v>
      </c>
      <c r="I221" s="3" t="s">
        <v>428</v>
      </c>
      <c r="J221" s="3" t="s">
        <v>4</v>
      </c>
      <c r="K221" s="3" t="s">
        <v>816</v>
      </c>
      <c r="L221" s="3" t="s">
        <v>30</v>
      </c>
      <c r="M221" s="3" t="s">
        <v>14</v>
      </c>
      <c r="N221">
        <v>3580000</v>
      </c>
      <c r="O221">
        <v>98.870999999999995</v>
      </c>
      <c r="P221">
        <v>332</v>
      </c>
      <c r="Q221">
        <v>0</v>
      </c>
      <c r="R221">
        <v>257</v>
      </c>
      <c r="S221" s="3" t="s">
        <v>263</v>
      </c>
      <c r="T221">
        <v>1803</v>
      </c>
      <c r="U221">
        <v>1821</v>
      </c>
      <c r="V221">
        <v>6040</v>
      </c>
      <c r="W221">
        <v>19.48</v>
      </c>
      <c r="X221">
        <v>3539582</v>
      </c>
      <c r="Y221" s="3" t="s">
        <v>31</v>
      </c>
      <c r="Z221">
        <v>98.870999999999995</v>
      </c>
      <c r="AA221">
        <v>3580000</v>
      </c>
      <c r="AB221" s="3" t="s">
        <v>256</v>
      </c>
      <c r="AC221" s="3" t="s">
        <v>10</v>
      </c>
      <c r="AD221">
        <v>3557347</v>
      </c>
      <c r="AE221">
        <v>3557347</v>
      </c>
      <c r="AF221" s="3" t="s">
        <v>640</v>
      </c>
    </row>
    <row r="222" spans="1:32" x14ac:dyDescent="0.35">
      <c r="A222" s="3" t="s">
        <v>608</v>
      </c>
      <c r="B222" s="3" t="s">
        <v>608</v>
      </c>
      <c r="C222" s="3" t="s">
        <v>608</v>
      </c>
      <c r="D222" s="3" t="s">
        <v>608</v>
      </c>
      <c r="E222" s="3" t="s">
        <v>608</v>
      </c>
      <c r="F222" s="3" t="s">
        <v>435</v>
      </c>
      <c r="G222" s="3" t="s">
        <v>435</v>
      </c>
      <c r="H222" s="3" t="s">
        <v>436</v>
      </c>
      <c r="I222" s="3" t="s">
        <v>428</v>
      </c>
      <c r="J222" s="3" t="s">
        <v>283</v>
      </c>
      <c r="K222" s="3" t="s">
        <v>817</v>
      </c>
      <c r="L222" s="3" t="s">
        <v>30</v>
      </c>
      <c r="M222" s="3" t="s">
        <v>14</v>
      </c>
      <c r="N222">
        <v>-1000000</v>
      </c>
      <c r="O222">
        <v>106.643</v>
      </c>
      <c r="P222">
        <v>313</v>
      </c>
      <c r="Q222">
        <v>0</v>
      </c>
      <c r="R222">
        <v>-148</v>
      </c>
      <c r="S222" s="3" t="s">
        <v>263</v>
      </c>
      <c r="T222">
        <v>-492</v>
      </c>
      <c r="U222">
        <v>-500</v>
      </c>
      <c r="V222">
        <v>-1567</v>
      </c>
      <c r="W222">
        <v>-5.05</v>
      </c>
      <c r="X222">
        <v>-1182846</v>
      </c>
      <c r="Y222" s="3" t="s">
        <v>31</v>
      </c>
      <c r="Z222">
        <v>106.643</v>
      </c>
      <c r="AA222">
        <v>-1000000</v>
      </c>
      <c r="AB222" s="3" t="s">
        <v>256</v>
      </c>
      <c r="AC222" s="3" t="s">
        <v>10</v>
      </c>
      <c r="AD222">
        <v>-1187120</v>
      </c>
      <c r="AE222">
        <v>1187120</v>
      </c>
      <c r="AF222" s="3" t="s">
        <v>640</v>
      </c>
    </row>
    <row r="223" spans="1:32" x14ac:dyDescent="0.35">
      <c r="A223" s="3" t="s">
        <v>608</v>
      </c>
      <c r="B223" s="3" t="s">
        <v>608</v>
      </c>
      <c r="C223" s="3" t="s">
        <v>608</v>
      </c>
      <c r="D223" s="3" t="s">
        <v>608</v>
      </c>
      <c r="E223" s="3" t="s">
        <v>608</v>
      </c>
      <c r="F223" s="3" t="s">
        <v>437</v>
      </c>
      <c r="G223" s="3" t="s">
        <v>437</v>
      </c>
      <c r="H223" s="3" t="s">
        <v>438</v>
      </c>
      <c r="I223" s="3" t="s">
        <v>428</v>
      </c>
      <c r="J223" s="3" t="s">
        <v>266</v>
      </c>
      <c r="K223" s="3" t="s">
        <v>818</v>
      </c>
      <c r="L223" s="3" t="s">
        <v>30</v>
      </c>
      <c r="M223" s="3" t="s">
        <v>14</v>
      </c>
      <c r="N223">
        <v>-11489000</v>
      </c>
      <c r="O223">
        <v>108.08799999999999</v>
      </c>
      <c r="P223">
        <v>352</v>
      </c>
      <c r="Q223">
        <v>0</v>
      </c>
      <c r="R223">
        <v>-1715</v>
      </c>
      <c r="S223" s="3" t="s">
        <v>263</v>
      </c>
      <c r="T223">
        <v>-3499</v>
      </c>
      <c r="U223">
        <v>-3558</v>
      </c>
      <c r="V223">
        <v>-12510</v>
      </c>
      <c r="W223">
        <v>-40.35</v>
      </c>
      <c r="X223">
        <v>-10677756</v>
      </c>
      <c r="Y223" s="3" t="s">
        <v>31</v>
      </c>
      <c r="Z223">
        <v>108.08799999999999</v>
      </c>
      <c r="AA223">
        <v>-11489000</v>
      </c>
      <c r="AB223" s="3" t="s">
        <v>256</v>
      </c>
      <c r="AC223" s="3" t="s">
        <v>10</v>
      </c>
      <c r="AD223">
        <v>-10739589</v>
      </c>
      <c r="AE223">
        <v>10739589</v>
      </c>
      <c r="AF223" s="3" t="s">
        <v>640</v>
      </c>
    </row>
    <row r="224" spans="1:32" x14ac:dyDescent="0.35">
      <c r="A224" s="3" t="s">
        <v>608</v>
      </c>
      <c r="B224" s="3" t="s">
        <v>608</v>
      </c>
      <c r="C224" s="3" t="s">
        <v>608</v>
      </c>
      <c r="D224" s="3" t="s">
        <v>608</v>
      </c>
      <c r="E224" s="3" t="s">
        <v>608</v>
      </c>
      <c r="F224" s="3" t="s">
        <v>439</v>
      </c>
      <c r="G224" s="3" t="s">
        <v>439</v>
      </c>
      <c r="H224" s="3" t="s">
        <v>440</v>
      </c>
      <c r="I224" s="3" t="s">
        <v>216</v>
      </c>
      <c r="J224" s="3" t="s">
        <v>4</v>
      </c>
      <c r="K224" s="3" t="s">
        <v>819</v>
      </c>
      <c r="L224" s="3" t="s">
        <v>30</v>
      </c>
      <c r="M224" s="3" t="s">
        <v>14</v>
      </c>
      <c r="N224">
        <v>15000000</v>
      </c>
      <c r="O224">
        <v>101.26</v>
      </c>
      <c r="P224">
        <v>405</v>
      </c>
      <c r="Q224">
        <v>-12000</v>
      </c>
      <c r="R224">
        <v>0</v>
      </c>
      <c r="S224" s="3" t="s">
        <v>263</v>
      </c>
      <c r="T224">
        <v>10986</v>
      </c>
      <c r="U224">
        <v>11107</v>
      </c>
      <c r="V224">
        <v>45028</v>
      </c>
      <c r="W224">
        <v>145.25</v>
      </c>
      <c r="X224">
        <v>15189000</v>
      </c>
      <c r="Y224" s="3" t="s">
        <v>31</v>
      </c>
      <c r="Z224">
        <v>101.38</v>
      </c>
      <c r="AA224">
        <v>10000000</v>
      </c>
      <c r="AB224" s="3" t="s">
        <v>256</v>
      </c>
      <c r="AC224" s="3" t="s">
        <v>10</v>
      </c>
      <c r="AD224">
        <v>15412476</v>
      </c>
      <c r="AE224">
        <v>15412476</v>
      </c>
      <c r="AF224" s="3" t="s">
        <v>640</v>
      </c>
    </row>
    <row r="225" spans="1:32" x14ac:dyDescent="0.35">
      <c r="A225" s="3" t="s">
        <v>608</v>
      </c>
      <c r="B225" s="3" t="s">
        <v>608</v>
      </c>
      <c r="C225" s="3" t="s">
        <v>608</v>
      </c>
      <c r="D225" s="3" t="s">
        <v>608</v>
      </c>
      <c r="E225" s="3" t="s">
        <v>608</v>
      </c>
      <c r="F225" s="3" t="s">
        <v>441</v>
      </c>
      <c r="G225" s="3" t="s">
        <v>441</v>
      </c>
      <c r="H225" s="3" t="s">
        <v>442</v>
      </c>
      <c r="I225" s="3" t="s">
        <v>216</v>
      </c>
      <c r="J225" s="3" t="s">
        <v>4</v>
      </c>
      <c r="K225" s="3" t="s">
        <v>820</v>
      </c>
      <c r="L225" s="3" t="s">
        <v>30</v>
      </c>
      <c r="M225" s="3" t="s">
        <v>14</v>
      </c>
      <c r="N225">
        <v>-19000000</v>
      </c>
      <c r="O225">
        <v>106.85</v>
      </c>
      <c r="P225">
        <v>398</v>
      </c>
      <c r="Q225">
        <v>-73920</v>
      </c>
      <c r="R225">
        <v>-1774</v>
      </c>
      <c r="S225" s="3" t="s">
        <v>263</v>
      </c>
      <c r="T225">
        <v>-13040</v>
      </c>
      <c r="U225">
        <v>-13177</v>
      </c>
      <c r="V225">
        <v>-52421</v>
      </c>
      <c r="W225">
        <v>-169.1</v>
      </c>
      <c r="X225">
        <v>-20301500</v>
      </c>
      <c r="Y225" s="3" t="s">
        <v>31</v>
      </c>
      <c r="Z225">
        <v>106.322</v>
      </c>
      <c r="AA225">
        <v>-14000000</v>
      </c>
      <c r="AB225" s="3" t="s">
        <v>256</v>
      </c>
      <c r="AC225" s="3" t="s">
        <v>10</v>
      </c>
      <c r="AD225">
        <v>-20615113</v>
      </c>
      <c r="AE225">
        <v>20615113</v>
      </c>
      <c r="AF225" s="3" t="s">
        <v>640</v>
      </c>
    </row>
    <row r="226" spans="1:32" x14ac:dyDescent="0.35">
      <c r="A226" s="3" t="s">
        <v>608</v>
      </c>
      <c r="B226" s="3" t="s">
        <v>608</v>
      </c>
      <c r="C226" s="3" t="s">
        <v>608</v>
      </c>
      <c r="D226" s="3" t="s">
        <v>608</v>
      </c>
      <c r="E226" s="3" t="s">
        <v>608</v>
      </c>
      <c r="F226" s="3" t="s">
        <v>443</v>
      </c>
      <c r="G226" s="3" t="s">
        <v>443</v>
      </c>
      <c r="H226" s="3" t="s">
        <v>440</v>
      </c>
      <c r="I226" s="3" t="s">
        <v>216</v>
      </c>
      <c r="J226" s="3" t="s">
        <v>4</v>
      </c>
      <c r="K226" s="3" t="s">
        <v>821</v>
      </c>
      <c r="L226" s="3" t="s">
        <v>30</v>
      </c>
      <c r="M226" s="3" t="s">
        <v>14</v>
      </c>
      <c r="N226">
        <v>-3900000</v>
      </c>
      <c r="O226">
        <v>101.764</v>
      </c>
      <c r="P226">
        <v>400</v>
      </c>
      <c r="Q226">
        <v>0</v>
      </c>
      <c r="R226">
        <v>-414</v>
      </c>
      <c r="S226" s="3" t="s">
        <v>263</v>
      </c>
      <c r="T226">
        <v>-2286</v>
      </c>
      <c r="U226">
        <v>-2309</v>
      </c>
      <c r="V226">
        <v>-9239</v>
      </c>
      <c r="W226">
        <v>-29.8</v>
      </c>
      <c r="X226">
        <v>-3968796</v>
      </c>
      <c r="Y226" s="3" t="s">
        <v>31</v>
      </c>
      <c r="Z226">
        <v>101.764</v>
      </c>
      <c r="AA226">
        <v>-3900000</v>
      </c>
      <c r="AB226" s="3" t="s">
        <v>256</v>
      </c>
      <c r="AC226" s="3" t="s">
        <v>10</v>
      </c>
      <c r="AD226">
        <v>-4028004</v>
      </c>
      <c r="AE226">
        <v>4028004</v>
      </c>
      <c r="AF226" s="3" t="s">
        <v>640</v>
      </c>
    </row>
    <row r="227" spans="1:32" x14ac:dyDescent="0.35">
      <c r="A227" s="3" t="s">
        <v>608</v>
      </c>
      <c r="B227" s="3" t="s">
        <v>608</v>
      </c>
      <c r="C227" s="3" t="s">
        <v>608</v>
      </c>
      <c r="D227" s="3" t="s">
        <v>608</v>
      </c>
      <c r="E227" s="3" t="s">
        <v>608</v>
      </c>
      <c r="F227" s="3" t="s">
        <v>444</v>
      </c>
      <c r="G227" s="3" t="s">
        <v>444</v>
      </c>
      <c r="H227" s="3" t="s">
        <v>442</v>
      </c>
      <c r="I227" s="3" t="s">
        <v>216</v>
      </c>
      <c r="J227" s="3" t="s">
        <v>4</v>
      </c>
      <c r="K227" s="3" t="s">
        <v>702</v>
      </c>
      <c r="L227" s="3" t="s">
        <v>30</v>
      </c>
      <c r="M227" s="3" t="s">
        <v>14</v>
      </c>
      <c r="N227">
        <v>7258000</v>
      </c>
      <c r="O227">
        <v>106.113</v>
      </c>
      <c r="P227">
        <v>384</v>
      </c>
      <c r="Q227">
        <v>0</v>
      </c>
      <c r="R227">
        <v>932</v>
      </c>
      <c r="S227" s="3" t="s">
        <v>263</v>
      </c>
      <c r="T227">
        <v>3657</v>
      </c>
      <c r="U227">
        <v>3693</v>
      </c>
      <c r="V227">
        <v>14169</v>
      </c>
      <c r="W227">
        <v>45.71</v>
      </c>
      <c r="X227">
        <v>7701682</v>
      </c>
      <c r="Y227" s="3" t="s">
        <v>31</v>
      </c>
      <c r="Z227">
        <v>106.113</v>
      </c>
      <c r="AA227">
        <v>7258000</v>
      </c>
      <c r="AB227" s="3" t="s">
        <v>256</v>
      </c>
      <c r="AC227" s="3" t="s">
        <v>10</v>
      </c>
      <c r="AD227">
        <v>7908609</v>
      </c>
      <c r="AE227">
        <v>7908609</v>
      </c>
      <c r="AF227" s="3" t="s">
        <v>640</v>
      </c>
    </row>
    <row r="228" spans="1:32" x14ac:dyDescent="0.35">
      <c r="A228" s="3" t="s">
        <v>608</v>
      </c>
      <c r="B228" s="3" t="s">
        <v>608</v>
      </c>
      <c r="C228" s="3" t="s">
        <v>608</v>
      </c>
      <c r="D228" s="3" t="s">
        <v>608</v>
      </c>
      <c r="E228" s="3" t="s">
        <v>608</v>
      </c>
      <c r="F228" s="3" t="s">
        <v>445</v>
      </c>
      <c r="G228" s="3" t="s">
        <v>445</v>
      </c>
      <c r="H228" s="3" t="s">
        <v>446</v>
      </c>
      <c r="I228" s="3" t="s">
        <v>216</v>
      </c>
      <c r="J228" s="3" t="s">
        <v>4</v>
      </c>
      <c r="K228" s="3" t="s">
        <v>822</v>
      </c>
      <c r="L228" s="3" t="s">
        <v>30</v>
      </c>
      <c r="M228" s="3" t="s">
        <v>14</v>
      </c>
      <c r="N228">
        <v>-500000</v>
      </c>
      <c r="O228">
        <v>100.84</v>
      </c>
      <c r="P228">
        <v>365</v>
      </c>
      <c r="Q228">
        <v>0</v>
      </c>
      <c r="R228">
        <v>-46</v>
      </c>
      <c r="S228" s="3" t="s">
        <v>263</v>
      </c>
      <c r="T228">
        <v>-171</v>
      </c>
      <c r="U228">
        <v>-172</v>
      </c>
      <c r="V228">
        <v>-629</v>
      </c>
      <c r="W228">
        <v>-2.0299999999999998</v>
      </c>
      <c r="X228">
        <v>-504200</v>
      </c>
      <c r="Y228" s="3" t="s">
        <v>31</v>
      </c>
      <c r="Z228">
        <v>100.84</v>
      </c>
      <c r="AA228">
        <v>-500000</v>
      </c>
      <c r="AB228" s="3" t="s">
        <v>256</v>
      </c>
      <c r="AC228" s="3" t="s">
        <v>10</v>
      </c>
      <c r="AD228">
        <v>-510210</v>
      </c>
      <c r="AE228">
        <v>510210</v>
      </c>
      <c r="AF228" s="3" t="s">
        <v>640</v>
      </c>
    </row>
    <row r="229" spans="1:32" x14ac:dyDescent="0.35">
      <c r="A229" s="3" t="s">
        <v>608</v>
      </c>
      <c r="B229" s="3" t="s">
        <v>608</v>
      </c>
      <c r="C229" s="3" t="s">
        <v>608</v>
      </c>
      <c r="D229" s="3" t="s">
        <v>608</v>
      </c>
      <c r="E229" s="3" t="s">
        <v>608</v>
      </c>
      <c r="F229" s="3" t="s">
        <v>640</v>
      </c>
      <c r="G229" s="3" t="s">
        <v>588</v>
      </c>
      <c r="H229" s="3" t="s">
        <v>588</v>
      </c>
      <c r="I229" s="3" t="s">
        <v>640</v>
      </c>
      <c r="J229" s="3" t="s">
        <v>4</v>
      </c>
      <c r="K229" s="3" t="s">
        <v>640</v>
      </c>
      <c r="L229" s="3" t="s">
        <v>448</v>
      </c>
      <c r="M229" s="3" t="s">
        <v>14</v>
      </c>
      <c r="N229">
        <v>-2000000</v>
      </c>
      <c r="O229">
        <v>113.82599999999999</v>
      </c>
      <c r="Q229">
        <v>0</v>
      </c>
      <c r="R229">
        <v>-60</v>
      </c>
      <c r="S229" s="3" t="s">
        <v>640</v>
      </c>
      <c r="T229">
        <v>0</v>
      </c>
      <c r="U229">
        <v>0</v>
      </c>
      <c r="V229">
        <v>0</v>
      </c>
      <c r="W229">
        <v>0</v>
      </c>
      <c r="X229">
        <v>2276523</v>
      </c>
      <c r="Y229" s="3" t="s">
        <v>640</v>
      </c>
      <c r="Z229">
        <v>113.82599999999999</v>
      </c>
      <c r="AA229">
        <v>-2000000</v>
      </c>
      <c r="AB229" s="3" t="s">
        <v>449</v>
      </c>
      <c r="AC229" s="3" t="s">
        <v>10</v>
      </c>
      <c r="AD229">
        <v>0</v>
      </c>
      <c r="AE229">
        <v>0</v>
      </c>
      <c r="AF229" s="3" t="s">
        <v>640</v>
      </c>
    </row>
    <row r="230" spans="1:32" x14ac:dyDescent="0.35">
      <c r="A230" s="3" t="s">
        <v>608</v>
      </c>
      <c r="B230" s="3" t="s">
        <v>608</v>
      </c>
      <c r="C230" s="3" t="s">
        <v>608</v>
      </c>
      <c r="D230" s="3" t="s">
        <v>608</v>
      </c>
      <c r="E230" s="3" t="s">
        <v>608</v>
      </c>
      <c r="F230" s="3" t="s">
        <v>640</v>
      </c>
      <c r="G230" s="3" t="s">
        <v>533</v>
      </c>
      <c r="H230" s="3" t="s">
        <v>533</v>
      </c>
      <c r="I230" s="3" t="s">
        <v>640</v>
      </c>
      <c r="J230" s="3" t="s">
        <v>266</v>
      </c>
      <c r="K230" s="3" t="s">
        <v>640</v>
      </c>
      <c r="L230" s="3" t="s">
        <v>448</v>
      </c>
      <c r="M230" s="3" t="s">
        <v>14</v>
      </c>
      <c r="N230">
        <v>1000000</v>
      </c>
      <c r="O230">
        <v>82.039000000000001</v>
      </c>
      <c r="Q230">
        <v>0</v>
      </c>
      <c r="R230">
        <v>-8</v>
      </c>
      <c r="S230" s="3" t="s">
        <v>640</v>
      </c>
      <c r="T230">
        <v>0</v>
      </c>
      <c r="U230">
        <v>0</v>
      </c>
      <c r="V230">
        <v>0</v>
      </c>
      <c r="W230">
        <v>0</v>
      </c>
      <c r="X230">
        <v>-705408</v>
      </c>
      <c r="Y230" s="3" t="s">
        <v>640</v>
      </c>
      <c r="Z230">
        <v>82.039000000000001</v>
      </c>
      <c r="AA230">
        <v>1000000</v>
      </c>
      <c r="AB230" s="3" t="s">
        <v>449</v>
      </c>
      <c r="AC230" s="3" t="s">
        <v>10</v>
      </c>
      <c r="AD230">
        <v>0</v>
      </c>
      <c r="AE230">
        <v>0</v>
      </c>
      <c r="AF230" s="3" t="s">
        <v>640</v>
      </c>
    </row>
    <row r="231" spans="1:32" x14ac:dyDescent="0.35">
      <c r="A231" s="3" t="s">
        <v>608</v>
      </c>
      <c r="B231" s="3" t="s">
        <v>608</v>
      </c>
      <c r="C231" s="3" t="s">
        <v>608</v>
      </c>
      <c r="D231" s="3" t="s">
        <v>608</v>
      </c>
      <c r="E231" s="3" t="s">
        <v>608</v>
      </c>
      <c r="F231" s="3" t="s">
        <v>640</v>
      </c>
      <c r="G231" s="3" t="s">
        <v>513</v>
      </c>
      <c r="H231" s="3" t="s">
        <v>513</v>
      </c>
      <c r="I231" s="3" t="s">
        <v>640</v>
      </c>
      <c r="J231" s="3" t="s">
        <v>4</v>
      </c>
      <c r="K231" s="3" t="s">
        <v>640</v>
      </c>
      <c r="L231" s="3" t="s">
        <v>448</v>
      </c>
      <c r="M231" s="3" t="s">
        <v>14</v>
      </c>
      <c r="N231">
        <v>-1200000</v>
      </c>
      <c r="O231">
        <v>107.24</v>
      </c>
      <c r="Q231">
        <v>0</v>
      </c>
      <c r="R231">
        <v>-34</v>
      </c>
      <c r="S231" s="3" t="s">
        <v>640</v>
      </c>
      <c r="T231">
        <v>0</v>
      </c>
      <c r="U231">
        <v>0</v>
      </c>
      <c r="V231">
        <v>0</v>
      </c>
      <c r="W231">
        <v>0</v>
      </c>
      <c r="X231">
        <v>1288350</v>
      </c>
      <c r="Y231" s="3" t="s">
        <v>640</v>
      </c>
      <c r="Z231">
        <v>107.24</v>
      </c>
      <c r="AA231">
        <v>-1200000</v>
      </c>
      <c r="AB231" s="3" t="s">
        <v>449</v>
      </c>
      <c r="AC231" s="3" t="s">
        <v>10</v>
      </c>
      <c r="AD231">
        <v>0</v>
      </c>
      <c r="AE231">
        <v>0</v>
      </c>
      <c r="AF231" s="3" t="s">
        <v>640</v>
      </c>
    </row>
    <row r="232" spans="1:32" x14ac:dyDescent="0.35">
      <c r="A232" s="3" t="s">
        <v>608</v>
      </c>
      <c r="B232" s="3" t="s">
        <v>608</v>
      </c>
      <c r="C232" s="3" t="s">
        <v>608</v>
      </c>
      <c r="D232" s="3" t="s">
        <v>608</v>
      </c>
      <c r="E232" s="3" t="s">
        <v>608</v>
      </c>
      <c r="F232" s="3" t="s">
        <v>640</v>
      </c>
      <c r="G232" s="3" t="s">
        <v>491</v>
      </c>
      <c r="H232" s="3" t="s">
        <v>491</v>
      </c>
      <c r="I232" s="3" t="s">
        <v>640</v>
      </c>
      <c r="J232" s="3" t="s">
        <v>4</v>
      </c>
      <c r="K232" s="3" t="s">
        <v>640</v>
      </c>
      <c r="L232" s="3" t="s">
        <v>448</v>
      </c>
      <c r="M232" s="3" t="s">
        <v>14</v>
      </c>
      <c r="N232">
        <v>-500000</v>
      </c>
      <c r="O232">
        <v>99.423000000000002</v>
      </c>
      <c r="Q232">
        <v>0</v>
      </c>
      <c r="R232">
        <v>-39</v>
      </c>
      <c r="S232" s="3" t="s">
        <v>640</v>
      </c>
      <c r="T232">
        <v>0</v>
      </c>
      <c r="U232">
        <v>0</v>
      </c>
      <c r="V232">
        <v>0</v>
      </c>
      <c r="W232">
        <v>0</v>
      </c>
      <c r="X232">
        <v>497117</v>
      </c>
      <c r="Y232" s="3" t="s">
        <v>640</v>
      </c>
      <c r="Z232">
        <v>99.02</v>
      </c>
      <c r="AA232">
        <v>-1500000</v>
      </c>
      <c r="AB232" s="3" t="s">
        <v>449</v>
      </c>
      <c r="AC232" s="3" t="s">
        <v>10</v>
      </c>
      <c r="AD232">
        <v>0</v>
      </c>
      <c r="AE232">
        <v>0</v>
      </c>
      <c r="AF232" s="3" t="s">
        <v>640</v>
      </c>
    </row>
    <row r="233" spans="1:32" x14ac:dyDescent="0.35">
      <c r="A233" s="3" t="s">
        <v>608</v>
      </c>
      <c r="B233" s="3" t="s">
        <v>608</v>
      </c>
      <c r="C233" s="3" t="s">
        <v>608</v>
      </c>
      <c r="D233" s="3" t="s">
        <v>608</v>
      </c>
      <c r="E233" s="3" t="s">
        <v>608</v>
      </c>
      <c r="F233" s="3" t="s">
        <v>640</v>
      </c>
      <c r="G233" s="3" t="s">
        <v>492</v>
      </c>
      <c r="H233" s="3" t="s">
        <v>492</v>
      </c>
      <c r="I233" s="3" t="s">
        <v>640</v>
      </c>
      <c r="J233" s="3" t="s">
        <v>4</v>
      </c>
      <c r="K233" s="3" t="s">
        <v>640</v>
      </c>
      <c r="L233" s="3" t="s">
        <v>448</v>
      </c>
      <c r="M233" s="3" t="s">
        <v>14</v>
      </c>
      <c r="N233">
        <v>-14000000</v>
      </c>
      <c r="O233">
        <v>109.863</v>
      </c>
      <c r="Q233">
        <v>0</v>
      </c>
      <c r="R233">
        <v>-408</v>
      </c>
      <c r="S233" s="3" t="s">
        <v>640</v>
      </c>
      <c r="T233">
        <v>0</v>
      </c>
      <c r="U233">
        <v>0</v>
      </c>
      <c r="V233">
        <v>0</v>
      </c>
      <c r="W233">
        <v>0</v>
      </c>
      <c r="X233">
        <v>15449052</v>
      </c>
      <c r="Y233" s="3" t="s">
        <v>640</v>
      </c>
      <c r="Z233">
        <v>109.863</v>
      </c>
      <c r="AA233">
        <v>-14000000</v>
      </c>
      <c r="AB233" s="3" t="s">
        <v>449</v>
      </c>
      <c r="AC233" s="3" t="s">
        <v>10</v>
      </c>
      <c r="AD233">
        <v>0</v>
      </c>
      <c r="AE233">
        <v>0</v>
      </c>
      <c r="AF233" s="3" t="s">
        <v>640</v>
      </c>
    </row>
    <row r="234" spans="1:32" x14ac:dyDescent="0.35">
      <c r="A234" s="3" t="s">
        <v>608</v>
      </c>
      <c r="B234" s="3" t="s">
        <v>608</v>
      </c>
      <c r="C234" s="3" t="s">
        <v>608</v>
      </c>
      <c r="D234" s="3" t="s">
        <v>608</v>
      </c>
      <c r="E234" s="3" t="s">
        <v>608</v>
      </c>
      <c r="F234" s="3" t="s">
        <v>640</v>
      </c>
      <c r="G234" s="3" t="s">
        <v>483</v>
      </c>
      <c r="H234" s="3" t="s">
        <v>483</v>
      </c>
      <c r="I234" s="3" t="s">
        <v>640</v>
      </c>
      <c r="J234" s="3" t="s">
        <v>4</v>
      </c>
      <c r="K234" s="3" t="s">
        <v>640</v>
      </c>
      <c r="L234" s="3" t="s">
        <v>448</v>
      </c>
      <c r="M234" s="3" t="s">
        <v>14</v>
      </c>
      <c r="N234">
        <v>0</v>
      </c>
      <c r="O234">
        <v>81.867999999999995</v>
      </c>
      <c r="Q234">
        <v>0</v>
      </c>
      <c r="R234">
        <v>28</v>
      </c>
      <c r="S234" s="3" t="s">
        <v>640</v>
      </c>
      <c r="T234">
        <v>0</v>
      </c>
      <c r="U234">
        <v>0</v>
      </c>
      <c r="V234">
        <v>0</v>
      </c>
      <c r="W234">
        <v>0</v>
      </c>
      <c r="X234">
        <v>0</v>
      </c>
      <c r="Y234" s="3" t="s">
        <v>640</v>
      </c>
      <c r="Z234">
        <v>82.412999999999997</v>
      </c>
      <c r="AA234">
        <v>4848000</v>
      </c>
      <c r="AB234" s="3" t="s">
        <v>449</v>
      </c>
      <c r="AC234" s="3" t="s">
        <v>10</v>
      </c>
      <c r="AD234">
        <v>0</v>
      </c>
      <c r="AE234">
        <v>0</v>
      </c>
      <c r="AF234" s="3" t="s">
        <v>640</v>
      </c>
    </row>
    <row r="235" spans="1:32" x14ac:dyDescent="0.35">
      <c r="A235" s="3" t="s">
        <v>608</v>
      </c>
      <c r="B235" s="3" t="s">
        <v>608</v>
      </c>
      <c r="C235" s="3" t="s">
        <v>608</v>
      </c>
      <c r="D235" s="3" t="s">
        <v>608</v>
      </c>
      <c r="E235" s="3" t="s">
        <v>608</v>
      </c>
      <c r="F235" s="3" t="s">
        <v>640</v>
      </c>
      <c r="G235" s="3" t="s">
        <v>511</v>
      </c>
      <c r="H235" s="3" t="s">
        <v>511</v>
      </c>
      <c r="I235" s="3" t="s">
        <v>640</v>
      </c>
      <c r="J235" s="3" t="s">
        <v>266</v>
      </c>
      <c r="K235" s="3" t="s">
        <v>640</v>
      </c>
      <c r="L235" s="3" t="s">
        <v>448</v>
      </c>
      <c r="M235" s="3" t="s">
        <v>14</v>
      </c>
      <c r="N235">
        <v>-100000</v>
      </c>
      <c r="O235">
        <v>106.301</v>
      </c>
      <c r="Q235">
        <v>0</v>
      </c>
      <c r="R235">
        <v>-1</v>
      </c>
      <c r="S235" s="3" t="s">
        <v>640</v>
      </c>
      <c r="T235">
        <v>0</v>
      </c>
      <c r="U235">
        <v>0</v>
      </c>
      <c r="V235">
        <v>0</v>
      </c>
      <c r="W235">
        <v>0</v>
      </c>
      <c r="X235">
        <v>91402</v>
      </c>
      <c r="Y235" s="3" t="s">
        <v>640</v>
      </c>
      <c r="Z235">
        <v>106.301</v>
      </c>
      <c r="AA235">
        <v>-100000</v>
      </c>
      <c r="AB235" s="3" t="s">
        <v>449</v>
      </c>
      <c r="AC235" s="3" t="s">
        <v>10</v>
      </c>
      <c r="AD235">
        <v>0</v>
      </c>
      <c r="AE235">
        <v>0</v>
      </c>
      <c r="AF235" s="3" t="s">
        <v>640</v>
      </c>
    </row>
    <row r="236" spans="1:32" x14ac:dyDescent="0.35">
      <c r="A236" s="3" t="s">
        <v>608</v>
      </c>
      <c r="B236" s="3" t="s">
        <v>608</v>
      </c>
      <c r="C236" s="3" t="s">
        <v>608</v>
      </c>
      <c r="D236" s="3" t="s">
        <v>608</v>
      </c>
      <c r="E236" s="3" t="s">
        <v>608</v>
      </c>
      <c r="F236" s="3" t="s">
        <v>640</v>
      </c>
      <c r="G236" s="3" t="s">
        <v>526</v>
      </c>
      <c r="H236" s="3" t="s">
        <v>526</v>
      </c>
      <c r="I236" s="3" t="s">
        <v>640</v>
      </c>
      <c r="J236" s="3" t="s">
        <v>4</v>
      </c>
      <c r="K236" s="3" t="s">
        <v>640</v>
      </c>
      <c r="L236" s="3" t="s">
        <v>448</v>
      </c>
      <c r="M236" s="3" t="s">
        <v>14</v>
      </c>
      <c r="N236">
        <v>4900000</v>
      </c>
      <c r="O236">
        <v>83.224999999999994</v>
      </c>
      <c r="Q236">
        <v>0</v>
      </c>
      <c r="R236">
        <v>34</v>
      </c>
      <c r="S236" s="3" t="s">
        <v>640</v>
      </c>
      <c r="T236">
        <v>0</v>
      </c>
      <c r="U236">
        <v>0</v>
      </c>
      <c r="V236">
        <v>0</v>
      </c>
      <c r="W236">
        <v>0</v>
      </c>
      <c r="X236">
        <v>-4083379</v>
      </c>
      <c r="Y236" s="3" t="s">
        <v>640</v>
      </c>
      <c r="Z236">
        <v>83.224999999999994</v>
      </c>
      <c r="AA236">
        <v>4900000</v>
      </c>
      <c r="AB236" s="3" t="s">
        <v>449</v>
      </c>
      <c r="AC236" s="3" t="s">
        <v>10</v>
      </c>
      <c r="AD236">
        <v>0</v>
      </c>
      <c r="AE236">
        <v>0</v>
      </c>
      <c r="AF236" s="3" t="s">
        <v>640</v>
      </c>
    </row>
    <row r="237" spans="1:32" x14ac:dyDescent="0.35">
      <c r="A237" s="3" t="s">
        <v>608</v>
      </c>
      <c r="B237" s="3" t="s">
        <v>608</v>
      </c>
      <c r="C237" s="3" t="s">
        <v>608</v>
      </c>
      <c r="D237" s="3" t="s">
        <v>608</v>
      </c>
      <c r="E237" s="3" t="s">
        <v>608</v>
      </c>
      <c r="F237" s="3" t="s">
        <v>640</v>
      </c>
      <c r="G237" s="3" t="s">
        <v>910</v>
      </c>
      <c r="H237" s="3" t="s">
        <v>910</v>
      </c>
      <c r="I237" s="3" t="s">
        <v>640</v>
      </c>
      <c r="J237" s="3" t="s">
        <v>283</v>
      </c>
      <c r="K237" s="3" t="s">
        <v>640</v>
      </c>
      <c r="L237" s="3" t="s">
        <v>448</v>
      </c>
      <c r="M237" s="3" t="s">
        <v>14</v>
      </c>
      <c r="N237">
        <v>3000000</v>
      </c>
      <c r="O237">
        <v>82.515000000000001</v>
      </c>
      <c r="Q237">
        <v>0</v>
      </c>
      <c r="R237">
        <v>-26</v>
      </c>
      <c r="S237" s="3" t="s">
        <v>640</v>
      </c>
      <c r="T237">
        <v>0</v>
      </c>
      <c r="U237">
        <v>0</v>
      </c>
      <c r="V237">
        <v>0</v>
      </c>
      <c r="W237">
        <v>0</v>
      </c>
      <c r="X237">
        <v>-2745664</v>
      </c>
      <c r="Y237" s="3" t="s">
        <v>640</v>
      </c>
      <c r="Z237">
        <v>82.515000000000001</v>
      </c>
      <c r="AA237">
        <v>3000000</v>
      </c>
      <c r="AB237" s="3" t="s">
        <v>449</v>
      </c>
      <c r="AC237" s="3" t="s">
        <v>10</v>
      </c>
      <c r="AD237">
        <v>0</v>
      </c>
      <c r="AE237">
        <v>0</v>
      </c>
      <c r="AF237" s="3" t="s">
        <v>640</v>
      </c>
    </row>
    <row r="238" spans="1:32" x14ac:dyDescent="0.35">
      <c r="A238" s="3" t="s">
        <v>608</v>
      </c>
      <c r="B238" s="3" t="s">
        <v>608</v>
      </c>
      <c r="C238" s="3" t="s">
        <v>608</v>
      </c>
      <c r="D238" s="3" t="s">
        <v>608</v>
      </c>
      <c r="E238" s="3" t="s">
        <v>608</v>
      </c>
      <c r="F238" s="3" t="s">
        <v>640</v>
      </c>
      <c r="G238" s="3" t="s">
        <v>557</v>
      </c>
      <c r="H238" s="3" t="s">
        <v>557</v>
      </c>
      <c r="I238" s="3" t="s">
        <v>640</v>
      </c>
      <c r="J238" s="3" t="s">
        <v>4</v>
      </c>
      <c r="K238" s="3" t="s">
        <v>640</v>
      </c>
      <c r="L238" s="3" t="s">
        <v>448</v>
      </c>
      <c r="M238" s="3" t="s">
        <v>14</v>
      </c>
      <c r="N238">
        <v>-400000</v>
      </c>
      <c r="O238">
        <v>98.567999999999998</v>
      </c>
      <c r="Q238">
        <v>0</v>
      </c>
      <c r="R238">
        <v>-44</v>
      </c>
      <c r="S238" s="3" t="s">
        <v>640</v>
      </c>
      <c r="T238">
        <v>0</v>
      </c>
      <c r="U238">
        <v>0</v>
      </c>
      <c r="V238">
        <v>0</v>
      </c>
      <c r="W238">
        <v>0</v>
      </c>
      <c r="X238">
        <v>396150</v>
      </c>
      <c r="Y238" s="3" t="s">
        <v>640</v>
      </c>
      <c r="Z238">
        <v>97.212999999999994</v>
      </c>
      <c r="AA238">
        <v>-1700000</v>
      </c>
      <c r="AB238" s="3" t="s">
        <v>449</v>
      </c>
      <c r="AC238" s="3" t="s">
        <v>10</v>
      </c>
      <c r="AD238">
        <v>0</v>
      </c>
      <c r="AE238">
        <v>0</v>
      </c>
      <c r="AF238" s="3" t="s">
        <v>640</v>
      </c>
    </row>
    <row r="239" spans="1:32" x14ac:dyDescent="0.35">
      <c r="A239" s="3" t="s">
        <v>608</v>
      </c>
      <c r="B239" s="3" t="s">
        <v>608</v>
      </c>
      <c r="C239" s="3" t="s">
        <v>608</v>
      </c>
      <c r="D239" s="3" t="s">
        <v>608</v>
      </c>
      <c r="E239" s="3" t="s">
        <v>608</v>
      </c>
      <c r="F239" s="3" t="s">
        <v>640</v>
      </c>
      <c r="G239" s="3" t="s">
        <v>469</v>
      </c>
      <c r="H239" s="3" t="s">
        <v>469</v>
      </c>
      <c r="I239" s="3" t="s">
        <v>640</v>
      </c>
      <c r="J239" s="3" t="s">
        <v>4</v>
      </c>
      <c r="K239" s="3" t="s">
        <v>640</v>
      </c>
      <c r="L239" s="3" t="s">
        <v>448</v>
      </c>
      <c r="M239" s="3" t="s">
        <v>14</v>
      </c>
      <c r="N239">
        <v>0</v>
      </c>
      <c r="O239">
        <v>74.784999999999997</v>
      </c>
      <c r="Q239">
        <v>0</v>
      </c>
      <c r="R239">
        <v>9</v>
      </c>
      <c r="S239" s="3" t="s">
        <v>640</v>
      </c>
      <c r="T239">
        <v>0</v>
      </c>
      <c r="U239">
        <v>0</v>
      </c>
      <c r="V239">
        <v>0</v>
      </c>
      <c r="W239">
        <v>0</v>
      </c>
      <c r="X239">
        <v>0</v>
      </c>
      <c r="Y239" s="3" t="s">
        <v>640</v>
      </c>
      <c r="Z239">
        <v>74.784999999999997</v>
      </c>
      <c r="AA239">
        <v>1400000</v>
      </c>
      <c r="AB239" s="3" t="s">
        <v>449</v>
      </c>
      <c r="AC239" s="3" t="s">
        <v>10</v>
      </c>
      <c r="AD239">
        <v>0</v>
      </c>
      <c r="AE239">
        <v>0</v>
      </c>
      <c r="AF239" s="3" t="s">
        <v>640</v>
      </c>
    </row>
    <row r="240" spans="1:32" x14ac:dyDescent="0.35">
      <c r="A240" s="3" t="s">
        <v>608</v>
      </c>
      <c r="B240" s="3" t="s">
        <v>608</v>
      </c>
      <c r="C240" s="3" t="s">
        <v>608</v>
      </c>
      <c r="D240" s="3" t="s">
        <v>608</v>
      </c>
      <c r="E240" s="3" t="s">
        <v>608</v>
      </c>
      <c r="F240" s="3" t="s">
        <v>640</v>
      </c>
      <c r="G240" s="3" t="s">
        <v>558</v>
      </c>
      <c r="H240" s="3" t="s">
        <v>558</v>
      </c>
      <c r="I240" s="3" t="s">
        <v>640</v>
      </c>
      <c r="J240" s="3" t="s">
        <v>4</v>
      </c>
      <c r="K240" s="3" t="s">
        <v>640</v>
      </c>
      <c r="L240" s="3" t="s">
        <v>448</v>
      </c>
      <c r="M240" s="3" t="s">
        <v>14</v>
      </c>
      <c r="N240">
        <v>4400000</v>
      </c>
      <c r="O240">
        <v>75.930000000000007</v>
      </c>
      <c r="Q240">
        <v>0</v>
      </c>
      <c r="R240">
        <v>23</v>
      </c>
      <c r="S240" s="3" t="s">
        <v>640</v>
      </c>
      <c r="T240">
        <v>0</v>
      </c>
      <c r="U240">
        <v>0</v>
      </c>
      <c r="V240">
        <v>0</v>
      </c>
      <c r="W240">
        <v>0</v>
      </c>
      <c r="X240">
        <v>-3340911</v>
      </c>
      <c r="Y240" s="3" t="s">
        <v>640</v>
      </c>
      <c r="Z240">
        <v>75.930000000000007</v>
      </c>
      <c r="AA240">
        <v>4400000</v>
      </c>
      <c r="AB240" s="3" t="s">
        <v>449</v>
      </c>
      <c r="AC240" s="3" t="s">
        <v>10</v>
      </c>
      <c r="AD240">
        <v>0</v>
      </c>
      <c r="AE240">
        <v>0</v>
      </c>
      <c r="AF240" s="3" t="s">
        <v>640</v>
      </c>
    </row>
    <row r="241" spans="1:32" x14ac:dyDescent="0.35">
      <c r="A241" s="3" t="s">
        <v>608</v>
      </c>
      <c r="B241" s="3" t="s">
        <v>608</v>
      </c>
      <c r="C241" s="3" t="s">
        <v>608</v>
      </c>
      <c r="D241" s="3" t="s">
        <v>608</v>
      </c>
      <c r="E241" s="3" t="s">
        <v>608</v>
      </c>
      <c r="F241" s="3" t="s">
        <v>640</v>
      </c>
      <c r="G241" s="3" t="s">
        <v>480</v>
      </c>
      <c r="H241" s="3" t="s">
        <v>480</v>
      </c>
      <c r="I241" s="3" t="s">
        <v>640</v>
      </c>
      <c r="J241" s="3" t="s">
        <v>4</v>
      </c>
      <c r="K241" s="3" t="s">
        <v>640</v>
      </c>
      <c r="L241" s="3" t="s">
        <v>448</v>
      </c>
      <c r="M241" s="3" t="s">
        <v>14</v>
      </c>
      <c r="N241">
        <v>1800000</v>
      </c>
      <c r="O241">
        <v>90.671000000000006</v>
      </c>
      <c r="Q241">
        <v>0</v>
      </c>
      <c r="R241">
        <v>11</v>
      </c>
      <c r="S241" s="3" t="s">
        <v>640</v>
      </c>
      <c r="T241">
        <v>0</v>
      </c>
      <c r="U241">
        <v>0</v>
      </c>
      <c r="V241">
        <v>0</v>
      </c>
      <c r="W241">
        <v>0</v>
      </c>
      <c r="X241">
        <v>-1632080</v>
      </c>
      <c r="Y241" s="3" t="s">
        <v>640</v>
      </c>
      <c r="Z241">
        <v>90.671000000000006</v>
      </c>
      <c r="AA241">
        <v>1800000</v>
      </c>
      <c r="AB241" s="3" t="s">
        <v>449</v>
      </c>
      <c r="AC241" s="3" t="s">
        <v>10</v>
      </c>
      <c r="AD241">
        <v>0</v>
      </c>
      <c r="AE241">
        <v>0</v>
      </c>
      <c r="AF241" s="3" t="s">
        <v>640</v>
      </c>
    </row>
    <row r="242" spans="1:32" x14ac:dyDescent="0.35">
      <c r="A242" s="3" t="s">
        <v>608</v>
      </c>
      <c r="B242" s="3" t="s">
        <v>608</v>
      </c>
      <c r="C242" s="3" t="s">
        <v>608</v>
      </c>
      <c r="D242" s="3" t="s">
        <v>608</v>
      </c>
      <c r="E242" s="3" t="s">
        <v>608</v>
      </c>
      <c r="F242" s="3" t="s">
        <v>640</v>
      </c>
      <c r="G242" s="3" t="s">
        <v>848</v>
      </c>
      <c r="H242" s="3" t="s">
        <v>848</v>
      </c>
      <c r="I242" s="3" t="s">
        <v>640</v>
      </c>
      <c r="J242" s="3" t="s">
        <v>4</v>
      </c>
      <c r="K242" s="3" t="s">
        <v>640</v>
      </c>
      <c r="L242" s="3" t="s">
        <v>448</v>
      </c>
      <c r="M242" s="3" t="s">
        <v>14</v>
      </c>
      <c r="N242">
        <v>-4006000</v>
      </c>
      <c r="O242">
        <v>99.003</v>
      </c>
      <c r="Q242">
        <v>0</v>
      </c>
      <c r="R242">
        <v>-121</v>
      </c>
      <c r="S242" s="3" t="s">
        <v>640</v>
      </c>
      <c r="T242">
        <v>0</v>
      </c>
      <c r="U242">
        <v>0</v>
      </c>
      <c r="V242">
        <v>0</v>
      </c>
      <c r="W242">
        <v>0</v>
      </c>
      <c r="X242">
        <v>3966069</v>
      </c>
      <c r="Y242" s="3" t="s">
        <v>640</v>
      </c>
      <c r="Z242">
        <v>99.003</v>
      </c>
      <c r="AA242">
        <v>-4006000</v>
      </c>
      <c r="AB242" s="3" t="s">
        <v>449</v>
      </c>
      <c r="AC242" s="3" t="s">
        <v>10</v>
      </c>
      <c r="AD242">
        <v>0</v>
      </c>
      <c r="AE242">
        <v>0</v>
      </c>
      <c r="AF242" s="3" t="s">
        <v>640</v>
      </c>
    </row>
    <row r="243" spans="1:32" x14ac:dyDescent="0.35">
      <c r="A243" s="3" t="s">
        <v>608</v>
      </c>
      <c r="B243" s="3" t="s">
        <v>608</v>
      </c>
      <c r="C243" s="3" t="s">
        <v>608</v>
      </c>
      <c r="D243" s="3" t="s">
        <v>608</v>
      </c>
      <c r="E243" s="3" t="s">
        <v>608</v>
      </c>
      <c r="F243" s="3" t="s">
        <v>640</v>
      </c>
      <c r="G243" s="3" t="s">
        <v>556</v>
      </c>
      <c r="H243" s="3" t="s">
        <v>556</v>
      </c>
      <c r="I243" s="3" t="s">
        <v>640</v>
      </c>
      <c r="J243" s="3" t="s">
        <v>4</v>
      </c>
      <c r="K243" s="3" t="s">
        <v>640</v>
      </c>
      <c r="L243" s="3" t="s">
        <v>448</v>
      </c>
      <c r="M243" s="3" t="s">
        <v>14</v>
      </c>
      <c r="N243">
        <v>-4831000</v>
      </c>
      <c r="O243">
        <v>101.974</v>
      </c>
      <c r="Q243">
        <v>0</v>
      </c>
      <c r="R243">
        <v>-135</v>
      </c>
      <c r="S243" s="3" t="s">
        <v>640</v>
      </c>
      <c r="T243">
        <v>0</v>
      </c>
      <c r="U243">
        <v>0</v>
      </c>
      <c r="V243">
        <v>0</v>
      </c>
      <c r="W243">
        <v>0</v>
      </c>
      <c r="X243">
        <v>4905557</v>
      </c>
      <c r="Y243" s="3" t="s">
        <v>640</v>
      </c>
      <c r="Z243">
        <v>101.458</v>
      </c>
      <c r="AA243">
        <v>-5031000</v>
      </c>
      <c r="AB243" s="3" t="s">
        <v>449</v>
      </c>
      <c r="AC243" s="3" t="s">
        <v>10</v>
      </c>
      <c r="AD243">
        <v>0</v>
      </c>
      <c r="AE243">
        <v>0</v>
      </c>
      <c r="AF243" s="3" t="s">
        <v>640</v>
      </c>
    </row>
    <row r="244" spans="1:32" x14ac:dyDescent="0.35">
      <c r="A244" s="3" t="s">
        <v>608</v>
      </c>
      <c r="B244" s="3" t="s">
        <v>608</v>
      </c>
      <c r="C244" s="3" t="s">
        <v>608</v>
      </c>
      <c r="D244" s="3" t="s">
        <v>608</v>
      </c>
      <c r="E244" s="3" t="s">
        <v>608</v>
      </c>
      <c r="F244" s="3" t="s">
        <v>640</v>
      </c>
      <c r="G244" s="3" t="s">
        <v>999</v>
      </c>
      <c r="H244" s="3" t="s">
        <v>999</v>
      </c>
      <c r="I244" s="3" t="s">
        <v>640</v>
      </c>
      <c r="J244" s="3" t="s">
        <v>4</v>
      </c>
      <c r="K244" s="3" t="s">
        <v>640</v>
      </c>
      <c r="L244" s="3" t="s">
        <v>448</v>
      </c>
      <c r="M244" s="3" t="s">
        <v>14</v>
      </c>
      <c r="N244">
        <v>-2500000</v>
      </c>
      <c r="O244">
        <v>88.632999999999996</v>
      </c>
      <c r="Q244">
        <v>0</v>
      </c>
      <c r="R244">
        <v>0</v>
      </c>
      <c r="S244" s="3" t="s">
        <v>640</v>
      </c>
      <c r="T244">
        <v>0</v>
      </c>
      <c r="U244">
        <v>0</v>
      </c>
      <c r="V244">
        <v>0</v>
      </c>
      <c r="W244">
        <v>0</v>
      </c>
      <c r="X244">
        <v>2215828</v>
      </c>
      <c r="Y244" s="3" t="s">
        <v>640</v>
      </c>
      <c r="Z244">
        <v>90.786000000000001</v>
      </c>
      <c r="AA244">
        <v>0</v>
      </c>
      <c r="AB244" s="3" t="s">
        <v>449</v>
      </c>
      <c r="AC244" s="3" t="s">
        <v>10</v>
      </c>
      <c r="AD244">
        <v>0</v>
      </c>
      <c r="AE244">
        <v>0</v>
      </c>
      <c r="AF244" s="3" t="s">
        <v>640</v>
      </c>
    </row>
    <row r="245" spans="1:32" x14ac:dyDescent="0.35">
      <c r="A245" s="3" t="s">
        <v>608</v>
      </c>
      <c r="B245" s="3" t="s">
        <v>608</v>
      </c>
      <c r="C245" s="3" t="s">
        <v>608</v>
      </c>
      <c r="D245" s="3" t="s">
        <v>608</v>
      </c>
      <c r="E245" s="3" t="s">
        <v>608</v>
      </c>
      <c r="F245" s="3" t="s">
        <v>640</v>
      </c>
      <c r="G245" s="3" t="s">
        <v>911</v>
      </c>
      <c r="H245" s="3" t="s">
        <v>911</v>
      </c>
      <c r="I245" s="3" t="s">
        <v>640</v>
      </c>
      <c r="J245" s="3" t="s">
        <v>283</v>
      </c>
      <c r="K245" s="3" t="s">
        <v>640</v>
      </c>
      <c r="L245" s="3" t="s">
        <v>448</v>
      </c>
      <c r="M245" s="3" t="s">
        <v>14</v>
      </c>
      <c r="N245">
        <v>1515000</v>
      </c>
      <c r="O245">
        <v>78.653000000000006</v>
      </c>
      <c r="Q245">
        <v>0</v>
      </c>
      <c r="R245">
        <v>-13</v>
      </c>
      <c r="S245" s="3" t="s">
        <v>640</v>
      </c>
      <c r="T245">
        <v>0</v>
      </c>
      <c r="U245">
        <v>0</v>
      </c>
      <c r="V245">
        <v>0</v>
      </c>
      <c r="W245">
        <v>0</v>
      </c>
      <c r="X245">
        <v>-1321679</v>
      </c>
      <c r="Y245" s="3" t="s">
        <v>640</v>
      </c>
      <c r="Z245">
        <v>78.653000000000006</v>
      </c>
      <c r="AA245">
        <v>1515000</v>
      </c>
      <c r="AB245" s="3" t="s">
        <v>449</v>
      </c>
      <c r="AC245" s="3" t="s">
        <v>10</v>
      </c>
      <c r="AD245">
        <v>0</v>
      </c>
      <c r="AE245">
        <v>0</v>
      </c>
      <c r="AF245" s="3" t="s">
        <v>640</v>
      </c>
    </row>
    <row r="246" spans="1:32" x14ac:dyDescent="0.35">
      <c r="A246" s="3" t="s">
        <v>608</v>
      </c>
      <c r="B246" s="3" t="s">
        <v>608</v>
      </c>
      <c r="C246" s="3" t="s">
        <v>608</v>
      </c>
      <c r="D246" s="3" t="s">
        <v>608</v>
      </c>
      <c r="E246" s="3" t="s">
        <v>608</v>
      </c>
      <c r="F246" s="3" t="s">
        <v>640</v>
      </c>
      <c r="G246" s="3" t="s">
        <v>591</v>
      </c>
      <c r="H246" s="3" t="s">
        <v>591</v>
      </c>
      <c r="I246" s="3" t="s">
        <v>640</v>
      </c>
      <c r="J246" s="3" t="s">
        <v>4</v>
      </c>
      <c r="K246" s="3" t="s">
        <v>640</v>
      </c>
      <c r="L246" s="3" t="s">
        <v>448</v>
      </c>
      <c r="M246" s="3" t="s">
        <v>14</v>
      </c>
      <c r="N246">
        <v>-200000</v>
      </c>
      <c r="O246">
        <v>104.68300000000001</v>
      </c>
      <c r="Q246">
        <v>0</v>
      </c>
      <c r="R246">
        <v>-6</v>
      </c>
      <c r="S246" s="3" t="s">
        <v>640</v>
      </c>
      <c r="T246">
        <v>0</v>
      </c>
      <c r="U246">
        <v>0</v>
      </c>
      <c r="V246">
        <v>0</v>
      </c>
      <c r="W246">
        <v>0</v>
      </c>
      <c r="X246">
        <v>209366</v>
      </c>
      <c r="Y246" s="3" t="s">
        <v>640</v>
      </c>
      <c r="Z246">
        <v>104.68300000000001</v>
      </c>
      <c r="AA246">
        <v>-200000</v>
      </c>
      <c r="AB246" s="3" t="s">
        <v>449</v>
      </c>
      <c r="AC246" s="3" t="s">
        <v>10</v>
      </c>
      <c r="AD246">
        <v>0</v>
      </c>
      <c r="AE246">
        <v>0</v>
      </c>
      <c r="AF246" s="3" t="s">
        <v>640</v>
      </c>
    </row>
    <row r="247" spans="1:32" x14ac:dyDescent="0.35">
      <c r="A247" s="3" t="s">
        <v>608</v>
      </c>
      <c r="B247" s="3" t="s">
        <v>608</v>
      </c>
      <c r="C247" s="3" t="s">
        <v>608</v>
      </c>
      <c r="D247" s="3" t="s">
        <v>608</v>
      </c>
      <c r="E247" s="3" t="s">
        <v>608</v>
      </c>
      <c r="F247" s="3" t="s">
        <v>640</v>
      </c>
      <c r="G247" s="3" t="s">
        <v>585</v>
      </c>
      <c r="H247" s="3" t="s">
        <v>585</v>
      </c>
      <c r="I247" s="3" t="s">
        <v>640</v>
      </c>
      <c r="J247" s="3" t="s">
        <v>4</v>
      </c>
      <c r="K247" s="3" t="s">
        <v>640</v>
      </c>
      <c r="L247" s="3" t="s">
        <v>448</v>
      </c>
      <c r="M247" s="3" t="s">
        <v>14</v>
      </c>
      <c r="N247">
        <v>-2000000</v>
      </c>
      <c r="O247">
        <v>116.19199999999999</v>
      </c>
      <c r="Q247">
        <v>0</v>
      </c>
      <c r="R247">
        <v>-61</v>
      </c>
      <c r="S247" s="3" t="s">
        <v>640</v>
      </c>
      <c r="T247">
        <v>0</v>
      </c>
      <c r="U247">
        <v>0</v>
      </c>
      <c r="V247">
        <v>0</v>
      </c>
      <c r="W247">
        <v>0</v>
      </c>
      <c r="X247">
        <v>2324963</v>
      </c>
      <c r="Y247" s="3" t="s">
        <v>640</v>
      </c>
      <c r="Z247">
        <v>116.19199999999999</v>
      </c>
      <c r="AA247">
        <v>-2000000</v>
      </c>
      <c r="AB247" s="3" t="s">
        <v>449</v>
      </c>
      <c r="AC247" s="3" t="s">
        <v>10</v>
      </c>
      <c r="AD247">
        <v>0</v>
      </c>
      <c r="AE247">
        <v>0</v>
      </c>
      <c r="AF247" s="3" t="s">
        <v>640</v>
      </c>
    </row>
    <row r="248" spans="1:32" x14ac:dyDescent="0.35">
      <c r="A248" s="3" t="s">
        <v>608</v>
      </c>
      <c r="B248" s="3" t="s">
        <v>608</v>
      </c>
      <c r="C248" s="3" t="s">
        <v>608</v>
      </c>
      <c r="D248" s="3" t="s">
        <v>608</v>
      </c>
      <c r="E248" s="3" t="s">
        <v>608</v>
      </c>
      <c r="F248" s="3" t="s">
        <v>640</v>
      </c>
      <c r="G248" s="3" t="s">
        <v>475</v>
      </c>
      <c r="H248" s="3" t="s">
        <v>475</v>
      </c>
      <c r="I248" s="3" t="s">
        <v>640</v>
      </c>
      <c r="J248" s="3" t="s">
        <v>4</v>
      </c>
      <c r="K248" s="3" t="s">
        <v>640</v>
      </c>
      <c r="L248" s="3" t="s">
        <v>448</v>
      </c>
      <c r="M248" s="3" t="s">
        <v>14</v>
      </c>
      <c r="N248">
        <v>-3900000</v>
      </c>
      <c r="O248">
        <v>105.152</v>
      </c>
      <c r="Q248">
        <v>0</v>
      </c>
      <c r="R248">
        <v>-109</v>
      </c>
      <c r="S248" s="3" t="s">
        <v>640</v>
      </c>
      <c r="T248">
        <v>0</v>
      </c>
      <c r="U248">
        <v>0</v>
      </c>
      <c r="V248">
        <v>0</v>
      </c>
      <c r="W248">
        <v>0</v>
      </c>
      <c r="X248">
        <v>4113992</v>
      </c>
      <c r="Y248" s="3" t="s">
        <v>640</v>
      </c>
      <c r="Z248">
        <v>105.152</v>
      </c>
      <c r="AA248">
        <v>-3900000</v>
      </c>
      <c r="AB248" s="3" t="s">
        <v>449</v>
      </c>
      <c r="AC248" s="3" t="s">
        <v>10</v>
      </c>
      <c r="AD248">
        <v>0</v>
      </c>
      <c r="AE248">
        <v>0</v>
      </c>
      <c r="AF248" s="3" t="s">
        <v>640</v>
      </c>
    </row>
    <row r="249" spans="1:32" x14ac:dyDescent="0.35">
      <c r="A249" s="3" t="s">
        <v>608</v>
      </c>
      <c r="B249" s="3" t="s">
        <v>608</v>
      </c>
      <c r="C249" s="3" t="s">
        <v>608</v>
      </c>
      <c r="D249" s="3" t="s">
        <v>608</v>
      </c>
      <c r="E249" s="3" t="s">
        <v>608</v>
      </c>
      <c r="F249" s="3" t="s">
        <v>640</v>
      </c>
      <c r="G249" s="3" t="s">
        <v>902</v>
      </c>
      <c r="H249" s="3" t="s">
        <v>902</v>
      </c>
      <c r="I249" s="3" t="s">
        <v>640</v>
      </c>
      <c r="J249" s="3" t="s">
        <v>4</v>
      </c>
      <c r="K249" s="3" t="s">
        <v>640</v>
      </c>
      <c r="L249" s="3" t="s">
        <v>448</v>
      </c>
      <c r="M249" s="3" t="s">
        <v>14</v>
      </c>
      <c r="N249">
        <v>-3100000</v>
      </c>
      <c r="O249">
        <v>103.645</v>
      </c>
      <c r="Q249">
        <v>0</v>
      </c>
      <c r="R249">
        <v>-85</v>
      </c>
      <c r="S249" s="3" t="s">
        <v>640</v>
      </c>
      <c r="T249">
        <v>0</v>
      </c>
      <c r="U249">
        <v>0</v>
      </c>
      <c r="V249">
        <v>0</v>
      </c>
      <c r="W249">
        <v>0</v>
      </c>
      <c r="X249">
        <v>3212994</v>
      </c>
      <c r="Y249" s="3" t="s">
        <v>640</v>
      </c>
      <c r="Z249">
        <v>103.645</v>
      </c>
      <c r="AA249">
        <v>-3100000</v>
      </c>
      <c r="AB249" s="3" t="s">
        <v>449</v>
      </c>
      <c r="AC249" s="3" t="s">
        <v>10</v>
      </c>
      <c r="AD249">
        <v>0</v>
      </c>
      <c r="AE249">
        <v>0</v>
      </c>
      <c r="AF249" s="3" t="s">
        <v>640</v>
      </c>
    </row>
    <row r="250" spans="1:32" x14ac:dyDescent="0.35">
      <c r="A250" s="3" t="s">
        <v>608</v>
      </c>
      <c r="B250" s="3" t="s">
        <v>608</v>
      </c>
      <c r="C250" s="3" t="s">
        <v>608</v>
      </c>
      <c r="D250" s="3" t="s">
        <v>608</v>
      </c>
      <c r="E250" s="3" t="s">
        <v>608</v>
      </c>
      <c r="F250" s="3" t="s">
        <v>640</v>
      </c>
      <c r="G250" s="3" t="s">
        <v>494</v>
      </c>
      <c r="H250" s="3" t="s">
        <v>494</v>
      </c>
      <c r="I250" s="3" t="s">
        <v>640</v>
      </c>
      <c r="J250" s="3" t="s">
        <v>4</v>
      </c>
      <c r="K250" s="3" t="s">
        <v>640</v>
      </c>
      <c r="L250" s="3" t="s">
        <v>448</v>
      </c>
      <c r="M250" s="3" t="s">
        <v>14</v>
      </c>
      <c r="N250">
        <v>-3400000</v>
      </c>
      <c r="O250">
        <v>121.708</v>
      </c>
      <c r="Q250">
        <v>0</v>
      </c>
      <c r="R250">
        <v>-108</v>
      </c>
      <c r="S250" s="3" t="s">
        <v>640</v>
      </c>
      <c r="T250">
        <v>0</v>
      </c>
      <c r="U250">
        <v>0</v>
      </c>
      <c r="V250">
        <v>0</v>
      </c>
      <c r="W250">
        <v>0</v>
      </c>
      <c r="X250">
        <v>4021755</v>
      </c>
      <c r="Y250" s="3" t="s">
        <v>640</v>
      </c>
      <c r="Z250">
        <v>121.708</v>
      </c>
      <c r="AA250">
        <v>-3400000</v>
      </c>
      <c r="AB250" s="3" t="s">
        <v>449</v>
      </c>
      <c r="AC250" s="3" t="s">
        <v>10</v>
      </c>
      <c r="AD250">
        <v>0</v>
      </c>
      <c r="AE250">
        <v>0</v>
      </c>
      <c r="AF250" s="3" t="s">
        <v>640</v>
      </c>
    </row>
    <row r="251" spans="1:32" x14ac:dyDescent="0.35">
      <c r="A251" s="3" t="s">
        <v>608</v>
      </c>
      <c r="B251" s="3" t="s">
        <v>608</v>
      </c>
      <c r="C251" s="3" t="s">
        <v>608</v>
      </c>
      <c r="D251" s="3" t="s">
        <v>608</v>
      </c>
      <c r="E251" s="3" t="s">
        <v>608</v>
      </c>
      <c r="F251" s="3" t="s">
        <v>640</v>
      </c>
      <c r="G251" s="3" t="s">
        <v>548</v>
      </c>
      <c r="H251" s="3" t="s">
        <v>548</v>
      </c>
      <c r="I251" s="3" t="s">
        <v>640</v>
      </c>
      <c r="J251" s="3" t="s">
        <v>266</v>
      </c>
      <c r="K251" s="3" t="s">
        <v>640</v>
      </c>
      <c r="L251" s="3" t="s">
        <v>448</v>
      </c>
      <c r="M251" s="3" t="s">
        <v>14</v>
      </c>
      <c r="N251">
        <v>-11489000</v>
      </c>
      <c r="O251">
        <v>110.62</v>
      </c>
      <c r="Q251">
        <v>0</v>
      </c>
      <c r="R251">
        <v>-106</v>
      </c>
      <c r="S251" s="3" t="s">
        <v>640</v>
      </c>
      <c r="T251">
        <v>0</v>
      </c>
      <c r="U251">
        <v>0</v>
      </c>
      <c r="V251">
        <v>0</v>
      </c>
      <c r="W251">
        <v>0</v>
      </c>
      <c r="X251">
        <v>10966897</v>
      </c>
      <c r="Y251" s="3" t="s">
        <v>640</v>
      </c>
      <c r="Z251">
        <v>110.62</v>
      </c>
      <c r="AA251">
        <v>-11489000</v>
      </c>
      <c r="AB251" s="3" t="s">
        <v>449</v>
      </c>
      <c r="AC251" s="3" t="s">
        <v>10</v>
      </c>
      <c r="AD251">
        <v>0</v>
      </c>
      <c r="AE251">
        <v>0</v>
      </c>
      <c r="AF251" s="3" t="s">
        <v>640</v>
      </c>
    </row>
    <row r="252" spans="1:32" x14ac:dyDescent="0.35">
      <c r="A252" s="3" t="s">
        <v>608</v>
      </c>
      <c r="B252" s="3" t="s">
        <v>608</v>
      </c>
      <c r="C252" s="3" t="s">
        <v>608</v>
      </c>
      <c r="D252" s="3" t="s">
        <v>608</v>
      </c>
      <c r="E252" s="3" t="s">
        <v>608</v>
      </c>
      <c r="F252" s="3" t="s">
        <v>640</v>
      </c>
      <c r="G252" s="3" t="s">
        <v>559</v>
      </c>
      <c r="H252" s="3" t="s">
        <v>559</v>
      </c>
      <c r="I252" s="3" t="s">
        <v>640</v>
      </c>
      <c r="J252" s="3" t="s">
        <v>266</v>
      </c>
      <c r="K252" s="3" t="s">
        <v>640</v>
      </c>
      <c r="L252" s="3" t="s">
        <v>448</v>
      </c>
      <c r="M252" s="3" t="s">
        <v>14</v>
      </c>
      <c r="N252">
        <v>900000</v>
      </c>
      <c r="O252">
        <v>80.483000000000004</v>
      </c>
      <c r="Q252">
        <v>0</v>
      </c>
      <c r="R252">
        <v>-7</v>
      </c>
      <c r="S252" s="3" t="s">
        <v>640</v>
      </c>
      <c r="T252">
        <v>0</v>
      </c>
      <c r="U252">
        <v>0</v>
      </c>
      <c r="V252">
        <v>0</v>
      </c>
      <c r="W252">
        <v>0</v>
      </c>
      <c r="X252">
        <v>-622825</v>
      </c>
      <c r="Y252" s="3" t="s">
        <v>640</v>
      </c>
      <c r="Z252">
        <v>80.483000000000004</v>
      </c>
      <c r="AA252">
        <v>900000</v>
      </c>
      <c r="AB252" s="3" t="s">
        <v>449</v>
      </c>
      <c r="AC252" s="3" t="s">
        <v>10</v>
      </c>
      <c r="AD252">
        <v>0</v>
      </c>
      <c r="AE252">
        <v>0</v>
      </c>
      <c r="AF252" s="3" t="s">
        <v>640</v>
      </c>
    </row>
    <row r="253" spans="1:32" x14ac:dyDescent="0.35">
      <c r="A253" s="3" t="s">
        <v>608</v>
      </c>
      <c r="B253" s="3" t="s">
        <v>608</v>
      </c>
      <c r="C253" s="3" t="s">
        <v>608</v>
      </c>
      <c r="D253" s="3" t="s">
        <v>608</v>
      </c>
      <c r="E253" s="3" t="s">
        <v>608</v>
      </c>
      <c r="F253" s="3" t="s">
        <v>640</v>
      </c>
      <c r="G253" s="3" t="s">
        <v>951</v>
      </c>
      <c r="H253" s="3" t="s">
        <v>951</v>
      </c>
      <c r="I253" s="3" t="s">
        <v>640</v>
      </c>
      <c r="J253" s="3" t="s">
        <v>266</v>
      </c>
      <c r="K253" s="3" t="s">
        <v>640</v>
      </c>
      <c r="L253" s="3" t="s">
        <v>448</v>
      </c>
      <c r="M253" s="3" t="s">
        <v>14</v>
      </c>
      <c r="N253">
        <v>-875000</v>
      </c>
      <c r="O253">
        <v>107.351</v>
      </c>
      <c r="Q253">
        <v>0</v>
      </c>
      <c r="R253">
        <v>-8</v>
      </c>
      <c r="S253" s="3" t="s">
        <v>640</v>
      </c>
      <c r="T253">
        <v>0</v>
      </c>
      <c r="U253">
        <v>0</v>
      </c>
      <c r="V253">
        <v>0</v>
      </c>
      <c r="W253">
        <v>0</v>
      </c>
      <c r="X253">
        <v>807669</v>
      </c>
      <c r="Y253" s="3" t="s">
        <v>640</v>
      </c>
      <c r="Z253">
        <v>107.351</v>
      </c>
      <c r="AA253">
        <v>-875000</v>
      </c>
      <c r="AB253" s="3" t="s">
        <v>449</v>
      </c>
      <c r="AC253" s="3" t="s">
        <v>10</v>
      </c>
      <c r="AD253">
        <v>0</v>
      </c>
      <c r="AE253">
        <v>0</v>
      </c>
      <c r="AF253" s="3" t="s">
        <v>640</v>
      </c>
    </row>
    <row r="254" spans="1:32" x14ac:dyDescent="0.35">
      <c r="A254" s="3" t="s">
        <v>608</v>
      </c>
      <c r="B254" s="3" t="s">
        <v>608</v>
      </c>
      <c r="C254" s="3" t="s">
        <v>608</v>
      </c>
      <c r="D254" s="3" t="s">
        <v>608</v>
      </c>
      <c r="E254" s="3" t="s">
        <v>608</v>
      </c>
      <c r="F254" s="3" t="s">
        <v>640</v>
      </c>
      <c r="G254" s="3" t="s">
        <v>952</v>
      </c>
      <c r="H254" s="3" t="s">
        <v>952</v>
      </c>
      <c r="I254" s="3" t="s">
        <v>640</v>
      </c>
      <c r="J254" s="3" t="s">
        <v>4</v>
      </c>
      <c r="K254" s="3" t="s">
        <v>640</v>
      </c>
      <c r="L254" s="3" t="s">
        <v>448</v>
      </c>
      <c r="M254" s="3" t="s">
        <v>14</v>
      </c>
      <c r="N254">
        <v>-2500000</v>
      </c>
      <c r="O254">
        <v>104.05200000000001</v>
      </c>
      <c r="Q254">
        <v>0</v>
      </c>
      <c r="R254">
        <v>0</v>
      </c>
      <c r="S254" s="3" t="s">
        <v>640</v>
      </c>
      <c r="T254">
        <v>0</v>
      </c>
      <c r="U254">
        <v>0</v>
      </c>
      <c r="V254">
        <v>0</v>
      </c>
      <c r="W254">
        <v>0</v>
      </c>
      <c r="X254">
        <v>2601312</v>
      </c>
      <c r="Y254" s="3" t="s">
        <v>640</v>
      </c>
      <c r="Z254">
        <v>104.05200000000001</v>
      </c>
      <c r="AA254">
        <v>-2500000</v>
      </c>
      <c r="AB254" s="3" t="s">
        <v>449</v>
      </c>
      <c r="AC254" s="3" t="s">
        <v>10</v>
      </c>
      <c r="AD254">
        <v>0</v>
      </c>
      <c r="AE254">
        <v>0</v>
      </c>
      <c r="AF254" s="3" t="s">
        <v>640</v>
      </c>
    </row>
    <row r="255" spans="1:32" x14ac:dyDescent="0.35">
      <c r="A255" s="3" t="s">
        <v>608</v>
      </c>
      <c r="B255" s="3" t="s">
        <v>608</v>
      </c>
      <c r="C255" s="3" t="s">
        <v>608</v>
      </c>
      <c r="D255" s="3" t="s">
        <v>608</v>
      </c>
      <c r="E255" s="3" t="s">
        <v>608</v>
      </c>
      <c r="F255" s="3" t="s">
        <v>640</v>
      </c>
      <c r="G255" s="3" t="s">
        <v>477</v>
      </c>
      <c r="H255" s="3" t="s">
        <v>477</v>
      </c>
      <c r="I255" s="3" t="s">
        <v>640</v>
      </c>
      <c r="J255" s="3" t="s">
        <v>283</v>
      </c>
      <c r="K255" s="3" t="s">
        <v>640</v>
      </c>
      <c r="L255" s="3" t="s">
        <v>448</v>
      </c>
      <c r="M255" s="3" t="s">
        <v>14</v>
      </c>
      <c r="N255">
        <v>-1000000</v>
      </c>
      <c r="O255">
        <v>109.991</v>
      </c>
      <c r="Q255">
        <v>0</v>
      </c>
      <c r="R255">
        <v>-13</v>
      </c>
      <c r="S255" s="3" t="s">
        <v>640</v>
      </c>
      <c r="T255">
        <v>0</v>
      </c>
      <c r="U255">
        <v>0</v>
      </c>
      <c r="V255">
        <v>0</v>
      </c>
      <c r="W255">
        <v>0</v>
      </c>
      <c r="X255">
        <v>1212890</v>
      </c>
      <c r="Y255" s="3" t="s">
        <v>640</v>
      </c>
      <c r="Z255">
        <v>109.991</v>
      </c>
      <c r="AA255">
        <v>-1000000</v>
      </c>
      <c r="AB255" s="3" t="s">
        <v>449</v>
      </c>
      <c r="AC255" s="3" t="s">
        <v>10</v>
      </c>
      <c r="AD255">
        <v>0</v>
      </c>
      <c r="AE255">
        <v>0</v>
      </c>
      <c r="AF255" s="3" t="s">
        <v>640</v>
      </c>
    </row>
    <row r="256" spans="1:32" x14ac:dyDescent="0.35">
      <c r="A256" s="3" t="s">
        <v>608</v>
      </c>
      <c r="B256" s="3" t="s">
        <v>608</v>
      </c>
      <c r="C256" s="3" t="s">
        <v>608</v>
      </c>
      <c r="D256" s="3" t="s">
        <v>608</v>
      </c>
      <c r="E256" s="3" t="s">
        <v>608</v>
      </c>
      <c r="F256" s="3" t="s">
        <v>640</v>
      </c>
      <c r="G256" s="3" t="s">
        <v>447</v>
      </c>
      <c r="H256" s="3" t="s">
        <v>447</v>
      </c>
      <c r="I256" s="3" t="s">
        <v>640</v>
      </c>
      <c r="J256" s="3" t="s">
        <v>4</v>
      </c>
      <c r="K256" s="3" t="s">
        <v>640</v>
      </c>
      <c r="L256" s="3" t="s">
        <v>448</v>
      </c>
      <c r="M256" s="3" t="s">
        <v>14</v>
      </c>
      <c r="N256">
        <v>-500000</v>
      </c>
      <c r="O256">
        <v>112.52200000000001</v>
      </c>
      <c r="Q256">
        <v>0</v>
      </c>
      <c r="R256">
        <v>0</v>
      </c>
      <c r="S256" s="3" t="s">
        <v>640</v>
      </c>
      <c r="T256">
        <v>0</v>
      </c>
      <c r="U256">
        <v>0</v>
      </c>
      <c r="V256">
        <v>0</v>
      </c>
      <c r="W256">
        <v>0</v>
      </c>
      <c r="X256">
        <v>562609</v>
      </c>
      <c r="Y256" s="3" t="s">
        <v>640</v>
      </c>
      <c r="Z256">
        <v>112.919</v>
      </c>
      <c r="AA256">
        <v>0</v>
      </c>
      <c r="AB256" s="3" t="s">
        <v>449</v>
      </c>
      <c r="AC256" s="3" t="s">
        <v>10</v>
      </c>
      <c r="AD256">
        <v>0</v>
      </c>
      <c r="AE256">
        <v>0</v>
      </c>
      <c r="AF256" s="3" t="s">
        <v>640</v>
      </c>
    </row>
    <row r="257" spans="1:32" x14ac:dyDescent="0.35">
      <c r="A257" s="3" t="s">
        <v>608</v>
      </c>
      <c r="B257" s="3" t="s">
        <v>608</v>
      </c>
      <c r="C257" s="3" t="s">
        <v>608</v>
      </c>
      <c r="D257" s="3" t="s">
        <v>608</v>
      </c>
      <c r="E257" s="3" t="s">
        <v>608</v>
      </c>
      <c r="F257" s="3" t="s">
        <v>640</v>
      </c>
      <c r="G257" s="3" t="s">
        <v>461</v>
      </c>
      <c r="H257" s="3" t="s">
        <v>461</v>
      </c>
      <c r="I257" s="3" t="s">
        <v>640</v>
      </c>
      <c r="J257" s="3" t="s">
        <v>266</v>
      </c>
      <c r="K257" s="3" t="s">
        <v>640</v>
      </c>
      <c r="L257" s="3" t="s">
        <v>448</v>
      </c>
      <c r="M257" s="3" t="s">
        <v>14</v>
      </c>
      <c r="N257">
        <v>-5630000</v>
      </c>
      <c r="O257">
        <v>121.64100000000001</v>
      </c>
      <c r="Q257">
        <v>0</v>
      </c>
      <c r="R257">
        <v>-57</v>
      </c>
      <c r="S257" s="3" t="s">
        <v>640</v>
      </c>
      <c r="T257">
        <v>0</v>
      </c>
      <c r="U257">
        <v>0</v>
      </c>
      <c r="V257">
        <v>0</v>
      </c>
      <c r="W257">
        <v>0</v>
      </c>
      <c r="X257">
        <v>5888538</v>
      </c>
      <c r="Y257" s="3" t="s">
        <v>640</v>
      </c>
      <c r="Z257">
        <v>121.64100000000001</v>
      </c>
      <c r="AA257">
        <v>-5630000</v>
      </c>
      <c r="AB257" s="3" t="s">
        <v>449</v>
      </c>
      <c r="AC257" s="3" t="s">
        <v>10</v>
      </c>
      <c r="AD257">
        <v>0</v>
      </c>
      <c r="AE257">
        <v>0</v>
      </c>
      <c r="AF257" s="3" t="s">
        <v>640</v>
      </c>
    </row>
    <row r="258" spans="1:32" x14ac:dyDescent="0.35">
      <c r="A258" s="3" t="s">
        <v>608</v>
      </c>
      <c r="B258" s="3" t="s">
        <v>608</v>
      </c>
      <c r="C258" s="3" t="s">
        <v>608</v>
      </c>
      <c r="D258" s="3" t="s">
        <v>608</v>
      </c>
      <c r="E258" s="3" t="s">
        <v>608</v>
      </c>
      <c r="F258" s="3" t="s">
        <v>640</v>
      </c>
      <c r="G258" s="3" t="s">
        <v>462</v>
      </c>
      <c r="H258" s="3" t="s">
        <v>462</v>
      </c>
      <c r="I258" s="3" t="s">
        <v>640</v>
      </c>
      <c r="J258" s="3" t="s">
        <v>4</v>
      </c>
      <c r="K258" s="3" t="s">
        <v>640</v>
      </c>
      <c r="L258" s="3" t="s">
        <v>448</v>
      </c>
      <c r="M258" s="3" t="s">
        <v>14</v>
      </c>
      <c r="N258">
        <v>-200000</v>
      </c>
      <c r="O258">
        <v>104.22499999999999</v>
      </c>
      <c r="Q258">
        <v>0</v>
      </c>
      <c r="R258">
        <v>-6</v>
      </c>
      <c r="S258" s="3" t="s">
        <v>640</v>
      </c>
      <c r="T258">
        <v>0</v>
      </c>
      <c r="U258">
        <v>0</v>
      </c>
      <c r="V258">
        <v>0</v>
      </c>
      <c r="W258">
        <v>0</v>
      </c>
      <c r="X258">
        <v>208450</v>
      </c>
      <c r="Y258" s="3" t="s">
        <v>640</v>
      </c>
      <c r="Z258">
        <v>104.22499999999999</v>
      </c>
      <c r="AA258">
        <v>-200000</v>
      </c>
      <c r="AB258" s="3" t="s">
        <v>449</v>
      </c>
      <c r="AC258" s="3" t="s">
        <v>10</v>
      </c>
      <c r="AD258">
        <v>0</v>
      </c>
      <c r="AE258">
        <v>0</v>
      </c>
      <c r="AF258" s="3" t="s">
        <v>640</v>
      </c>
    </row>
    <row r="259" spans="1:32" x14ac:dyDescent="0.35">
      <c r="A259" s="3" t="s">
        <v>608</v>
      </c>
      <c r="B259" s="3" t="s">
        <v>608</v>
      </c>
      <c r="C259" s="3" t="s">
        <v>608</v>
      </c>
      <c r="D259" s="3" t="s">
        <v>608</v>
      </c>
      <c r="E259" s="3" t="s">
        <v>608</v>
      </c>
      <c r="F259" s="3" t="s">
        <v>640</v>
      </c>
      <c r="G259" s="3" t="s">
        <v>849</v>
      </c>
      <c r="H259" s="3" t="s">
        <v>849</v>
      </c>
      <c r="I259" s="3" t="s">
        <v>640</v>
      </c>
      <c r="J259" s="3" t="s">
        <v>4</v>
      </c>
      <c r="K259" s="3" t="s">
        <v>640</v>
      </c>
      <c r="L259" s="3" t="s">
        <v>448</v>
      </c>
      <c r="M259" s="3" t="s">
        <v>14</v>
      </c>
      <c r="N259">
        <v>-922000</v>
      </c>
      <c r="O259">
        <v>133.75</v>
      </c>
      <c r="Q259">
        <v>0</v>
      </c>
      <c r="R259">
        <v>-89</v>
      </c>
      <c r="S259" s="3" t="s">
        <v>640</v>
      </c>
      <c r="T259">
        <v>0</v>
      </c>
      <c r="U259">
        <v>0</v>
      </c>
      <c r="V259">
        <v>0</v>
      </c>
      <c r="W259">
        <v>0</v>
      </c>
      <c r="X259">
        <v>1233175</v>
      </c>
      <c r="Y259" s="3" t="s">
        <v>640</v>
      </c>
      <c r="Z259">
        <v>133.75</v>
      </c>
      <c r="AA259">
        <v>-1922000</v>
      </c>
      <c r="AB259" s="3" t="s">
        <v>449</v>
      </c>
      <c r="AC259" s="3" t="s">
        <v>10</v>
      </c>
      <c r="AD259">
        <v>0</v>
      </c>
      <c r="AE259">
        <v>0</v>
      </c>
      <c r="AF259" s="3" t="s">
        <v>640</v>
      </c>
    </row>
    <row r="260" spans="1:32" x14ac:dyDescent="0.35">
      <c r="A260" s="3" t="s">
        <v>608</v>
      </c>
      <c r="B260" s="3" t="s">
        <v>608</v>
      </c>
      <c r="C260" s="3" t="s">
        <v>608</v>
      </c>
      <c r="D260" s="3" t="s">
        <v>608</v>
      </c>
      <c r="E260" s="3" t="s">
        <v>608</v>
      </c>
      <c r="F260" s="3" t="s">
        <v>640</v>
      </c>
      <c r="G260" s="3" t="s">
        <v>554</v>
      </c>
      <c r="H260" s="3" t="s">
        <v>554</v>
      </c>
      <c r="I260" s="3" t="s">
        <v>640</v>
      </c>
      <c r="J260" s="3" t="s">
        <v>4</v>
      </c>
      <c r="K260" s="3" t="s">
        <v>640</v>
      </c>
      <c r="L260" s="3" t="s">
        <v>448</v>
      </c>
      <c r="M260" s="3" t="s">
        <v>14</v>
      </c>
      <c r="N260">
        <v>-3200000</v>
      </c>
      <c r="O260">
        <v>104.14100000000001</v>
      </c>
      <c r="Q260">
        <v>0</v>
      </c>
      <c r="R260">
        <v>-88</v>
      </c>
      <c r="S260" s="3" t="s">
        <v>640</v>
      </c>
      <c r="T260">
        <v>0</v>
      </c>
      <c r="U260">
        <v>0</v>
      </c>
      <c r="V260">
        <v>0</v>
      </c>
      <c r="W260">
        <v>0</v>
      </c>
      <c r="X260">
        <v>3331154</v>
      </c>
      <c r="Y260" s="3" t="s">
        <v>640</v>
      </c>
      <c r="Z260">
        <v>104.14100000000001</v>
      </c>
      <c r="AA260">
        <v>-3200000</v>
      </c>
      <c r="AB260" s="3" t="s">
        <v>449</v>
      </c>
      <c r="AC260" s="3" t="s">
        <v>10</v>
      </c>
      <c r="AD260">
        <v>0</v>
      </c>
      <c r="AE260">
        <v>0</v>
      </c>
      <c r="AF260" s="3" t="s">
        <v>640</v>
      </c>
    </row>
    <row r="261" spans="1:32" x14ac:dyDescent="0.35">
      <c r="A261" s="3" t="s">
        <v>608</v>
      </c>
      <c r="B261" s="3" t="s">
        <v>608</v>
      </c>
      <c r="C261" s="3" t="s">
        <v>608</v>
      </c>
      <c r="D261" s="3" t="s">
        <v>608</v>
      </c>
      <c r="E261" s="3" t="s">
        <v>608</v>
      </c>
      <c r="F261" s="3" t="s">
        <v>640</v>
      </c>
      <c r="G261" s="3" t="s">
        <v>470</v>
      </c>
      <c r="H261" s="3" t="s">
        <v>470</v>
      </c>
      <c r="I261" s="3" t="s">
        <v>640</v>
      </c>
      <c r="J261" s="3" t="s">
        <v>4</v>
      </c>
      <c r="K261" s="3" t="s">
        <v>640</v>
      </c>
      <c r="L261" s="3" t="s">
        <v>448</v>
      </c>
      <c r="M261" s="3" t="s">
        <v>14</v>
      </c>
      <c r="N261">
        <v>12558000</v>
      </c>
      <c r="O261">
        <v>76.506</v>
      </c>
      <c r="Q261">
        <v>0</v>
      </c>
      <c r="R261">
        <v>67</v>
      </c>
      <c r="S261" s="3" t="s">
        <v>640</v>
      </c>
      <c r="T261">
        <v>0</v>
      </c>
      <c r="U261">
        <v>0</v>
      </c>
      <c r="V261">
        <v>0</v>
      </c>
      <c r="W261">
        <v>0</v>
      </c>
      <c r="X261">
        <v>-9618334</v>
      </c>
      <c r="Y261" s="3" t="s">
        <v>640</v>
      </c>
      <c r="Z261">
        <v>76.506</v>
      </c>
      <c r="AA261">
        <v>12558000</v>
      </c>
      <c r="AB261" s="3" t="s">
        <v>449</v>
      </c>
      <c r="AC261" s="3" t="s">
        <v>10</v>
      </c>
      <c r="AD261">
        <v>0</v>
      </c>
      <c r="AE261">
        <v>0</v>
      </c>
      <c r="AF261" s="3" t="s">
        <v>640</v>
      </c>
    </row>
    <row r="262" spans="1:32" x14ac:dyDescent="0.35">
      <c r="A262" s="3" t="s">
        <v>608</v>
      </c>
      <c r="B262" s="3" t="s">
        <v>608</v>
      </c>
      <c r="C262" s="3" t="s">
        <v>608</v>
      </c>
      <c r="D262" s="3" t="s">
        <v>608</v>
      </c>
      <c r="E262" s="3" t="s">
        <v>608</v>
      </c>
      <c r="F262" s="3" t="s">
        <v>640</v>
      </c>
      <c r="G262" s="3" t="s">
        <v>490</v>
      </c>
      <c r="H262" s="3" t="s">
        <v>490</v>
      </c>
      <c r="I262" s="3" t="s">
        <v>640</v>
      </c>
      <c r="J262" s="3" t="s">
        <v>283</v>
      </c>
      <c r="K262" s="3" t="s">
        <v>640</v>
      </c>
      <c r="L262" s="3" t="s">
        <v>448</v>
      </c>
      <c r="M262" s="3" t="s">
        <v>14</v>
      </c>
      <c r="N262">
        <v>0</v>
      </c>
      <c r="O262">
        <v>79.870999999999995</v>
      </c>
      <c r="Q262">
        <v>0</v>
      </c>
      <c r="R262">
        <v>0</v>
      </c>
      <c r="S262" s="3" t="s">
        <v>640</v>
      </c>
      <c r="T262">
        <v>0</v>
      </c>
      <c r="U262">
        <v>0</v>
      </c>
      <c r="V262">
        <v>0</v>
      </c>
      <c r="W262">
        <v>0</v>
      </c>
      <c r="X262">
        <v>0</v>
      </c>
      <c r="Y262" s="3" t="s">
        <v>640</v>
      </c>
      <c r="Z262">
        <v>79.870999999999995</v>
      </c>
      <c r="AA262">
        <v>0</v>
      </c>
      <c r="AB262" s="3" t="s">
        <v>449</v>
      </c>
      <c r="AC262" s="3" t="s">
        <v>10</v>
      </c>
      <c r="AD262">
        <v>0</v>
      </c>
      <c r="AE262">
        <v>0</v>
      </c>
      <c r="AF262" s="3" t="s">
        <v>640</v>
      </c>
    </row>
    <row r="263" spans="1:32" x14ac:dyDescent="0.35">
      <c r="A263" s="3" t="s">
        <v>608</v>
      </c>
      <c r="B263" s="3" t="s">
        <v>608</v>
      </c>
      <c r="C263" s="3" t="s">
        <v>608</v>
      </c>
      <c r="D263" s="3" t="s">
        <v>608</v>
      </c>
      <c r="E263" s="3" t="s">
        <v>608</v>
      </c>
      <c r="F263" s="3" t="s">
        <v>640</v>
      </c>
      <c r="G263" s="3" t="s">
        <v>537</v>
      </c>
      <c r="H263" s="3" t="s">
        <v>537</v>
      </c>
      <c r="I263" s="3" t="s">
        <v>640</v>
      </c>
      <c r="J263" s="3" t="s">
        <v>4</v>
      </c>
      <c r="K263" s="3" t="s">
        <v>640</v>
      </c>
      <c r="L263" s="3" t="s">
        <v>448</v>
      </c>
      <c r="M263" s="3" t="s">
        <v>14</v>
      </c>
      <c r="N263">
        <v>-1000000</v>
      </c>
      <c r="O263">
        <v>103</v>
      </c>
      <c r="Q263">
        <v>0</v>
      </c>
      <c r="R263">
        <v>-27</v>
      </c>
      <c r="S263" s="3" t="s">
        <v>640</v>
      </c>
      <c r="T263">
        <v>0</v>
      </c>
      <c r="U263">
        <v>0</v>
      </c>
      <c r="V263">
        <v>0</v>
      </c>
      <c r="W263">
        <v>0</v>
      </c>
      <c r="X263">
        <v>1030004</v>
      </c>
      <c r="Y263" s="3" t="s">
        <v>640</v>
      </c>
      <c r="Z263">
        <v>103</v>
      </c>
      <c r="AA263">
        <v>-1000000</v>
      </c>
      <c r="AB263" s="3" t="s">
        <v>449</v>
      </c>
      <c r="AC263" s="3" t="s">
        <v>10</v>
      </c>
      <c r="AD263">
        <v>0</v>
      </c>
      <c r="AE263">
        <v>0</v>
      </c>
      <c r="AF263" s="3" t="s">
        <v>640</v>
      </c>
    </row>
    <row r="264" spans="1:32" x14ac:dyDescent="0.35">
      <c r="A264" s="3" t="s">
        <v>608</v>
      </c>
      <c r="B264" s="3" t="s">
        <v>608</v>
      </c>
      <c r="C264" s="3" t="s">
        <v>608</v>
      </c>
      <c r="D264" s="3" t="s">
        <v>608</v>
      </c>
      <c r="E264" s="3" t="s">
        <v>608</v>
      </c>
      <c r="F264" s="3" t="s">
        <v>640</v>
      </c>
      <c r="G264" s="3" t="s">
        <v>457</v>
      </c>
      <c r="H264" s="3" t="s">
        <v>457</v>
      </c>
      <c r="I264" s="3" t="s">
        <v>640</v>
      </c>
      <c r="J264" s="3" t="s">
        <v>4</v>
      </c>
      <c r="K264" s="3" t="s">
        <v>640</v>
      </c>
      <c r="L264" s="3" t="s">
        <v>448</v>
      </c>
      <c r="M264" s="3" t="s">
        <v>14</v>
      </c>
      <c r="N264">
        <v>4784000</v>
      </c>
      <c r="O264">
        <v>90.385000000000005</v>
      </c>
      <c r="Q264">
        <v>0</v>
      </c>
      <c r="R264">
        <v>30</v>
      </c>
      <c r="S264" s="3" t="s">
        <v>640</v>
      </c>
      <c r="T264">
        <v>0</v>
      </c>
      <c r="U264">
        <v>0</v>
      </c>
      <c r="V264">
        <v>0</v>
      </c>
      <c r="W264">
        <v>0</v>
      </c>
      <c r="X264">
        <v>-4323997</v>
      </c>
      <c r="Y264" s="3" t="s">
        <v>640</v>
      </c>
      <c r="Z264">
        <v>90.385000000000005</v>
      </c>
      <c r="AA264">
        <v>4784000</v>
      </c>
      <c r="AB264" s="3" t="s">
        <v>449</v>
      </c>
      <c r="AC264" s="3" t="s">
        <v>10</v>
      </c>
      <c r="AD264">
        <v>0</v>
      </c>
      <c r="AE264">
        <v>0</v>
      </c>
      <c r="AF264" s="3" t="s">
        <v>640</v>
      </c>
    </row>
    <row r="265" spans="1:32" x14ac:dyDescent="0.35">
      <c r="A265" s="3" t="s">
        <v>608</v>
      </c>
      <c r="B265" s="3" t="s">
        <v>608</v>
      </c>
      <c r="C265" s="3" t="s">
        <v>608</v>
      </c>
      <c r="D265" s="3" t="s">
        <v>608</v>
      </c>
      <c r="E265" s="3" t="s">
        <v>608</v>
      </c>
      <c r="F265" s="3" t="s">
        <v>640</v>
      </c>
      <c r="G265" s="3" t="s">
        <v>460</v>
      </c>
      <c r="H265" s="3" t="s">
        <v>460</v>
      </c>
      <c r="I265" s="3" t="s">
        <v>640</v>
      </c>
      <c r="J265" s="3" t="s">
        <v>4</v>
      </c>
      <c r="K265" s="3" t="s">
        <v>640</v>
      </c>
      <c r="L265" s="3" t="s">
        <v>448</v>
      </c>
      <c r="M265" s="3" t="s">
        <v>14</v>
      </c>
      <c r="N265">
        <v>1000000</v>
      </c>
      <c r="O265">
        <v>89.230999999999995</v>
      </c>
      <c r="Q265">
        <v>0</v>
      </c>
      <c r="R265">
        <v>28</v>
      </c>
      <c r="S265" s="3" t="s">
        <v>640</v>
      </c>
      <c r="T265">
        <v>0</v>
      </c>
      <c r="U265">
        <v>0</v>
      </c>
      <c r="V265">
        <v>0</v>
      </c>
      <c r="W265">
        <v>0</v>
      </c>
      <c r="X265">
        <v>-851758</v>
      </c>
      <c r="Y265" s="3" t="s">
        <v>640</v>
      </c>
      <c r="Z265">
        <v>89.230999999999995</v>
      </c>
      <c r="AA265">
        <v>4300000</v>
      </c>
      <c r="AB265" s="3" t="s">
        <v>449</v>
      </c>
      <c r="AC265" s="3" t="s">
        <v>10</v>
      </c>
      <c r="AD265">
        <v>0</v>
      </c>
      <c r="AE265">
        <v>0</v>
      </c>
      <c r="AF265" s="3" t="s">
        <v>640</v>
      </c>
    </row>
    <row r="266" spans="1:32" x14ac:dyDescent="0.35">
      <c r="A266" s="3" t="s">
        <v>608</v>
      </c>
      <c r="B266" s="3" t="s">
        <v>608</v>
      </c>
      <c r="C266" s="3" t="s">
        <v>608</v>
      </c>
      <c r="D266" s="3" t="s">
        <v>608</v>
      </c>
      <c r="E266" s="3" t="s">
        <v>608</v>
      </c>
      <c r="F266" s="3" t="s">
        <v>640</v>
      </c>
      <c r="G266" s="3" t="s">
        <v>463</v>
      </c>
      <c r="H266" s="3" t="s">
        <v>463</v>
      </c>
      <c r="I266" s="3" t="s">
        <v>640</v>
      </c>
      <c r="J266" s="3" t="s">
        <v>4</v>
      </c>
      <c r="K266" s="3" t="s">
        <v>640</v>
      </c>
      <c r="L266" s="3" t="s">
        <v>448</v>
      </c>
      <c r="M266" s="3" t="s">
        <v>14</v>
      </c>
      <c r="N266">
        <v>1500000</v>
      </c>
      <c r="O266">
        <v>91.61</v>
      </c>
      <c r="Q266">
        <v>0</v>
      </c>
      <c r="R266">
        <v>10</v>
      </c>
      <c r="S266" s="3" t="s">
        <v>640</v>
      </c>
      <c r="T266">
        <v>0</v>
      </c>
      <c r="U266">
        <v>0</v>
      </c>
      <c r="V266">
        <v>0</v>
      </c>
      <c r="W266">
        <v>0</v>
      </c>
      <c r="X266">
        <v>-1374149</v>
      </c>
      <c r="Y266" s="3" t="s">
        <v>640</v>
      </c>
      <c r="Z266">
        <v>91.61</v>
      </c>
      <c r="AA266">
        <v>1500000</v>
      </c>
      <c r="AB266" s="3" t="s">
        <v>449</v>
      </c>
      <c r="AC266" s="3" t="s">
        <v>10</v>
      </c>
      <c r="AD266">
        <v>0</v>
      </c>
      <c r="AE266">
        <v>0</v>
      </c>
      <c r="AF266" s="3" t="s">
        <v>640</v>
      </c>
    </row>
    <row r="267" spans="1:32" x14ac:dyDescent="0.35">
      <c r="A267" s="3" t="s">
        <v>608</v>
      </c>
      <c r="B267" s="3" t="s">
        <v>608</v>
      </c>
      <c r="C267" s="3" t="s">
        <v>608</v>
      </c>
      <c r="D267" s="3" t="s">
        <v>608</v>
      </c>
      <c r="E267" s="3" t="s">
        <v>608</v>
      </c>
      <c r="F267" s="3" t="s">
        <v>640</v>
      </c>
      <c r="G267" s="3" t="s">
        <v>458</v>
      </c>
      <c r="H267" s="3" t="s">
        <v>458</v>
      </c>
      <c r="I267" s="3" t="s">
        <v>640</v>
      </c>
      <c r="J267" s="3" t="s">
        <v>283</v>
      </c>
      <c r="K267" s="3" t="s">
        <v>640</v>
      </c>
      <c r="L267" s="3" t="s">
        <v>448</v>
      </c>
      <c r="M267" s="3" t="s">
        <v>14</v>
      </c>
      <c r="N267">
        <v>-200000</v>
      </c>
      <c r="O267">
        <v>87.355000000000004</v>
      </c>
      <c r="Q267">
        <v>0</v>
      </c>
      <c r="R267">
        <v>-1</v>
      </c>
      <c r="S267" s="3" t="s">
        <v>640</v>
      </c>
      <c r="T267">
        <v>0</v>
      </c>
      <c r="U267">
        <v>0</v>
      </c>
      <c r="V267">
        <v>0</v>
      </c>
      <c r="W267">
        <v>0</v>
      </c>
      <c r="X267">
        <v>193782</v>
      </c>
      <c r="Y267" s="3" t="s">
        <v>640</v>
      </c>
      <c r="Z267">
        <v>87.355000000000004</v>
      </c>
      <c r="AA267">
        <v>-200000</v>
      </c>
      <c r="AB267" s="3" t="s">
        <v>449</v>
      </c>
      <c r="AC267" s="3" t="s">
        <v>10</v>
      </c>
      <c r="AD267">
        <v>0</v>
      </c>
      <c r="AE267">
        <v>0</v>
      </c>
      <c r="AF267" s="3" t="s">
        <v>640</v>
      </c>
    </row>
    <row r="268" spans="1:32" x14ac:dyDescent="0.35">
      <c r="A268" s="3" t="s">
        <v>608</v>
      </c>
      <c r="B268" s="3" t="s">
        <v>608</v>
      </c>
      <c r="C268" s="3" t="s">
        <v>608</v>
      </c>
      <c r="D268" s="3" t="s">
        <v>608</v>
      </c>
      <c r="E268" s="3" t="s">
        <v>608</v>
      </c>
      <c r="F268" s="3" t="s">
        <v>640</v>
      </c>
      <c r="G268" s="3" t="s">
        <v>456</v>
      </c>
      <c r="H268" s="3" t="s">
        <v>456</v>
      </c>
      <c r="I268" s="3" t="s">
        <v>640</v>
      </c>
      <c r="J268" s="3" t="s">
        <v>4</v>
      </c>
      <c r="K268" s="3" t="s">
        <v>640</v>
      </c>
      <c r="L268" s="3" t="s">
        <v>448</v>
      </c>
      <c r="M268" s="3" t="s">
        <v>14</v>
      </c>
      <c r="N268">
        <v>-1000000</v>
      </c>
      <c r="O268">
        <v>100.65600000000001</v>
      </c>
      <c r="Q268">
        <v>0</v>
      </c>
      <c r="R268">
        <v>-25</v>
      </c>
      <c r="S268" s="3" t="s">
        <v>640</v>
      </c>
      <c r="T268">
        <v>0</v>
      </c>
      <c r="U268">
        <v>0</v>
      </c>
      <c r="V268">
        <v>0</v>
      </c>
      <c r="W268">
        <v>0</v>
      </c>
      <c r="X268">
        <v>1006561</v>
      </c>
      <c r="Y268" s="3" t="s">
        <v>640</v>
      </c>
      <c r="Z268">
        <v>100.65600000000001</v>
      </c>
      <c r="AA268">
        <v>-1000000</v>
      </c>
      <c r="AB268" s="3" t="s">
        <v>449</v>
      </c>
      <c r="AC268" s="3" t="s">
        <v>10</v>
      </c>
      <c r="AD268">
        <v>0</v>
      </c>
      <c r="AE268">
        <v>0</v>
      </c>
      <c r="AF268" s="3" t="s">
        <v>640</v>
      </c>
    </row>
    <row r="269" spans="1:32" x14ac:dyDescent="0.35">
      <c r="A269" s="3" t="s">
        <v>608</v>
      </c>
      <c r="B269" s="3" t="s">
        <v>608</v>
      </c>
      <c r="C269" s="3" t="s">
        <v>608</v>
      </c>
      <c r="D269" s="3" t="s">
        <v>608</v>
      </c>
      <c r="E269" s="3" t="s">
        <v>608</v>
      </c>
      <c r="F269" s="3" t="s">
        <v>640</v>
      </c>
      <c r="G269" s="3" t="s">
        <v>459</v>
      </c>
      <c r="H269" s="3" t="s">
        <v>459</v>
      </c>
      <c r="I269" s="3" t="s">
        <v>640</v>
      </c>
      <c r="J269" s="3" t="s">
        <v>4</v>
      </c>
      <c r="K269" s="3" t="s">
        <v>640</v>
      </c>
      <c r="L269" s="3" t="s">
        <v>448</v>
      </c>
      <c r="M269" s="3" t="s">
        <v>14</v>
      </c>
      <c r="N269">
        <v>-1300000</v>
      </c>
      <c r="O269">
        <v>107.764</v>
      </c>
      <c r="Q269">
        <v>0</v>
      </c>
      <c r="R269">
        <v>-37</v>
      </c>
      <c r="S269" s="3" t="s">
        <v>640</v>
      </c>
      <c r="T269">
        <v>0</v>
      </c>
      <c r="U269">
        <v>0</v>
      </c>
      <c r="V269">
        <v>0</v>
      </c>
      <c r="W269">
        <v>0</v>
      </c>
      <c r="X269">
        <v>1400935</v>
      </c>
      <c r="Y269" s="3" t="s">
        <v>640</v>
      </c>
      <c r="Z269">
        <v>107.764</v>
      </c>
      <c r="AA269">
        <v>-1300000</v>
      </c>
      <c r="AB269" s="3" t="s">
        <v>449</v>
      </c>
      <c r="AC269" s="3" t="s">
        <v>10</v>
      </c>
      <c r="AD269">
        <v>0</v>
      </c>
      <c r="AE269">
        <v>0</v>
      </c>
      <c r="AF269" s="3" t="s">
        <v>640</v>
      </c>
    </row>
    <row r="270" spans="1:32" x14ac:dyDescent="0.35">
      <c r="A270" s="3" t="s">
        <v>608</v>
      </c>
      <c r="B270" s="3" t="s">
        <v>608</v>
      </c>
      <c r="C270" s="3" t="s">
        <v>608</v>
      </c>
      <c r="D270" s="3" t="s">
        <v>608</v>
      </c>
      <c r="E270" s="3" t="s">
        <v>608</v>
      </c>
      <c r="F270" s="3" t="s">
        <v>640</v>
      </c>
      <c r="G270" s="3" t="s">
        <v>920</v>
      </c>
      <c r="H270" s="3" t="s">
        <v>920</v>
      </c>
      <c r="I270" s="3" t="s">
        <v>640</v>
      </c>
      <c r="J270" s="3" t="s">
        <v>4</v>
      </c>
      <c r="K270" s="3" t="s">
        <v>640</v>
      </c>
      <c r="L270" s="3" t="s">
        <v>448</v>
      </c>
      <c r="M270" s="3" t="s">
        <v>14</v>
      </c>
      <c r="N270">
        <v>-6000000</v>
      </c>
      <c r="O270">
        <v>105.10599999999999</v>
      </c>
      <c r="Q270">
        <v>0</v>
      </c>
      <c r="R270">
        <v>-166</v>
      </c>
      <c r="S270" s="3" t="s">
        <v>640</v>
      </c>
      <c r="T270">
        <v>0</v>
      </c>
      <c r="U270">
        <v>0</v>
      </c>
      <c r="V270">
        <v>0</v>
      </c>
      <c r="W270">
        <v>0</v>
      </c>
      <c r="X270">
        <v>6306383</v>
      </c>
      <c r="Y270" s="3" t="s">
        <v>640</v>
      </c>
      <c r="Z270">
        <v>105.10599999999999</v>
      </c>
      <c r="AA270">
        <v>-6000000</v>
      </c>
      <c r="AB270" s="3" t="s">
        <v>449</v>
      </c>
      <c r="AC270" s="3" t="s">
        <v>10</v>
      </c>
      <c r="AD270">
        <v>0</v>
      </c>
      <c r="AE270">
        <v>0</v>
      </c>
      <c r="AF270" s="3" t="s">
        <v>640</v>
      </c>
    </row>
    <row r="271" spans="1:32" x14ac:dyDescent="0.35">
      <c r="A271" s="3" t="s">
        <v>608</v>
      </c>
      <c r="B271" s="3" t="s">
        <v>608</v>
      </c>
      <c r="C271" s="3" t="s">
        <v>608</v>
      </c>
      <c r="D271" s="3" t="s">
        <v>608</v>
      </c>
      <c r="E271" s="3" t="s">
        <v>608</v>
      </c>
      <c r="F271" s="3" t="s">
        <v>640</v>
      </c>
      <c r="G271" s="3" t="s">
        <v>493</v>
      </c>
      <c r="H271" s="3" t="s">
        <v>493</v>
      </c>
      <c r="I271" s="3" t="s">
        <v>640</v>
      </c>
      <c r="J271" s="3" t="s">
        <v>4</v>
      </c>
      <c r="K271" s="3" t="s">
        <v>640</v>
      </c>
      <c r="L271" s="3" t="s">
        <v>448</v>
      </c>
      <c r="M271" s="3" t="s">
        <v>14</v>
      </c>
      <c r="N271">
        <v>0</v>
      </c>
      <c r="O271">
        <v>90.820999999999998</v>
      </c>
      <c r="Q271">
        <v>0</v>
      </c>
      <c r="R271">
        <v>0</v>
      </c>
      <c r="S271" s="3" t="s">
        <v>640</v>
      </c>
      <c r="T271">
        <v>0</v>
      </c>
      <c r="U271">
        <v>0</v>
      </c>
      <c r="V271">
        <v>0</v>
      </c>
      <c r="W271">
        <v>0</v>
      </c>
      <c r="X271">
        <v>0</v>
      </c>
      <c r="Y271" s="3" t="s">
        <v>640</v>
      </c>
      <c r="Z271">
        <v>90.820999999999998</v>
      </c>
      <c r="AA271">
        <v>0</v>
      </c>
      <c r="AB271" s="3" t="s">
        <v>449</v>
      </c>
      <c r="AC271" s="3" t="s">
        <v>10</v>
      </c>
      <c r="AD271">
        <v>0</v>
      </c>
      <c r="AE271">
        <v>0</v>
      </c>
      <c r="AF271" s="3" t="s">
        <v>640</v>
      </c>
    </row>
    <row r="272" spans="1:32" x14ac:dyDescent="0.35">
      <c r="A272" s="3" t="s">
        <v>608</v>
      </c>
      <c r="B272" s="3" t="s">
        <v>608</v>
      </c>
      <c r="C272" s="3" t="s">
        <v>608</v>
      </c>
      <c r="D272" s="3" t="s">
        <v>608</v>
      </c>
      <c r="E272" s="3" t="s">
        <v>608</v>
      </c>
      <c r="F272" s="3" t="s">
        <v>640</v>
      </c>
      <c r="G272" s="3" t="s">
        <v>464</v>
      </c>
      <c r="H272" s="3" t="s">
        <v>464</v>
      </c>
      <c r="I272" s="3" t="s">
        <v>640</v>
      </c>
      <c r="J272" s="3" t="s">
        <v>4</v>
      </c>
      <c r="K272" s="3" t="s">
        <v>640</v>
      </c>
      <c r="L272" s="3" t="s">
        <v>448</v>
      </c>
      <c r="M272" s="3" t="s">
        <v>14</v>
      </c>
      <c r="N272">
        <v>0</v>
      </c>
      <c r="O272">
        <v>82.311999999999998</v>
      </c>
      <c r="Q272">
        <v>0</v>
      </c>
      <c r="R272">
        <v>0</v>
      </c>
      <c r="S272" s="3" t="s">
        <v>640</v>
      </c>
      <c r="T272">
        <v>0</v>
      </c>
      <c r="U272">
        <v>0</v>
      </c>
      <c r="V272">
        <v>0</v>
      </c>
      <c r="W272">
        <v>0</v>
      </c>
      <c r="X272">
        <v>0</v>
      </c>
      <c r="Y272" s="3" t="s">
        <v>640</v>
      </c>
      <c r="Z272">
        <v>82.311999999999998</v>
      </c>
      <c r="AA272">
        <v>0</v>
      </c>
      <c r="AB272" s="3" t="s">
        <v>449</v>
      </c>
      <c r="AC272" s="3" t="s">
        <v>10</v>
      </c>
      <c r="AD272">
        <v>0</v>
      </c>
      <c r="AE272">
        <v>0</v>
      </c>
      <c r="AF272" s="3" t="s">
        <v>640</v>
      </c>
    </row>
    <row r="273" spans="1:32" x14ac:dyDescent="0.35">
      <c r="A273" s="3" t="s">
        <v>608</v>
      </c>
      <c r="B273" s="3" t="s">
        <v>608</v>
      </c>
      <c r="C273" s="3" t="s">
        <v>608</v>
      </c>
      <c r="D273" s="3" t="s">
        <v>608</v>
      </c>
      <c r="E273" s="3" t="s">
        <v>608</v>
      </c>
      <c r="F273" s="3" t="s">
        <v>640</v>
      </c>
      <c r="G273" s="3" t="s">
        <v>465</v>
      </c>
      <c r="H273" s="3" t="s">
        <v>465</v>
      </c>
      <c r="I273" s="3" t="s">
        <v>640</v>
      </c>
      <c r="J273" s="3" t="s">
        <v>4</v>
      </c>
      <c r="K273" s="3" t="s">
        <v>640</v>
      </c>
      <c r="L273" s="3" t="s">
        <v>448</v>
      </c>
      <c r="M273" s="3" t="s">
        <v>14</v>
      </c>
      <c r="N273">
        <v>1000000</v>
      </c>
      <c r="O273">
        <v>88.795000000000002</v>
      </c>
      <c r="Q273">
        <v>0</v>
      </c>
      <c r="R273">
        <v>6</v>
      </c>
      <c r="S273" s="3" t="s">
        <v>640</v>
      </c>
      <c r="T273">
        <v>0</v>
      </c>
      <c r="U273">
        <v>0</v>
      </c>
      <c r="V273">
        <v>0</v>
      </c>
      <c r="W273">
        <v>0</v>
      </c>
      <c r="X273">
        <v>-887952</v>
      </c>
      <c r="Y273" s="3" t="s">
        <v>640</v>
      </c>
      <c r="Z273">
        <v>88.795000000000002</v>
      </c>
      <c r="AA273">
        <v>1000000</v>
      </c>
      <c r="AB273" s="3" t="s">
        <v>449</v>
      </c>
      <c r="AC273" s="3" t="s">
        <v>10</v>
      </c>
      <c r="AD273">
        <v>0</v>
      </c>
      <c r="AE273">
        <v>0</v>
      </c>
      <c r="AF273" s="3" t="s">
        <v>640</v>
      </c>
    </row>
    <row r="274" spans="1:32" x14ac:dyDescent="0.35">
      <c r="A274" s="3" t="s">
        <v>608</v>
      </c>
      <c r="B274" s="3" t="s">
        <v>608</v>
      </c>
      <c r="C274" s="3" t="s">
        <v>608</v>
      </c>
      <c r="D274" s="3" t="s">
        <v>608</v>
      </c>
      <c r="E274" s="3" t="s">
        <v>608</v>
      </c>
      <c r="F274" s="3" t="s">
        <v>640</v>
      </c>
      <c r="G274" s="3" t="s">
        <v>517</v>
      </c>
      <c r="H274" s="3" t="s">
        <v>517</v>
      </c>
      <c r="I274" s="3" t="s">
        <v>640</v>
      </c>
      <c r="J274" s="3" t="s">
        <v>4</v>
      </c>
      <c r="K274" s="3" t="s">
        <v>640</v>
      </c>
      <c r="L274" s="3" t="s">
        <v>448</v>
      </c>
      <c r="M274" s="3" t="s">
        <v>14</v>
      </c>
      <c r="N274">
        <v>-1400000</v>
      </c>
      <c r="O274">
        <v>110.98399999999999</v>
      </c>
      <c r="Q274">
        <v>0</v>
      </c>
      <c r="R274">
        <v>-41</v>
      </c>
      <c r="S274" s="3" t="s">
        <v>640</v>
      </c>
      <c r="T274">
        <v>0</v>
      </c>
      <c r="U274">
        <v>0</v>
      </c>
      <c r="V274">
        <v>0</v>
      </c>
      <c r="W274">
        <v>0</v>
      </c>
      <c r="X274">
        <v>1553771</v>
      </c>
      <c r="Y274" s="3" t="s">
        <v>640</v>
      </c>
      <c r="Z274">
        <v>110.98399999999999</v>
      </c>
      <c r="AA274">
        <v>-1400000</v>
      </c>
      <c r="AB274" s="3" t="s">
        <v>449</v>
      </c>
      <c r="AC274" s="3" t="s">
        <v>10</v>
      </c>
      <c r="AD274">
        <v>0</v>
      </c>
      <c r="AE274">
        <v>0</v>
      </c>
      <c r="AF274" s="3" t="s">
        <v>640</v>
      </c>
    </row>
    <row r="275" spans="1:32" x14ac:dyDescent="0.35">
      <c r="A275" s="3" t="s">
        <v>608</v>
      </c>
      <c r="B275" s="3" t="s">
        <v>608</v>
      </c>
      <c r="C275" s="3" t="s">
        <v>608</v>
      </c>
      <c r="D275" s="3" t="s">
        <v>608</v>
      </c>
      <c r="E275" s="3" t="s">
        <v>608</v>
      </c>
      <c r="F275" s="3" t="s">
        <v>640</v>
      </c>
      <c r="G275" s="3" t="s">
        <v>545</v>
      </c>
      <c r="H275" s="3" t="s">
        <v>545</v>
      </c>
      <c r="I275" s="3" t="s">
        <v>640</v>
      </c>
      <c r="J275" s="3" t="s">
        <v>283</v>
      </c>
      <c r="K275" s="3" t="s">
        <v>640</v>
      </c>
      <c r="L275" s="3" t="s">
        <v>448</v>
      </c>
      <c r="M275" s="3" t="s">
        <v>14</v>
      </c>
      <c r="N275">
        <v>-300000</v>
      </c>
      <c r="O275">
        <v>78.819000000000003</v>
      </c>
      <c r="Q275">
        <v>0</v>
      </c>
      <c r="R275">
        <v>-3</v>
      </c>
      <c r="S275" s="3" t="s">
        <v>640</v>
      </c>
      <c r="T275">
        <v>0</v>
      </c>
      <c r="U275">
        <v>0</v>
      </c>
      <c r="V275">
        <v>0</v>
      </c>
      <c r="W275">
        <v>0</v>
      </c>
      <c r="X275">
        <v>322322</v>
      </c>
      <c r="Y275" s="3" t="s">
        <v>640</v>
      </c>
      <c r="Z275">
        <v>78.819000000000003</v>
      </c>
      <c r="AA275">
        <v>-300000</v>
      </c>
      <c r="AB275" s="3" t="s">
        <v>449</v>
      </c>
      <c r="AC275" s="3" t="s">
        <v>10</v>
      </c>
      <c r="AD275">
        <v>0</v>
      </c>
      <c r="AE275">
        <v>0</v>
      </c>
      <c r="AF275" s="3" t="s">
        <v>640</v>
      </c>
    </row>
    <row r="276" spans="1:32" x14ac:dyDescent="0.35">
      <c r="A276" s="3" t="s">
        <v>608</v>
      </c>
      <c r="B276" s="3" t="s">
        <v>608</v>
      </c>
      <c r="C276" s="3" t="s">
        <v>608</v>
      </c>
      <c r="D276" s="3" t="s">
        <v>608</v>
      </c>
      <c r="E276" s="3" t="s">
        <v>608</v>
      </c>
      <c r="F276" s="3" t="s">
        <v>640</v>
      </c>
      <c r="G276" s="3" t="s">
        <v>466</v>
      </c>
      <c r="H276" s="3" t="s">
        <v>466</v>
      </c>
      <c r="I276" s="3" t="s">
        <v>640</v>
      </c>
      <c r="J276" s="3" t="s">
        <v>4</v>
      </c>
      <c r="K276" s="3" t="s">
        <v>640</v>
      </c>
      <c r="L276" s="3" t="s">
        <v>448</v>
      </c>
      <c r="M276" s="3" t="s">
        <v>14</v>
      </c>
      <c r="N276">
        <v>-2000000</v>
      </c>
      <c r="O276">
        <v>112.54600000000001</v>
      </c>
      <c r="Q276">
        <v>0</v>
      </c>
      <c r="R276">
        <v>-104</v>
      </c>
      <c r="S276" s="3" t="s">
        <v>640</v>
      </c>
      <c r="T276">
        <v>0</v>
      </c>
      <c r="U276">
        <v>0</v>
      </c>
      <c r="V276">
        <v>0</v>
      </c>
      <c r="W276">
        <v>0</v>
      </c>
      <c r="X276">
        <v>2251284</v>
      </c>
      <c r="Y276" s="3" t="s">
        <v>640</v>
      </c>
      <c r="Z276">
        <v>112.54600000000001</v>
      </c>
      <c r="AA276">
        <v>-2000000</v>
      </c>
      <c r="AB276" s="3" t="s">
        <v>449</v>
      </c>
      <c r="AC276" s="3" t="s">
        <v>10</v>
      </c>
      <c r="AD276">
        <v>0</v>
      </c>
      <c r="AE276">
        <v>0</v>
      </c>
      <c r="AF276" s="3" t="s">
        <v>640</v>
      </c>
    </row>
    <row r="277" spans="1:32" x14ac:dyDescent="0.35">
      <c r="A277" s="3" t="s">
        <v>608</v>
      </c>
      <c r="B277" s="3" t="s">
        <v>608</v>
      </c>
      <c r="C277" s="3" t="s">
        <v>608</v>
      </c>
      <c r="D277" s="3" t="s">
        <v>608</v>
      </c>
      <c r="E277" s="3" t="s">
        <v>608</v>
      </c>
      <c r="F277" s="3" t="s">
        <v>640</v>
      </c>
      <c r="G277" s="3" t="s">
        <v>546</v>
      </c>
      <c r="H277" s="3" t="s">
        <v>546</v>
      </c>
      <c r="I277" s="3" t="s">
        <v>640</v>
      </c>
      <c r="J277" s="3" t="s">
        <v>4</v>
      </c>
      <c r="K277" s="3" t="s">
        <v>640</v>
      </c>
      <c r="L277" s="3" t="s">
        <v>448</v>
      </c>
      <c r="M277" s="3" t="s">
        <v>14</v>
      </c>
      <c r="N277">
        <v>-3000000</v>
      </c>
      <c r="O277">
        <v>104.17</v>
      </c>
      <c r="Q277">
        <v>0</v>
      </c>
      <c r="R277">
        <v>-82</v>
      </c>
      <c r="S277" s="3" t="s">
        <v>640</v>
      </c>
      <c r="T277">
        <v>0</v>
      </c>
      <c r="U277">
        <v>0</v>
      </c>
      <c r="V277">
        <v>0</v>
      </c>
      <c r="W277">
        <v>0</v>
      </c>
      <c r="X277">
        <v>3125088</v>
      </c>
      <c r="Y277" s="3" t="s">
        <v>640</v>
      </c>
      <c r="Z277">
        <v>104.17</v>
      </c>
      <c r="AA277">
        <v>-3000000</v>
      </c>
      <c r="AB277" s="3" t="s">
        <v>449</v>
      </c>
      <c r="AC277" s="3" t="s">
        <v>10</v>
      </c>
      <c r="AD277">
        <v>0</v>
      </c>
      <c r="AE277">
        <v>0</v>
      </c>
      <c r="AF277" s="3" t="s">
        <v>640</v>
      </c>
    </row>
    <row r="278" spans="1:32" x14ac:dyDescent="0.35">
      <c r="A278" s="3" t="s">
        <v>608</v>
      </c>
      <c r="B278" s="3" t="s">
        <v>608</v>
      </c>
      <c r="C278" s="3" t="s">
        <v>608</v>
      </c>
      <c r="D278" s="3" t="s">
        <v>608</v>
      </c>
      <c r="E278" s="3" t="s">
        <v>608</v>
      </c>
      <c r="F278" s="3" t="s">
        <v>640</v>
      </c>
      <c r="G278" s="3" t="s">
        <v>467</v>
      </c>
      <c r="H278" s="3" t="s">
        <v>467</v>
      </c>
      <c r="I278" s="3" t="s">
        <v>640</v>
      </c>
      <c r="J278" s="3" t="s">
        <v>4</v>
      </c>
      <c r="K278" s="3" t="s">
        <v>640</v>
      </c>
      <c r="L278" s="3" t="s">
        <v>448</v>
      </c>
      <c r="M278" s="3" t="s">
        <v>14</v>
      </c>
      <c r="N278">
        <v>-2300000</v>
      </c>
      <c r="O278">
        <v>109.428</v>
      </c>
      <c r="Q278">
        <v>0</v>
      </c>
      <c r="R278">
        <v>-66</v>
      </c>
      <c r="S278" s="3" t="s">
        <v>640</v>
      </c>
      <c r="T278">
        <v>0</v>
      </c>
      <c r="U278">
        <v>0</v>
      </c>
      <c r="V278">
        <v>0</v>
      </c>
      <c r="W278">
        <v>0</v>
      </c>
      <c r="X278">
        <v>2510841</v>
      </c>
      <c r="Y278" s="3" t="s">
        <v>640</v>
      </c>
      <c r="Z278">
        <v>109.428</v>
      </c>
      <c r="AA278">
        <v>-2300000</v>
      </c>
      <c r="AB278" s="3" t="s">
        <v>449</v>
      </c>
      <c r="AC278" s="3" t="s">
        <v>10</v>
      </c>
      <c r="AD278">
        <v>0</v>
      </c>
      <c r="AE278">
        <v>0</v>
      </c>
      <c r="AF278" s="3" t="s">
        <v>640</v>
      </c>
    </row>
    <row r="279" spans="1:32" x14ac:dyDescent="0.35">
      <c r="A279" s="3" t="s">
        <v>608</v>
      </c>
      <c r="B279" s="3" t="s">
        <v>608</v>
      </c>
      <c r="C279" s="3" t="s">
        <v>608</v>
      </c>
      <c r="D279" s="3" t="s">
        <v>608</v>
      </c>
      <c r="E279" s="3" t="s">
        <v>608</v>
      </c>
      <c r="F279" s="3" t="s">
        <v>640</v>
      </c>
      <c r="G279" s="3" t="s">
        <v>521</v>
      </c>
      <c r="H279" s="3" t="s">
        <v>521</v>
      </c>
      <c r="I279" s="3" t="s">
        <v>640</v>
      </c>
      <c r="J279" s="3" t="s">
        <v>4</v>
      </c>
      <c r="K279" s="3" t="s">
        <v>640</v>
      </c>
      <c r="L279" s="3" t="s">
        <v>448</v>
      </c>
      <c r="M279" s="3" t="s">
        <v>14</v>
      </c>
      <c r="N279">
        <v>-1565000</v>
      </c>
      <c r="O279">
        <v>101.015</v>
      </c>
      <c r="Q279">
        <v>0</v>
      </c>
      <c r="R279">
        <v>-42</v>
      </c>
      <c r="S279" s="3" t="s">
        <v>640</v>
      </c>
      <c r="T279">
        <v>0</v>
      </c>
      <c r="U279">
        <v>0</v>
      </c>
      <c r="V279">
        <v>0</v>
      </c>
      <c r="W279">
        <v>0</v>
      </c>
      <c r="X279">
        <v>1581576</v>
      </c>
      <c r="Y279" s="3" t="s">
        <v>640</v>
      </c>
      <c r="Z279">
        <v>101.015</v>
      </c>
      <c r="AA279">
        <v>-1565000</v>
      </c>
      <c r="AB279" s="3" t="s">
        <v>449</v>
      </c>
      <c r="AC279" s="3" t="s">
        <v>10</v>
      </c>
      <c r="AD279">
        <v>0</v>
      </c>
      <c r="AE279">
        <v>0</v>
      </c>
      <c r="AF279" s="3" t="s">
        <v>640</v>
      </c>
    </row>
    <row r="280" spans="1:32" x14ac:dyDescent="0.35">
      <c r="A280" s="3" t="s">
        <v>608</v>
      </c>
      <c r="B280" s="3" t="s">
        <v>608</v>
      </c>
      <c r="C280" s="3" t="s">
        <v>608</v>
      </c>
      <c r="D280" s="3" t="s">
        <v>608</v>
      </c>
      <c r="E280" s="3" t="s">
        <v>608</v>
      </c>
      <c r="F280" s="3" t="s">
        <v>640</v>
      </c>
      <c r="G280" s="3" t="s">
        <v>468</v>
      </c>
      <c r="H280" s="3" t="s">
        <v>468</v>
      </c>
      <c r="I280" s="3" t="s">
        <v>640</v>
      </c>
      <c r="J280" s="3" t="s">
        <v>4</v>
      </c>
      <c r="K280" s="3" t="s">
        <v>640</v>
      </c>
      <c r="L280" s="3" t="s">
        <v>448</v>
      </c>
      <c r="M280" s="3" t="s">
        <v>14</v>
      </c>
      <c r="N280">
        <v>1500000</v>
      </c>
      <c r="O280">
        <v>105.264</v>
      </c>
      <c r="Q280">
        <v>0</v>
      </c>
      <c r="R280">
        <v>11</v>
      </c>
      <c r="S280" s="3" t="s">
        <v>640</v>
      </c>
      <c r="T280">
        <v>0</v>
      </c>
      <c r="U280">
        <v>0</v>
      </c>
      <c r="V280">
        <v>0</v>
      </c>
      <c r="W280">
        <v>0</v>
      </c>
      <c r="X280">
        <v>-1542714</v>
      </c>
      <c r="Y280" s="3" t="s">
        <v>640</v>
      </c>
      <c r="Z280">
        <v>105.264</v>
      </c>
      <c r="AA280">
        <v>1500000</v>
      </c>
      <c r="AB280" s="3" t="s">
        <v>449</v>
      </c>
      <c r="AC280" s="3" t="s">
        <v>10</v>
      </c>
      <c r="AD280">
        <v>0</v>
      </c>
      <c r="AE280">
        <v>0</v>
      </c>
      <c r="AF280" s="3" t="s">
        <v>640</v>
      </c>
    </row>
    <row r="281" spans="1:32" x14ac:dyDescent="0.35">
      <c r="A281" s="3" t="s">
        <v>608</v>
      </c>
      <c r="B281" s="3" t="s">
        <v>608</v>
      </c>
      <c r="C281" s="3" t="s">
        <v>608</v>
      </c>
      <c r="D281" s="3" t="s">
        <v>608</v>
      </c>
      <c r="E281" s="3" t="s">
        <v>608</v>
      </c>
      <c r="F281" s="3" t="s">
        <v>640</v>
      </c>
      <c r="G281" s="3" t="s">
        <v>547</v>
      </c>
      <c r="H281" s="3" t="s">
        <v>547</v>
      </c>
      <c r="I281" s="3" t="s">
        <v>640</v>
      </c>
      <c r="J281" s="3" t="s">
        <v>4</v>
      </c>
      <c r="K281" s="3" t="s">
        <v>640</v>
      </c>
      <c r="L281" s="3" t="s">
        <v>448</v>
      </c>
      <c r="M281" s="3" t="s">
        <v>14</v>
      </c>
      <c r="N281">
        <v>5000000</v>
      </c>
      <c r="O281">
        <v>96.055000000000007</v>
      </c>
      <c r="Q281">
        <v>0</v>
      </c>
      <c r="R281">
        <v>33</v>
      </c>
      <c r="S281" s="3" t="s">
        <v>640</v>
      </c>
      <c r="T281">
        <v>0</v>
      </c>
      <c r="U281">
        <v>0</v>
      </c>
      <c r="V281">
        <v>0</v>
      </c>
      <c r="W281">
        <v>0</v>
      </c>
      <c r="X281">
        <v>-4802728</v>
      </c>
      <c r="Y281" s="3" t="s">
        <v>640</v>
      </c>
      <c r="Z281">
        <v>96.055000000000007</v>
      </c>
      <c r="AA281">
        <v>5000000</v>
      </c>
      <c r="AB281" s="3" t="s">
        <v>449</v>
      </c>
      <c r="AC281" s="3" t="s">
        <v>10</v>
      </c>
      <c r="AD281">
        <v>0</v>
      </c>
      <c r="AE281">
        <v>0</v>
      </c>
      <c r="AF281" s="3" t="s">
        <v>640</v>
      </c>
    </row>
    <row r="282" spans="1:32" x14ac:dyDescent="0.35">
      <c r="A282" s="3" t="s">
        <v>608</v>
      </c>
      <c r="B282" s="3" t="s">
        <v>608</v>
      </c>
      <c r="C282" s="3" t="s">
        <v>608</v>
      </c>
      <c r="D282" s="3" t="s">
        <v>608</v>
      </c>
      <c r="E282" s="3" t="s">
        <v>608</v>
      </c>
      <c r="F282" s="3" t="s">
        <v>640</v>
      </c>
      <c r="G282" s="3" t="s">
        <v>450</v>
      </c>
      <c r="H282" s="3" t="s">
        <v>450</v>
      </c>
      <c r="I282" s="3" t="s">
        <v>640</v>
      </c>
      <c r="J282" s="3" t="s">
        <v>4</v>
      </c>
      <c r="K282" s="3" t="s">
        <v>640</v>
      </c>
      <c r="L282" s="3" t="s">
        <v>448</v>
      </c>
      <c r="M282" s="3" t="s">
        <v>14</v>
      </c>
      <c r="N282">
        <v>2700000</v>
      </c>
      <c r="O282">
        <v>88.477999999999994</v>
      </c>
      <c r="Q282">
        <v>0</v>
      </c>
      <c r="R282">
        <v>17</v>
      </c>
      <c r="S282" s="3" t="s">
        <v>640</v>
      </c>
      <c r="T282">
        <v>0</v>
      </c>
      <c r="U282">
        <v>0</v>
      </c>
      <c r="V282">
        <v>0</v>
      </c>
      <c r="W282">
        <v>0</v>
      </c>
      <c r="X282">
        <v>-2388914</v>
      </c>
      <c r="Y282" s="3" t="s">
        <v>640</v>
      </c>
      <c r="Z282">
        <v>88.477999999999994</v>
      </c>
      <c r="AA282">
        <v>2700000</v>
      </c>
      <c r="AB282" s="3" t="s">
        <v>449</v>
      </c>
      <c r="AC282" s="3" t="s">
        <v>10</v>
      </c>
      <c r="AD282">
        <v>0</v>
      </c>
      <c r="AE282">
        <v>0</v>
      </c>
      <c r="AF282" s="3" t="s">
        <v>640</v>
      </c>
    </row>
    <row r="283" spans="1:32" x14ac:dyDescent="0.35">
      <c r="A283" s="3" t="s">
        <v>608</v>
      </c>
      <c r="B283" s="3" t="s">
        <v>608</v>
      </c>
      <c r="C283" s="3" t="s">
        <v>608</v>
      </c>
      <c r="D283" s="3" t="s">
        <v>608</v>
      </c>
      <c r="E283" s="3" t="s">
        <v>608</v>
      </c>
      <c r="F283" s="3" t="s">
        <v>640</v>
      </c>
      <c r="G283" s="3" t="s">
        <v>589</v>
      </c>
      <c r="H283" s="3" t="s">
        <v>589</v>
      </c>
      <c r="I283" s="3" t="s">
        <v>640</v>
      </c>
      <c r="J283" s="3" t="s">
        <v>4</v>
      </c>
      <c r="K283" s="3" t="s">
        <v>640</v>
      </c>
      <c r="L283" s="3" t="s">
        <v>448</v>
      </c>
      <c r="M283" s="3" t="s">
        <v>14</v>
      </c>
      <c r="N283">
        <v>-500000</v>
      </c>
      <c r="O283">
        <v>104.19</v>
      </c>
      <c r="Q283">
        <v>0</v>
      </c>
      <c r="R283">
        <v>-14</v>
      </c>
      <c r="S283" s="3" t="s">
        <v>640</v>
      </c>
      <c r="T283">
        <v>0</v>
      </c>
      <c r="U283">
        <v>0</v>
      </c>
      <c r="V283">
        <v>0</v>
      </c>
      <c r="W283">
        <v>0</v>
      </c>
      <c r="X283">
        <v>520948</v>
      </c>
      <c r="Y283" s="3" t="s">
        <v>640</v>
      </c>
      <c r="Z283">
        <v>104.19</v>
      </c>
      <c r="AA283">
        <v>-500000</v>
      </c>
      <c r="AB283" s="3" t="s">
        <v>449</v>
      </c>
      <c r="AC283" s="3" t="s">
        <v>10</v>
      </c>
      <c r="AD283">
        <v>0</v>
      </c>
      <c r="AE283">
        <v>0</v>
      </c>
      <c r="AF283" s="3" t="s">
        <v>640</v>
      </c>
    </row>
    <row r="284" spans="1:32" x14ac:dyDescent="0.35">
      <c r="A284" s="3" t="s">
        <v>608</v>
      </c>
      <c r="B284" s="3" t="s">
        <v>608</v>
      </c>
      <c r="C284" s="3" t="s">
        <v>608</v>
      </c>
      <c r="D284" s="3" t="s">
        <v>608</v>
      </c>
      <c r="E284" s="3" t="s">
        <v>608</v>
      </c>
      <c r="F284" s="3" t="s">
        <v>640</v>
      </c>
      <c r="G284" s="3" t="s">
        <v>501</v>
      </c>
      <c r="H284" s="3" t="s">
        <v>501</v>
      </c>
      <c r="I284" s="3" t="s">
        <v>640</v>
      </c>
      <c r="J284" s="3" t="s">
        <v>4</v>
      </c>
      <c r="K284" s="3" t="s">
        <v>640</v>
      </c>
      <c r="L284" s="3" t="s">
        <v>448</v>
      </c>
      <c r="M284" s="3" t="s">
        <v>14</v>
      </c>
      <c r="N284">
        <v>8100000</v>
      </c>
      <c r="O284">
        <v>80.25</v>
      </c>
      <c r="Q284">
        <v>0</v>
      </c>
      <c r="R284">
        <v>54</v>
      </c>
      <c r="S284" s="3" t="s">
        <v>640</v>
      </c>
      <c r="T284">
        <v>0</v>
      </c>
      <c r="U284">
        <v>0</v>
      </c>
      <c r="V284">
        <v>0</v>
      </c>
      <c r="W284">
        <v>0</v>
      </c>
      <c r="X284">
        <v>-6495184</v>
      </c>
      <c r="Y284" s="3" t="s">
        <v>640</v>
      </c>
      <c r="Z284">
        <v>80.25</v>
      </c>
      <c r="AA284">
        <v>8100000</v>
      </c>
      <c r="AB284" s="3" t="s">
        <v>449</v>
      </c>
      <c r="AC284" s="3" t="s">
        <v>10</v>
      </c>
      <c r="AD284">
        <v>0</v>
      </c>
      <c r="AE284">
        <v>0</v>
      </c>
      <c r="AF284" s="3" t="s">
        <v>640</v>
      </c>
    </row>
    <row r="285" spans="1:32" x14ac:dyDescent="0.35">
      <c r="A285" s="3" t="s">
        <v>608</v>
      </c>
      <c r="B285" s="3" t="s">
        <v>608</v>
      </c>
      <c r="C285" s="3" t="s">
        <v>608</v>
      </c>
      <c r="D285" s="3" t="s">
        <v>608</v>
      </c>
      <c r="E285" s="3" t="s">
        <v>608</v>
      </c>
      <c r="F285" s="3" t="s">
        <v>640</v>
      </c>
      <c r="G285" s="3" t="s">
        <v>912</v>
      </c>
      <c r="H285" s="3" t="s">
        <v>912</v>
      </c>
      <c r="I285" s="3" t="s">
        <v>640</v>
      </c>
      <c r="J285" s="3" t="s">
        <v>266</v>
      </c>
      <c r="K285" s="3" t="s">
        <v>640</v>
      </c>
      <c r="L285" s="3" t="s">
        <v>448</v>
      </c>
      <c r="M285" s="3" t="s">
        <v>14</v>
      </c>
      <c r="N285">
        <v>250000</v>
      </c>
      <c r="O285">
        <v>80.103999999999999</v>
      </c>
      <c r="Q285">
        <v>0</v>
      </c>
      <c r="R285">
        <v>-2</v>
      </c>
      <c r="S285" s="3" t="s">
        <v>640</v>
      </c>
      <c r="T285">
        <v>0</v>
      </c>
      <c r="U285">
        <v>0</v>
      </c>
      <c r="V285">
        <v>0</v>
      </c>
      <c r="W285">
        <v>0</v>
      </c>
      <c r="X285">
        <v>-172194</v>
      </c>
      <c r="Y285" s="3" t="s">
        <v>640</v>
      </c>
      <c r="Z285">
        <v>80.103999999999999</v>
      </c>
      <c r="AA285">
        <v>250000</v>
      </c>
      <c r="AB285" s="3" t="s">
        <v>449</v>
      </c>
      <c r="AC285" s="3" t="s">
        <v>10</v>
      </c>
      <c r="AD285">
        <v>0</v>
      </c>
      <c r="AE285">
        <v>0</v>
      </c>
      <c r="AF285" s="3" t="s">
        <v>640</v>
      </c>
    </row>
    <row r="286" spans="1:32" x14ac:dyDescent="0.35">
      <c r="A286" s="3" t="s">
        <v>608</v>
      </c>
      <c r="B286" s="3" t="s">
        <v>608</v>
      </c>
      <c r="C286" s="3" t="s">
        <v>608</v>
      </c>
      <c r="D286" s="3" t="s">
        <v>608</v>
      </c>
      <c r="E286" s="3" t="s">
        <v>608</v>
      </c>
      <c r="F286" s="3" t="s">
        <v>640</v>
      </c>
      <c r="G286" s="3" t="s">
        <v>592</v>
      </c>
      <c r="H286" s="3" t="s">
        <v>592</v>
      </c>
      <c r="I286" s="3" t="s">
        <v>640</v>
      </c>
      <c r="J286" s="3" t="s">
        <v>4</v>
      </c>
      <c r="K286" s="3" t="s">
        <v>640</v>
      </c>
      <c r="L286" s="3" t="s">
        <v>448</v>
      </c>
      <c r="M286" s="3" t="s">
        <v>14</v>
      </c>
      <c r="N286">
        <v>-3000000</v>
      </c>
      <c r="O286">
        <v>119.152</v>
      </c>
      <c r="Q286">
        <v>0</v>
      </c>
      <c r="R286">
        <v>-94</v>
      </c>
      <c r="S286" s="3" t="s">
        <v>640</v>
      </c>
      <c r="T286">
        <v>0</v>
      </c>
      <c r="U286">
        <v>0</v>
      </c>
      <c r="V286">
        <v>0</v>
      </c>
      <c r="W286">
        <v>0</v>
      </c>
      <c r="X286">
        <v>3571021</v>
      </c>
      <c r="Y286" s="3" t="s">
        <v>640</v>
      </c>
      <c r="Z286">
        <v>119.152</v>
      </c>
      <c r="AA286">
        <v>-3000000</v>
      </c>
      <c r="AB286" s="3" t="s">
        <v>449</v>
      </c>
      <c r="AC286" s="3" t="s">
        <v>10</v>
      </c>
      <c r="AD286">
        <v>0</v>
      </c>
      <c r="AE286">
        <v>0</v>
      </c>
      <c r="AF286" s="3" t="s">
        <v>640</v>
      </c>
    </row>
    <row r="287" spans="1:32" x14ac:dyDescent="0.35">
      <c r="A287" s="3" t="s">
        <v>608</v>
      </c>
      <c r="B287" s="3" t="s">
        <v>608</v>
      </c>
      <c r="C287" s="3" t="s">
        <v>608</v>
      </c>
      <c r="D287" s="3" t="s">
        <v>608</v>
      </c>
      <c r="E287" s="3" t="s">
        <v>608</v>
      </c>
      <c r="F287" s="3" t="s">
        <v>640</v>
      </c>
      <c r="G287" s="3" t="s">
        <v>1000</v>
      </c>
      <c r="H287" s="3" t="s">
        <v>1000</v>
      </c>
      <c r="I287" s="3" t="s">
        <v>640</v>
      </c>
      <c r="J287" s="3" t="s">
        <v>4</v>
      </c>
      <c r="K287" s="3" t="s">
        <v>640</v>
      </c>
      <c r="L287" s="3" t="s">
        <v>448</v>
      </c>
      <c r="M287" s="3" t="s">
        <v>14</v>
      </c>
      <c r="N287">
        <v>-508000</v>
      </c>
      <c r="O287">
        <v>113.27200000000001</v>
      </c>
      <c r="Q287">
        <v>0</v>
      </c>
      <c r="R287">
        <v>0</v>
      </c>
      <c r="S287" s="3" t="s">
        <v>640</v>
      </c>
      <c r="T287">
        <v>0</v>
      </c>
      <c r="U287">
        <v>0</v>
      </c>
      <c r="V287">
        <v>0</v>
      </c>
      <c r="W287">
        <v>0</v>
      </c>
      <c r="X287">
        <v>575421</v>
      </c>
      <c r="Y287" s="3" t="s">
        <v>640</v>
      </c>
      <c r="Z287">
        <v>111.16200000000001</v>
      </c>
      <c r="AA287">
        <v>0</v>
      </c>
      <c r="AB287" s="3" t="s">
        <v>449</v>
      </c>
      <c r="AC287" s="3" t="s">
        <v>10</v>
      </c>
      <c r="AD287">
        <v>0</v>
      </c>
      <c r="AE287">
        <v>0</v>
      </c>
      <c r="AF287" s="3" t="s">
        <v>640</v>
      </c>
    </row>
    <row r="288" spans="1:32" x14ac:dyDescent="0.35">
      <c r="A288" s="3" t="s">
        <v>608</v>
      </c>
      <c r="B288" s="3" t="s">
        <v>608</v>
      </c>
      <c r="C288" s="3" t="s">
        <v>608</v>
      </c>
      <c r="D288" s="3" t="s">
        <v>608</v>
      </c>
      <c r="E288" s="3" t="s">
        <v>608</v>
      </c>
      <c r="F288" s="3" t="s">
        <v>640</v>
      </c>
      <c r="G288" s="3" t="s">
        <v>471</v>
      </c>
      <c r="H288" s="3" t="s">
        <v>471</v>
      </c>
      <c r="I288" s="3" t="s">
        <v>640</v>
      </c>
      <c r="J288" s="3" t="s">
        <v>4</v>
      </c>
      <c r="K288" s="3" t="s">
        <v>640</v>
      </c>
      <c r="L288" s="3" t="s">
        <v>448</v>
      </c>
      <c r="M288" s="3" t="s">
        <v>14</v>
      </c>
      <c r="N288">
        <v>-1500000</v>
      </c>
      <c r="O288">
        <v>116.755</v>
      </c>
      <c r="Q288">
        <v>0</v>
      </c>
      <c r="R288">
        <v>-47</v>
      </c>
      <c r="S288" s="3" t="s">
        <v>640</v>
      </c>
      <c r="T288">
        <v>0</v>
      </c>
      <c r="U288">
        <v>0</v>
      </c>
      <c r="V288">
        <v>0</v>
      </c>
      <c r="W288">
        <v>0</v>
      </c>
      <c r="X288">
        <v>1788365</v>
      </c>
      <c r="Y288" s="3" t="s">
        <v>640</v>
      </c>
      <c r="Z288">
        <v>116.755</v>
      </c>
      <c r="AA288">
        <v>-1500000</v>
      </c>
      <c r="AB288" s="3" t="s">
        <v>449</v>
      </c>
      <c r="AC288" s="3" t="s">
        <v>10</v>
      </c>
      <c r="AD288">
        <v>0</v>
      </c>
      <c r="AE288">
        <v>0</v>
      </c>
      <c r="AF288" s="3" t="s">
        <v>640</v>
      </c>
    </row>
    <row r="289" spans="1:32" x14ac:dyDescent="0.35">
      <c r="A289" s="3" t="s">
        <v>608</v>
      </c>
      <c r="B289" s="3" t="s">
        <v>608</v>
      </c>
      <c r="C289" s="3" t="s">
        <v>608</v>
      </c>
      <c r="D289" s="3" t="s">
        <v>608</v>
      </c>
      <c r="E289" s="3" t="s">
        <v>608</v>
      </c>
      <c r="F289" s="3" t="s">
        <v>640</v>
      </c>
      <c r="G289" s="3" t="s">
        <v>602</v>
      </c>
      <c r="H289" s="3" t="s">
        <v>602</v>
      </c>
      <c r="I289" s="3" t="s">
        <v>640</v>
      </c>
      <c r="J289" s="3" t="s">
        <v>4</v>
      </c>
      <c r="K289" s="3" t="s">
        <v>640</v>
      </c>
      <c r="L289" s="3" t="s">
        <v>448</v>
      </c>
      <c r="M289" s="3" t="s">
        <v>14</v>
      </c>
      <c r="N289">
        <v>3000000</v>
      </c>
      <c r="O289">
        <v>77.091999999999999</v>
      </c>
      <c r="Q289">
        <v>0</v>
      </c>
      <c r="R289">
        <v>16</v>
      </c>
      <c r="S289" s="3" t="s">
        <v>640</v>
      </c>
      <c r="T289">
        <v>0</v>
      </c>
      <c r="U289">
        <v>0</v>
      </c>
      <c r="V289">
        <v>0</v>
      </c>
      <c r="W289">
        <v>0</v>
      </c>
      <c r="X289">
        <v>-2312769</v>
      </c>
      <c r="Y289" s="3" t="s">
        <v>640</v>
      </c>
      <c r="Z289">
        <v>77.091999999999999</v>
      </c>
      <c r="AA289">
        <v>3000000</v>
      </c>
      <c r="AB289" s="3" t="s">
        <v>449</v>
      </c>
      <c r="AC289" s="3" t="s">
        <v>10</v>
      </c>
      <c r="AD289">
        <v>0</v>
      </c>
      <c r="AE289">
        <v>0</v>
      </c>
      <c r="AF289" s="3" t="s">
        <v>640</v>
      </c>
    </row>
    <row r="290" spans="1:32" x14ac:dyDescent="0.35">
      <c r="A290" s="3" t="s">
        <v>608</v>
      </c>
      <c r="B290" s="3" t="s">
        <v>608</v>
      </c>
      <c r="C290" s="3" t="s">
        <v>608</v>
      </c>
      <c r="D290" s="3" t="s">
        <v>608</v>
      </c>
      <c r="E290" s="3" t="s">
        <v>608</v>
      </c>
      <c r="F290" s="3" t="s">
        <v>640</v>
      </c>
      <c r="G290" s="3" t="s">
        <v>472</v>
      </c>
      <c r="H290" s="3" t="s">
        <v>472</v>
      </c>
      <c r="I290" s="3" t="s">
        <v>640</v>
      </c>
      <c r="J290" s="3" t="s">
        <v>4</v>
      </c>
      <c r="K290" s="3" t="s">
        <v>640</v>
      </c>
      <c r="L290" s="3" t="s">
        <v>448</v>
      </c>
      <c r="M290" s="3" t="s">
        <v>14</v>
      </c>
      <c r="N290">
        <v>-274000</v>
      </c>
      <c r="O290">
        <v>106.627</v>
      </c>
      <c r="Q290">
        <v>0</v>
      </c>
      <c r="R290">
        <v>-9</v>
      </c>
      <c r="S290" s="3" t="s">
        <v>640</v>
      </c>
      <c r="T290">
        <v>0</v>
      </c>
      <c r="U290">
        <v>0</v>
      </c>
      <c r="V290">
        <v>0</v>
      </c>
      <c r="W290">
        <v>0</v>
      </c>
      <c r="X290">
        <v>292158</v>
      </c>
      <c r="Y290" s="3" t="s">
        <v>640</v>
      </c>
      <c r="Z290">
        <v>106.627</v>
      </c>
      <c r="AA290">
        <v>-274000</v>
      </c>
      <c r="AB290" s="3" t="s">
        <v>449</v>
      </c>
      <c r="AC290" s="3" t="s">
        <v>10</v>
      </c>
      <c r="AD290">
        <v>0</v>
      </c>
      <c r="AE290">
        <v>0</v>
      </c>
      <c r="AF290" s="3" t="s">
        <v>640</v>
      </c>
    </row>
    <row r="291" spans="1:32" x14ac:dyDescent="0.35">
      <c r="A291" s="3" t="s">
        <v>608</v>
      </c>
      <c r="B291" s="3" t="s">
        <v>608</v>
      </c>
      <c r="C291" s="3" t="s">
        <v>608</v>
      </c>
      <c r="D291" s="3" t="s">
        <v>608</v>
      </c>
      <c r="E291" s="3" t="s">
        <v>608</v>
      </c>
      <c r="F291" s="3" t="s">
        <v>640</v>
      </c>
      <c r="G291" s="3" t="s">
        <v>1001</v>
      </c>
      <c r="H291" s="3" t="s">
        <v>1001</v>
      </c>
      <c r="I291" s="3" t="s">
        <v>640</v>
      </c>
      <c r="J291" s="3" t="s">
        <v>4</v>
      </c>
      <c r="K291" s="3" t="s">
        <v>640</v>
      </c>
      <c r="L291" s="3" t="s">
        <v>448</v>
      </c>
      <c r="M291" s="3" t="s">
        <v>14</v>
      </c>
      <c r="N291">
        <v>-5240000</v>
      </c>
      <c r="O291">
        <v>108.129</v>
      </c>
      <c r="Q291">
        <v>0</v>
      </c>
      <c r="R291">
        <v>0</v>
      </c>
      <c r="S291" s="3" t="s">
        <v>640</v>
      </c>
      <c r="T291">
        <v>0</v>
      </c>
      <c r="U291">
        <v>0</v>
      </c>
      <c r="V291">
        <v>0</v>
      </c>
      <c r="W291">
        <v>0</v>
      </c>
      <c r="X291">
        <v>5665964</v>
      </c>
      <c r="Y291" s="3" t="s">
        <v>640</v>
      </c>
      <c r="Z291">
        <v>107.51</v>
      </c>
      <c r="AA291">
        <v>0</v>
      </c>
      <c r="AB291" s="3" t="s">
        <v>449</v>
      </c>
      <c r="AC291" s="3" t="s">
        <v>10</v>
      </c>
      <c r="AD291">
        <v>0</v>
      </c>
      <c r="AE291">
        <v>0</v>
      </c>
      <c r="AF291" s="3" t="s">
        <v>640</v>
      </c>
    </row>
    <row r="292" spans="1:32" x14ac:dyDescent="0.35">
      <c r="A292" s="3" t="s">
        <v>608</v>
      </c>
      <c r="B292" s="3" t="s">
        <v>608</v>
      </c>
      <c r="C292" s="3" t="s">
        <v>608</v>
      </c>
      <c r="D292" s="3" t="s">
        <v>608</v>
      </c>
      <c r="E292" s="3" t="s">
        <v>608</v>
      </c>
      <c r="F292" s="3" t="s">
        <v>640</v>
      </c>
      <c r="G292" s="3" t="s">
        <v>543</v>
      </c>
      <c r="H292" s="3" t="s">
        <v>543</v>
      </c>
      <c r="I292" s="3" t="s">
        <v>640</v>
      </c>
      <c r="J292" s="3" t="s">
        <v>4</v>
      </c>
      <c r="K292" s="3" t="s">
        <v>640</v>
      </c>
      <c r="L292" s="3" t="s">
        <v>448</v>
      </c>
      <c r="M292" s="3" t="s">
        <v>14</v>
      </c>
      <c r="N292">
        <v>-500000</v>
      </c>
      <c r="O292">
        <v>109.496</v>
      </c>
      <c r="Q292">
        <v>0</v>
      </c>
      <c r="R292">
        <v>-19</v>
      </c>
      <c r="S292" s="3" t="s">
        <v>640</v>
      </c>
      <c r="T292">
        <v>0</v>
      </c>
      <c r="U292">
        <v>0</v>
      </c>
      <c r="V292">
        <v>0</v>
      </c>
      <c r="W292">
        <v>0</v>
      </c>
      <c r="X292">
        <v>547482</v>
      </c>
      <c r="Y292" s="3" t="s">
        <v>640</v>
      </c>
      <c r="Z292">
        <v>109.496</v>
      </c>
      <c r="AA292">
        <v>-500000</v>
      </c>
      <c r="AB292" s="3" t="s">
        <v>449</v>
      </c>
      <c r="AC292" s="3" t="s">
        <v>10</v>
      </c>
      <c r="AD292">
        <v>0</v>
      </c>
      <c r="AE292">
        <v>0</v>
      </c>
      <c r="AF292" s="3" t="s">
        <v>640</v>
      </c>
    </row>
    <row r="293" spans="1:32" x14ac:dyDescent="0.35">
      <c r="A293" s="3" t="s">
        <v>608</v>
      </c>
      <c r="B293" s="3" t="s">
        <v>608</v>
      </c>
      <c r="C293" s="3" t="s">
        <v>608</v>
      </c>
      <c r="D293" s="3" t="s">
        <v>608</v>
      </c>
      <c r="E293" s="3" t="s">
        <v>608</v>
      </c>
      <c r="F293" s="3" t="s">
        <v>640</v>
      </c>
      <c r="G293" s="3" t="s">
        <v>868</v>
      </c>
      <c r="H293" s="3" t="s">
        <v>868</v>
      </c>
      <c r="I293" s="3" t="s">
        <v>640</v>
      </c>
      <c r="J293" s="3" t="s">
        <v>4</v>
      </c>
      <c r="K293" s="3" t="s">
        <v>640</v>
      </c>
      <c r="L293" s="3" t="s">
        <v>448</v>
      </c>
      <c r="M293" s="3" t="s">
        <v>14</v>
      </c>
      <c r="N293">
        <v>3600000</v>
      </c>
      <c r="O293">
        <v>75.876999999999995</v>
      </c>
      <c r="Q293">
        <v>0</v>
      </c>
      <c r="R293">
        <v>19</v>
      </c>
      <c r="S293" s="3" t="s">
        <v>640</v>
      </c>
      <c r="T293">
        <v>0</v>
      </c>
      <c r="U293">
        <v>0</v>
      </c>
      <c r="V293">
        <v>0</v>
      </c>
      <c r="W293">
        <v>0</v>
      </c>
      <c r="X293">
        <v>-2731586</v>
      </c>
      <c r="Y293" s="3" t="s">
        <v>640</v>
      </c>
      <c r="Z293">
        <v>75.876999999999995</v>
      </c>
      <c r="AA293">
        <v>3600000</v>
      </c>
      <c r="AB293" s="3" t="s">
        <v>449</v>
      </c>
      <c r="AC293" s="3" t="s">
        <v>10</v>
      </c>
      <c r="AD293">
        <v>0</v>
      </c>
      <c r="AE293">
        <v>0</v>
      </c>
      <c r="AF293" s="3" t="s">
        <v>640</v>
      </c>
    </row>
    <row r="294" spans="1:32" x14ac:dyDescent="0.35">
      <c r="A294" s="3" t="s">
        <v>608</v>
      </c>
      <c r="B294" s="3" t="s">
        <v>608</v>
      </c>
      <c r="C294" s="3" t="s">
        <v>608</v>
      </c>
      <c r="D294" s="3" t="s">
        <v>608</v>
      </c>
      <c r="E294" s="3" t="s">
        <v>608</v>
      </c>
      <c r="F294" s="3" t="s">
        <v>640</v>
      </c>
      <c r="G294" s="3" t="s">
        <v>544</v>
      </c>
      <c r="H294" s="3" t="s">
        <v>544</v>
      </c>
      <c r="I294" s="3" t="s">
        <v>640</v>
      </c>
      <c r="J294" s="3" t="s">
        <v>4</v>
      </c>
      <c r="K294" s="3" t="s">
        <v>640</v>
      </c>
      <c r="L294" s="3" t="s">
        <v>448</v>
      </c>
      <c r="M294" s="3" t="s">
        <v>14</v>
      </c>
      <c r="N294">
        <v>-1380000</v>
      </c>
      <c r="O294">
        <v>109.21899999999999</v>
      </c>
      <c r="Q294">
        <v>0</v>
      </c>
      <c r="R294">
        <v>-45</v>
      </c>
      <c r="S294" s="3" t="s">
        <v>640</v>
      </c>
      <c r="T294">
        <v>0</v>
      </c>
      <c r="U294">
        <v>0</v>
      </c>
      <c r="V294">
        <v>0</v>
      </c>
      <c r="W294">
        <v>0</v>
      </c>
      <c r="X294">
        <v>1502105</v>
      </c>
      <c r="Y294" s="3" t="s">
        <v>640</v>
      </c>
      <c r="Z294">
        <v>108.059</v>
      </c>
      <c r="AA294">
        <v>-1500000</v>
      </c>
      <c r="AB294" s="3" t="s">
        <v>449</v>
      </c>
      <c r="AC294" s="3" t="s">
        <v>10</v>
      </c>
      <c r="AD294">
        <v>0</v>
      </c>
      <c r="AE294">
        <v>0</v>
      </c>
      <c r="AF294" s="3" t="s">
        <v>640</v>
      </c>
    </row>
    <row r="295" spans="1:32" x14ac:dyDescent="0.35">
      <c r="A295" s="3" t="s">
        <v>608</v>
      </c>
      <c r="B295" s="3" t="s">
        <v>608</v>
      </c>
      <c r="C295" s="3" t="s">
        <v>608</v>
      </c>
      <c r="D295" s="3" t="s">
        <v>608</v>
      </c>
      <c r="E295" s="3" t="s">
        <v>608</v>
      </c>
      <c r="F295" s="3" t="s">
        <v>640</v>
      </c>
      <c r="G295" s="3" t="s">
        <v>495</v>
      </c>
      <c r="H295" s="3" t="s">
        <v>495</v>
      </c>
      <c r="I295" s="3" t="s">
        <v>640</v>
      </c>
      <c r="J295" s="3" t="s">
        <v>4</v>
      </c>
      <c r="K295" s="3" t="s">
        <v>640</v>
      </c>
      <c r="L295" s="3" t="s">
        <v>448</v>
      </c>
      <c r="M295" s="3" t="s">
        <v>14</v>
      </c>
      <c r="N295">
        <v>0</v>
      </c>
      <c r="O295">
        <v>138.33799999999999</v>
      </c>
      <c r="Q295">
        <v>0</v>
      </c>
      <c r="R295">
        <v>-58</v>
      </c>
      <c r="S295" s="3" t="s">
        <v>640</v>
      </c>
      <c r="T295">
        <v>0</v>
      </c>
      <c r="U295">
        <v>0</v>
      </c>
      <c r="V295">
        <v>0</v>
      </c>
      <c r="W295">
        <v>0</v>
      </c>
      <c r="X295">
        <v>0</v>
      </c>
      <c r="Y295" s="3" t="s">
        <v>640</v>
      </c>
      <c r="Z295">
        <v>138.33799999999999</v>
      </c>
      <c r="AA295">
        <v>-38050</v>
      </c>
      <c r="AB295" s="3" t="s">
        <v>449</v>
      </c>
      <c r="AC295" s="3" t="s">
        <v>10</v>
      </c>
      <c r="AD295">
        <v>0</v>
      </c>
      <c r="AE295">
        <v>0</v>
      </c>
      <c r="AF295" s="3" t="s">
        <v>640</v>
      </c>
    </row>
    <row r="296" spans="1:32" x14ac:dyDescent="0.35">
      <c r="A296" s="3" t="s">
        <v>608</v>
      </c>
      <c r="B296" s="3" t="s">
        <v>608</v>
      </c>
      <c r="C296" s="3" t="s">
        <v>608</v>
      </c>
      <c r="D296" s="3" t="s">
        <v>608</v>
      </c>
      <c r="E296" s="3" t="s">
        <v>608</v>
      </c>
      <c r="F296" s="3" t="s">
        <v>640</v>
      </c>
      <c r="G296" s="3" t="s">
        <v>496</v>
      </c>
      <c r="H296" s="3" t="s">
        <v>496</v>
      </c>
      <c r="I296" s="3" t="s">
        <v>640</v>
      </c>
      <c r="J296" s="3" t="s">
        <v>4</v>
      </c>
      <c r="K296" s="3" t="s">
        <v>640</v>
      </c>
      <c r="L296" s="3" t="s">
        <v>448</v>
      </c>
      <c r="M296" s="3" t="s">
        <v>14</v>
      </c>
      <c r="N296">
        <v>-1500000</v>
      </c>
      <c r="O296">
        <v>113.435</v>
      </c>
      <c r="Q296">
        <v>0</v>
      </c>
      <c r="R296">
        <v>-45</v>
      </c>
      <c r="S296" s="3" t="s">
        <v>640</v>
      </c>
      <c r="T296">
        <v>0</v>
      </c>
      <c r="U296">
        <v>0</v>
      </c>
      <c r="V296">
        <v>0</v>
      </c>
      <c r="W296">
        <v>0</v>
      </c>
      <c r="X296">
        <v>1690274</v>
      </c>
      <c r="Y296" s="3" t="s">
        <v>640</v>
      </c>
      <c r="Z296">
        <v>113.435</v>
      </c>
      <c r="AA296">
        <v>-1500000</v>
      </c>
      <c r="AB296" s="3" t="s">
        <v>449</v>
      </c>
      <c r="AC296" s="3" t="s">
        <v>10</v>
      </c>
      <c r="AD296">
        <v>0</v>
      </c>
      <c r="AE296">
        <v>0</v>
      </c>
      <c r="AF296" s="3" t="s">
        <v>640</v>
      </c>
    </row>
    <row r="297" spans="1:32" x14ac:dyDescent="0.35">
      <c r="A297" s="3" t="s">
        <v>608</v>
      </c>
      <c r="B297" s="3" t="s">
        <v>608</v>
      </c>
      <c r="C297" s="3" t="s">
        <v>608</v>
      </c>
      <c r="D297" s="3" t="s">
        <v>608</v>
      </c>
      <c r="E297" s="3" t="s">
        <v>608</v>
      </c>
      <c r="F297" s="3" t="s">
        <v>640</v>
      </c>
      <c r="G297" s="3" t="s">
        <v>903</v>
      </c>
      <c r="H297" s="3" t="s">
        <v>903</v>
      </c>
      <c r="I297" s="3" t="s">
        <v>640</v>
      </c>
      <c r="J297" s="3" t="s">
        <v>4</v>
      </c>
      <c r="K297" s="3" t="s">
        <v>640</v>
      </c>
      <c r="L297" s="3" t="s">
        <v>448</v>
      </c>
      <c r="M297" s="3" t="s">
        <v>14</v>
      </c>
      <c r="N297">
        <v>-3000000</v>
      </c>
      <c r="O297">
        <v>108.27200000000001</v>
      </c>
      <c r="Q297">
        <v>0</v>
      </c>
      <c r="R297">
        <v>-86</v>
      </c>
      <c r="S297" s="3" t="s">
        <v>640</v>
      </c>
      <c r="T297">
        <v>0</v>
      </c>
      <c r="U297">
        <v>0</v>
      </c>
      <c r="V297">
        <v>0</v>
      </c>
      <c r="W297">
        <v>0</v>
      </c>
      <c r="X297">
        <v>3248169</v>
      </c>
      <c r="Y297" s="3" t="s">
        <v>640</v>
      </c>
      <c r="Z297">
        <v>108.27200000000001</v>
      </c>
      <c r="AA297">
        <v>-3000000</v>
      </c>
      <c r="AB297" s="3" t="s">
        <v>449</v>
      </c>
      <c r="AC297" s="3" t="s">
        <v>10</v>
      </c>
      <c r="AD297">
        <v>0</v>
      </c>
      <c r="AE297">
        <v>0</v>
      </c>
      <c r="AF297" s="3" t="s">
        <v>640</v>
      </c>
    </row>
    <row r="298" spans="1:32" x14ac:dyDescent="0.35">
      <c r="A298" s="3" t="s">
        <v>608</v>
      </c>
      <c r="B298" s="3" t="s">
        <v>608</v>
      </c>
      <c r="C298" s="3" t="s">
        <v>608</v>
      </c>
      <c r="D298" s="3" t="s">
        <v>608</v>
      </c>
      <c r="E298" s="3" t="s">
        <v>608</v>
      </c>
      <c r="F298" s="3" t="s">
        <v>640</v>
      </c>
      <c r="G298" s="3" t="s">
        <v>497</v>
      </c>
      <c r="H298" s="3" t="s">
        <v>497</v>
      </c>
      <c r="I298" s="3" t="s">
        <v>640</v>
      </c>
      <c r="J298" s="3" t="s">
        <v>283</v>
      </c>
      <c r="K298" s="3" t="s">
        <v>640</v>
      </c>
      <c r="L298" s="3" t="s">
        <v>448</v>
      </c>
      <c r="M298" s="3" t="s">
        <v>14</v>
      </c>
      <c r="N298">
        <v>200000</v>
      </c>
      <c r="O298">
        <v>78.147999999999996</v>
      </c>
      <c r="Q298">
        <v>0</v>
      </c>
      <c r="R298">
        <v>-2</v>
      </c>
      <c r="S298" s="3" t="s">
        <v>640</v>
      </c>
      <c r="T298">
        <v>0</v>
      </c>
      <c r="U298">
        <v>0</v>
      </c>
      <c r="V298">
        <v>0</v>
      </c>
      <c r="W298">
        <v>0</v>
      </c>
      <c r="X298">
        <v>-173358</v>
      </c>
      <c r="Y298" s="3" t="s">
        <v>640</v>
      </c>
      <c r="Z298">
        <v>78.147999999999996</v>
      </c>
      <c r="AA298">
        <v>200000</v>
      </c>
      <c r="AB298" s="3" t="s">
        <v>449</v>
      </c>
      <c r="AC298" s="3" t="s">
        <v>10</v>
      </c>
      <c r="AD298">
        <v>0</v>
      </c>
      <c r="AE298">
        <v>0</v>
      </c>
      <c r="AF298" s="3" t="s">
        <v>640</v>
      </c>
    </row>
    <row r="299" spans="1:32" x14ac:dyDescent="0.35">
      <c r="A299" s="3" t="s">
        <v>608</v>
      </c>
      <c r="B299" s="3" t="s">
        <v>608</v>
      </c>
      <c r="C299" s="3" t="s">
        <v>608</v>
      </c>
      <c r="D299" s="3" t="s">
        <v>608</v>
      </c>
      <c r="E299" s="3" t="s">
        <v>608</v>
      </c>
      <c r="F299" s="3" t="s">
        <v>640</v>
      </c>
      <c r="G299" s="3" t="s">
        <v>850</v>
      </c>
      <c r="H299" s="3" t="s">
        <v>850</v>
      </c>
      <c r="I299" s="3" t="s">
        <v>640</v>
      </c>
      <c r="J299" s="3" t="s">
        <v>283</v>
      </c>
      <c r="K299" s="3" t="s">
        <v>640</v>
      </c>
      <c r="L299" s="3" t="s">
        <v>448</v>
      </c>
      <c r="M299" s="3" t="s">
        <v>14</v>
      </c>
      <c r="N299">
        <v>-3200000</v>
      </c>
      <c r="O299">
        <v>112.3</v>
      </c>
      <c r="Q299">
        <v>0</v>
      </c>
      <c r="R299">
        <v>-43</v>
      </c>
      <c r="S299" s="3" t="s">
        <v>640</v>
      </c>
      <c r="T299">
        <v>0</v>
      </c>
      <c r="U299">
        <v>0</v>
      </c>
      <c r="V299">
        <v>0</v>
      </c>
      <c r="W299">
        <v>0</v>
      </c>
      <c r="X299">
        <v>3985884</v>
      </c>
      <c r="Y299" s="3" t="s">
        <v>640</v>
      </c>
      <c r="Z299">
        <v>112.217</v>
      </c>
      <c r="AA299">
        <v>-3600000</v>
      </c>
      <c r="AB299" s="3" t="s">
        <v>449</v>
      </c>
      <c r="AC299" s="3" t="s">
        <v>10</v>
      </c>
      <c r="AD299">
        <v>0</v>
      </c>
      <c r="AE299">
        <v>0</v>
      </c>
      <c r="AF299" s="3" t="s">
        <v>640</v>
      </c>
    </row>
    <row r="300" spans="1:32" x14ac:dyDescent="0.35">
      <c r="A300" s="3" t="s">
        <v>608</v>
      </c>
      <c r="B300" s="3" t="s">
        <v>608</v>
      </c>
      <c r="C300" s="3" t="s">
        <v>608</v>
      </c>
      <c r="D300" s="3" t="s">
        <v>608</v>
      </c>
      <c r="E300" s="3" t="s">
        <v>608</v>
      </c>
      <c r="F300" s="3" t="s">
        <v>640</v>
      </c>
      <c r="G300" s="3" t="s">
        <v>590</v>
      </c>
      <c r="H300" s="3" t="s">
        <v>590</v>
      </c>
      <c r="I300" s="3" t="s">
        <v>640</v>
      </c>
      <c r="J300" s="3" t="s">
        <v>4</v>
      </c>
      <c r="K300" s="3" t="s">
        <v>640</v>
      </c>
      <c r="L300" s="3" t="s">
        <v>448</v>
      </c>
      <c r="M300" s="3" t="s">
        <v>14</v>
      </c>
      <c r="N300">
        <v>0</v>
      </c>
      <c r="O300">
        <v>103.84</v>
      </c>
      <c r="Q300">
        <v>0</v>
      </c>
      <c r="R300">
        <v>0</v>
      </c>
      <c r="S300" s="3" t="s">
        <v>640</v>
      </c>
      <c r="T300">
        <v>0</v>
      </c>
      <c r="U300">
        <v>0</v>
      </c>
      <c r="V300">
        <v>0</v>
      </c>
      <c r="W300">
        <v>0</v>
      </c>
      <c r="X300">
        <v>0</v>
      </c>
      <c r="Y300" s="3" t="s">
        <v>640</v>
      </c>
      <c r="Z300">
        <v>103.84</v>
      </c>
      <c r="AA300">
        <v>0</v>
      </c>
      <c r="AB300" s="3" t="s">
        <v>449</v>
      </c>
      <c r="AC300" s="3" t="s">
        <v>10</v>
      </c>
      <c r="AD300">
        <v>0</v>
      </c>
      <c r="AE300">
        <v>0</v>
      </c>
      <c r="AF300" s="3" t="s">
        <v>640</v>
      </c>
    </row>
    <row r="301" spans="1:32" x14ac:dyDescent="0.35">
      <c r="A301" s="3" t="s">
        <v>608</v>
      </c>
      <c r="B301" s="3" t="s">
        <v>608</v>
      </c>
      <c r="C301" s="3" t="s">
        <v>608</v>
      </c>
      <c r="D301" s="3" t="s">
        <v>608</v>
      </c>
      <c r="E301" s="3" t="s">
        <v>608</v>
      </c>
      <c r="F301" s="3" t="s">
        <v>640</v>
      </c>
      <c r="G301" s="3" t="s">
        <v>473</v>
      </c>
      <c r="H301" s="3" t="s">
        <v>473</v>
      </c>
      <c r="I301" s="3" t="s">
        <v>640</v>
      </c>
      <c r="J301" s="3" t="s">
        <v>4</v>
      </c>
      <c r="K301" s="3" t="s">
        <v>640</v>
      </c>
      <c r="L301" s="3" t="s">
        <v>448</v>
      </c>
      <c r="M301" s="3" t="s">
        <v>14</v>
      </c>
      <c r="N301">
        <v>-1000000</v>
      </c>
      <c r="O301">
        <v>113.86199999999999</v>
      </c>
      <c r="Q301">
        <v>0</v>
      </c>
      <c r="R301">
        <v>-30</v>
      </c>
      <c r="S301" s="3" t="s">
        <v>640</v>
      </c>
      <c r="T301">
        <v>0</v>
      </c>
      <c r="U301">
        <v>0</v>
      </c>
      <c r="V301">
        <v>0</v>
      </c>
      <c r="W301">
        <v>0</v>
      </c>
      <c r="X301">
        <v>1138622</v>
      </c>
      <c r="Y301" s="3" t="s">
        <v>640</v>
      </c>
      <c r="Z301">
        <v>113.86199999999999</v>
      </c>
      <c r="AA301">
        <v>-1000000</v>
      </c>
      <c r="AB301" s="3" t="s">
        <v>449</v>
      </c>
      <c r="AC301" s="3" t="s">
        <v>10</v>
      </c>
      <c r="AD301">
        <v>0</v>
      </c>
      <c r="AE301">
        <v>0</v>
      </c>
      <c r="AF301" s="3" t="s">
        <v>640</v>
      </c>
    </row>
    <row r="302" spans="1:32" x14ac:dyDescent="0.35">
      <c r="A302" s="3" t="s">
        <v>608</v>
      </c>
      <c r="B302" s="3" t="s">
        <v>608</v>
      </c>
      <c r="C302" s="3" t="s">
        <v>608</v>
      </c>
      <c r="D302" s="3" t="s">
        <v>608</v>
      </c>
      <c r="E302" s="3" t="s">
        <v>608</v>
      </c>
      <c r="F302" s="3" t="s">
        <v>640</v>
      </c>
      <c r="G302" s="3" t="s">
        <v>474</v>
      </c>
      <c r="H302" s="3" t="s">
        <v>474</v>
      </c>
      <c r="I302" s="3" t="s">
        <v>640</v>
      </c>
      <c r="J302" s="3" t="s">
        <v>4</v>
      </c>
      <c r="K302" s="3" t="s">
        <v>640</v>
      </c>
      <c r="L302" s="3" t="s">
        <v>448</v>
      </c>
      <c r="M302" s="3" t="s">
        <v>14</v>
      </c>
      <c r="N302">
        <v>2300000</v>
      </c>
      <c r="O302">
        <v>90.320999999999998</v>
      </c>
      <c r="Q302">
        <v>0</v>
      </c>
      <c r="R302">
        <v>14</v>
      </c>
      <c r="S302" s="3" t="s">
        <v>640</v>
      </c>
      <c r="T302">
        <v>0</v>
      </c>
      <c r="U302">
        <v>0</v>
      </c>
      <c r="V302">
        <v>0</v>
      </c>
      <c r="W302">
        <v>0</v>
      </c>
      <c r="X302">
        <v>-2077387</v>
      </c>
      <c r="Y302" s="3" t="s">
        <v>640</v>
      </c>
      <c r="Z302">
        <v>90.320999999999998</v>
      </c>
      <c r="AA302">
        <v>2300000</v>
      </c>
      <c r="AB302" s="3" t="s">
        <v>449</v>
      </c>
      <c r="AC302" s="3" t="s">
        <v>10</v>
      </c>
      <c r="AD302">
        <v>0</v>
      </c>
      <c r="AE302">
        <v>0</v>
      </c>
      <c r="AF302" s="3" t="s">
        <v>640</v>
      </c>
    </row>
    <row r="303" spans="1:32" x14ac:dyDescent="0.35">
      <c r="A303" s="3" t="s">
        <v>608</v>
      </c>
      <c r="B303" s="3" t="s">
        <v>608</v>
      </c>
      <c r="C303" s="3" t="s">
        <v>608</v>
      </c>
      <c r="D303" s="3" t="s">
        <v>608</v>
      </c>
      <c r="E303" s="3" t="s">
        <v>608</v>
      </c>
      <c r="F303" s="3" t="s">
        <v>640</v>
      </c>
      <c r="G303" s="3" t="s">
        <v>869</v>
      </c>
      <c r="H303" s="3" t="s">
        <v>869</v>
      </c>
      <c r="I303" s="3" t="s">
        <v>640</v>
      </c>
      <c r="J303" s="3" t="s">
        <v>4</v>
      </c>
      <c r="K303" s="3" t="s">
        <v>640</v>
      </c>
      <c r="L303" s="3" t="s">
        <v>448</v>
      </c>
      <c r="M303" s="3" t="s">
        <v>14</v>
      </c>
      <c r="N303">
        <v>0</v>
      </c>
      <c r="O303">
        <v>82.5</v>
      </c>
      <c r="Q303">
        <v>0</v>
      </c>
      <c r="R303">
        <v>0</v>
      </c>
      <c r="S303" s="3" t="s">
        <v>640</v>
      </c>
      <c r="T303">
        <v>0</v>
      </c>
      <c r="U303">
        <v>0</v>
      </c>
      <c r="V303">
        <v>0</v>
      </c>
      <c r="W303">
        <v>0</v>
      </c>
      <c r="X303">
        <v>0</v>
      </c>
      <c r="Y303" s="3" t="s">
        <v>640</v>
      </c>
      <c r="Z303">
        <v>82.5</v>
      </c>
      <c r="AA303">
        <v>0</v>
      </c>
      <c r="AB303" s="3" t="s">
        <v>449</v>
      </c>
      <c r="AC303" s="3" t="s">
        <v>10</v>
      </c>
      <c r="AD303">
        <v>0</v>
      </c>
      <c r="AE303">
        <v>0</v>
      </c>
      <c r="AF303" s="3" t="s">
        <v>640</v>
      </c>
    </row>
    <row r="304" spans="1:32" x14ac:dyDescent="0.35">
      <c r="A304" s="3" t="s">
        <v>608</v>
      </c>
      <c r="B304" s="3" t="s">
        <v>608</v>
      </c>
      <c r="C304" s="3" t="s">
        <v>608</v>
      </c>
      <c r="D304" s="3" t="s">
        <v>608</v>
      </c>
      <c r="E304" s="3" t="s">
        <v>608</v>
      </c>
      <c r="F304" s="3" t="s">
        <v>640</v>
      </c>
      <c r="G304" s="3" t="s">
        <v>904</v>
      </c>
      <c r="H304" s="3" t="s">
        <v>904</v>
      </c>
      <c r="I304" s="3" t="s">
        <v>640</v>
      </c>
      <c r="J304" s="3" t="s">
        <v>4</v>
      </c>
      <c r="K304" s="3" t="s">
        <v>640</v>
      </c>
      <c r="L304" s="3" t="s">
        <v>448</v>
      </c>
      <c r="M304" s="3" t="s">
        <v>14</v>
      </c>
      <c r="N304">
        <v>-6900000</v>
      </c>
      <c r="O304">
        <v>106.79600000000001</v>
      </c>
      <c r="Q304">
        <v>0</v>
      </c>
      <c r="R304">
        <v>-224</v>
      </c>
      <c r="S304" s="3" t="s">
        <v>640</v>
      </c>
      <c r="T304">
        <v>0</v>
      </c>
      <c r="U304">
        <v>0</v>
      </c>
      <c r="V304">
        <v>0</v>
      </c>
      <c r="W304">
        <v>0</v>
      </c>
      <c r="X304">
        <v>7368931</v>
      </c>
      <c r="Y304" s="3" t="s">
        <v>640</v>
      </c>
      <c r="Z304">
        <v>106.14</v>
      </c>
      <c r="AA304">
        <v>-8000000</v>
      </c>
      <c r="AB304" s="3" t="s">
        <v>449</v>
      </c>
      <c r="AC304" s="3" t="s">
        <v>10</v>
      </c>
      <c r="AD304">
        <v>0</v>
      </c>
      <c r="AE304">
        <v>0</v>
      </c>
      <c r="AF304" s="3" t="s">
        <v>640</v>
      </c>
    </row>
    <row r="305" spans="1:32" x14ac:dyDescent="0.35">
      <c r="A305" s="3" t="s">
        <v>608</v>
      </c>
      <c r="B305" s="3" t="s">
        <v>608</v>
      </c>
      <c r="C305" s="3" t="s">
        <v>608</v>
      </c>
      <c r="D305" s="3" t="s">
        <v>608</v>
      </c>
      <c r="E305" s="3" t="s">
        <v>608</v>
      </c>
      <c r="F305" s="3" t="s">
        <v>640</v>
      </c>
      <c r="G305" s="3" t="s">
        <v>515</v>
      </c>
      <c r="H305" s="3" t="s">
        <v>515</v>
      </c>
      <c r="I305" s="3" t="s">
        <v>640</v>
      </c>
      <c r="J305" s="3" t="s">
        <v>283</v>
      </c>
      <c r="K305" s="3" t="s">
        <v>640</v>
      </c>
      <c r="L305" s="3" t="s">
        <v>448</v>
      </c>
      <c r="M305" s="3" t="s">
        <v>14</v>
      </c>
      <c r="N305">
        <v>-1590000</v>
      </c>
      <c r="O305">
        <v>117.7</v>
      </c>
      <c r="Q305">
        <v>0</v>
      </c>
      <c r="R305">
        <v>-27</v>
      </c>
      <c r="S305" s="3" t="s">
        <v>640</v>
      </c>
      <c r="T305">
        <v>0</v>
      </c>
      <c r="U305">
        <v>0</v>
      </c>
      <c r="V305">
        <v>0</v>
      </c>
      <c r="W305">
        <v>0</v>
      </c>
      <c r="X305">
        <v>2075722</v>
      </c>
      <c r="Y305" s="3" t="s">
        <v>640</v>
      </c>
      <c r="Z305">
        <v>117.751</v>
      </c>
      <c r="AA305">
        <v>-2159000</v>
      </c>
      <c r="AB305" s="3" t="s">
        <v>449</v>
      </c>
      <c r="AC305" s="3" t="s">
        <v>10</v>
      </c>
      <c r="AD305">
        <v>0</v>
      </c>
      <c r="AE305">
        <v>0</v>
      </c>
      <c r="AF305" s="3" t="s">
        <v>640</v>
      </c>
    </row>
    <row r="306" spans="1:32" x14ac:dyDescent="0.35">
      <c r="A306" s="3" t="s">
        <v>608</v>
      </c>
      <c r="B306" s="3" t="s">
        <v>608</v>
      </c>
      <c r="C306" s="3" t="s">
        <v>608</v>
      </c>
      <c r="D306" s="3" t="s">
        <v>608</v>
      </c>
      <c r="E306" s="3" t="s">
        <v>608</v>
      </c>
      <c r="F306" s="3" t="s">
        <v>640</v>
      </c>
      <c r="G306" s="3" t="s">
        <v>549</v>
      </c>
      <c r="H306" s="3" t="s">
        <v>549</v>
      </c>
      <c r="I306" s="3" t="s">
        <v>640</v>
      </c>
      <c r="J306" s="3" t="s">
        <v>4</v>
      </c>
      <c r="K306" s="3" t="s">
        <v>640</v>
      </c>
      <c r="L306" s="3" t="s">
        <v>448</v>
      </c>
      <c r="M306" s="3" t="s">
        <v>14</v>
      </c>
      <c r="N306">
        <v>0</v>
      </c>
      <c r="O306">
        <v>101.226</v>
      </c>
      <c r="Q306">
        <v>0</v>
      </c>
      <c r="R306">
        <v>-45</v>
      </c>
      <c r="S306" s="3" t="s">
        <v>640</v>
      </c>
      <c r="T306">
        <v>0</v>
      </c>
      <c r="U306">
        <v>0</v>
      </c>
      <c r="V306">
        <v>0</v>
      </c>
      <c r="W306">
        <v>0</v>
      </c>
      <c r="X306">
        <v>0</v>
      </c>
      <c r="Y306" s="3" t="s">
        <v>640</v>
      </c>
      <c r="Z306">
        <v>101.226</v>
      </c>
      <c r="AA306">
        <v>-1700000</v>
      </c>
      <c r="AB306" s="3" t="s">
        <v>449</v>
      </c>
      <c r="AC306" s="3" t="s">
        <v>10</v>
      </c>
      <c r="AD306">
        <v>0</v>
      </c>
      <c r="AE306">
        <v>0</v>
      </c>
      <c r="AF306" s="3" t="s">
        <v>640</v>
      </c>
    </row>
    <row r="307" spans="1:32" x14ac:dyDescent="0.35">
      <c r="A307" s="3" t="s">
        <v>608</v>
      </c>
      <c r="B307" s="3" t="s">
        <v>608</v>
      </c>
      <c r="C307" s="3" t="s">
        <v>608</v>
      </c>
      <c r="D307" s="3" t="s">
        <v>608</v>
      </c>
      <c r="E307" s="3" t="s">
        <v>608</v>
      </c>
      <c r="F307" s="3" t="s">
        <v>640</v>
      </c>
      <c r="G307" s="3" t="s">
        <v>510</v>
      </c>
      <c r="H307" s="3" t="s">
        <v>510</v>
      </c>
      <c r="I307" s="3" t="s">
        <v>640</v>
      </c>
      <c r="J307" s="3" t="s">
        <v>4</v>
      </c>
      <c r="K307" s="3" t="s">
        <v>640</v>
      </c>
      <c r="L307" s="3" t="s">
        <v>448</v>
      </c>
      <c r="M307" s="3" t="s">
        <v>14</v>
      </c>
      <c r="N307">
        <v>-3900000</v>
      </c>
      <c r="O307">
        <v>99.055000000000007</v>
      </c>
      <c r="Q307">
        <v>0</v>
      </c>
      <c r="R307">
        <v>-102</v>
      </c>
      <c r="S307" s="3" t="s">
        <v>640</v>
      </c>
      <c r="T307">
        <v>0</v>
      </c>
      <c r="U307">
        <v>0</v>
      </c>
      <c r="V307">
        <v>0</v>
      </c>
      <c r="W307">
        <v>0</v>
      </c>
      <c r="X307">
        <v>3876184</v>
      </c>
      <c r="Y307" s="3" t="s">
        <v>640</v>
      </c>
      <c r="Z307">
        <v>99.055000000000007</v>
      </c>
      <c r="AA307">
        <v>-3900000</v>
      </c>
      <c r="AB307" s="3" t="s">
        <v>449</v>
      </c>
      <c r="AC307" s="3" t="s">
        <v>10</v>
      </c>
      <c r="AD307">
        <v>0</v>
      </c>
      <c r="AE307">
        <v>0</v>
      </c>
      <c r="AF307" s="3" t="s">
        <v>640</v>
      </c>
    </row>
    <row r="308" spans="1:32" x14ac:dyDescent="0.35">
      <c r="A308" s="3" t="s">
        <v>608</v>
      </c>
      <c r="B308" s="3" t="s">
        <v>608</v>
      </c>
      <c r="C308" s="3" t="s">
        <v>608</v>
      </c>
      <c r="D308" s="3" t="s">
        <v>608</v>
      </c>
      <c r="E308" s="3" t="s">
        <v>608</v>
      </c>
      <c r="F308" s="3" t="s">
        <v>640</v>
      </c>
      <c r="G308" s="3" t="s">
        <v>535</v>
      </c>
      <c r="H308" s="3" t="s">
        <v>535</v>
      </c>
      <c r="I308" s="3" t="s">
        <v>640</v>
      </c>
      <c r="J308" s="3" t="s">
        <v>4</v>
      </c>
      <c r="K308" s="3" t="s">
        <v>640</v>
      </c>
      <c r="L308" s="3" t="s">
        <v>448</v>
      </c>
      <c r="M308" s="3" t="s">
        <v>14</v>
      </c>
      <c r="N308">
        <v>0</v>
      </c>
      <c r="O308">
        <v>106.693</v>
      </c>
      <c r="Q308">
        <v>0</v>
      </c>
      <c r="R308">
        <v>0</v>
      </c>
      <c r="S308" s="3" t="s">
        <v>640</v>
      </c>
      <c r="T308">
        <v>0</v>
      </c>
      <c r="U308">
        <v>0</v>
      </c>
      <c r="V308">
        <v>0</v>
      </c>
      <c r="W308">
        <v>0</v>
      </c>
      <c r="X308">
        <v>0</v>
      </c>
      <c r="Y308" s="3" t="s">
        <v>640</v>
      </c>
      <c r="Z308">
        <v>106.693</v>
      </c>
      <c r="AA308">
        <v>0</v>
      </c>
      <c r="AB308" s="3" t="s">
        <v>449</v>
      </c>
      <c r="AC308" s="3" t="s">
        <v>10</v>
      </c>
      <c r="AD308">
        <v>0</v>
      </c>
      <c r="AE308">
        <v>0</v>
      </c>
      <c r="AF308" s="3" t="s">
        <v>640</v>
      </c>
    </row>
    <row r="309" spans="1:32" x14ac:dyDescent="0.35">
      <c r="A309" s="3" t="s">
        <v>608</v>
      </c>
      <c r="B309" s="3" t="s">
        <v>608</v>
      </c>
      <c r="C309" s="3" t="s">
        <v>608</v>
      </c>
      <c r="D309" s="3" t="s">
        <v>608</v>
      </c>
      <c r="E309" s="3" t="s">
        <v>608</v>
      </c>
      <c r="F309" s="3" t="s">
        <v>640</v>
      </c>
      <c r="G309" s="3" t="s">
        <v>870</v>
      </c>
      <c r="H309" s="3" t="s">
        <v>870</v>
      </c>
      <c r="I309" s="3" t="s">
        <v>640</v>
      </c>
      <c r="J309" s="3" t="s">
        <v>4</v>
      </c>
      <c r="K309" s="3" t="s">
        <v>640</v>
      </c>
      <c r="L309" s="3" t="s">
        <v>448</v>
      </c>
      <c r="M309" s="3" t="s">
        <v>14</v>
      </c>
      <c r="N309">
        <v>2400000</v>
      </c>
      <c r="O309">
        <v>103.01300000000001</v>
      </c>
      <c r="Q309">
        <v>0</v>
      </c>
      <c r="R309">
        <v>21</v>
      </c>
      <c r="S309" s="3" t="s">
        <v>640</v>
      </c>
      <c r="T309">
        <v>0</v>
      </c>
      <c r="U309">
        <v>0</v>
      </c>
      <c r="V309">
        <v>0</v>
      </c>
      <c r="W309">
        <v>0</v>
      </c>
      <c r="X309">
        <v>-2472315</v>
      </c>
      <c r="Y309" s="3" t="s">
        <v>640</v>
      </c>
      <c r="Z309">
        <v>103.01300000000001</v>
      </c>
      <c r="AA309">
        <v>2400000</v>
      </c>
      <c r="AB309" s="3" t="s">
        <v>449</v>
      </c>
      <c r="AC309" s="3" t="s">
        <v>10</v>
      </c>
      <c r="AD309">
        <v>0</v>
      </c>
      <c r="AE309">
        <v>0</v>
      </c>
      <c r="AF309" s="3" t="s">
        <v>640</v>
      </c>
    </row>
    <row r="310" spans="1:32" x14ac:dyDescent="0.35">
      <c r="A310" s="3" t="s">
        <v>608</v>
      </c>
      <c r="B310" s="3" t="s">
        <v>608</v>
      </c>
      <c r="C310" s="3" t="s">
        <v>608</v>
      </c>
      <c r="D310" s="3" t="s">
        <v>608</v>
      </c>
      <c r="E310" s="3" t="s">
        <v>608</v>
      </c>
      <c r="F310" s="3" t="s">
        <v>640</v>
      </c>
      <c r="G310" s="3" t="s">
        <v>519</v>
      </c>
      <c r="H310" s="3" t="s">
        <v>519</v>
      </c>
      <c r="I310" s="3" t="s">
        <v>640</v>
      </c>
      <c r="J310" s="3" t="s">
        <v>4</v>
      </c>
      <c r="K310" s="3" t="s">
        <v>640</v>
      </c>
      <c r="L310" s="3" t="s">
        <v>448</v>
      </c>
      <c r="M310" s="3" t="s">
        <v>14</v>
      </c>
      <c r="N310">
        <v>-1535000</v>
      </c>
      <c r="O310">
        <v>111.629</v>
      </c>
      <c r="Q310">
        <v>0</v>
      </c>
      <c r="R310">
        <v>-53</v>
      </c>
      <c r="S310" s="3" t="s">
        <v>640</v>
      </c>
      <c r="T310">
        <v>0</v>
      </c>
      <c r="U310">
        <v>0</v>
      </c>
      <c r="V310">
        <v>0</v>
      </c>
      <c r="W310">
        <v>0</v>
      </c>
      <c r="X310">
        <v>1713499</v>
      </c>
      <c r="Y310" s="3" t="s">
        <v>640</v>
      </c>
      <c r="Z310">
        <v>108.613</v>
      </c>
      <c r="AA310">
        <v>-1815000</v>
      </c>
      <c r="AB310" s="3" t="s">
        <v>449</v>
      </c>
      <c r="AC310" s="3" t="s">
        <v>10</v>
      </c>
      <c r="AD310">
        <v>0</v>
      </c>
      <c r="AE310">
        <v>0</v>
      </c>
      <c r="AF310" s="3" t="s">
        <v>640</v>
      </c>
    </row>
    <row r="311" spans="1:32" x14ac:dyDescent="0.35">
      <c r="A311" s="3" t="s">
        <v>608</v>
      </c>
      <c r="B311" s="3" t="s">
        <v>608</v>
      </c>
      <c r="C311" s="3" t="s">
        <v>608</v>
      </c>
      <c r="D311" s="3" t="s">
        <v>608</v>
      </c>
      <c r="E311" s="3" t="s">
        <v>608</v>
      </c>
      <c r="F311" s="3" t="s">
        <v>640</v>
      </c>
      <c r="G311" s="3" t="s">
        <v>871</v>
      </c>
      <c r="H311" s="3" t="s">
        <v>871</v>
      </c>
      <c r="I311" s="3" t="s">
        <v>640</v>
      </c>
      <c r="J311" s="3" t="s">
        <v>4</v>
      </c>
      <c r="K311" s="3" t="s">
        <v>640</v>
      </c>
      <c r="L311" s="3" t="s">
        <v>448</v>
      </c>
      <c r="M311" s="3" t="s">
        <v>14</v>
      </c>
      <c r="N311">
        <v>2000000</v>
      </c>
      <c r="O311">
        <v>85.248000000000005</v>
      </c>
      <c r="Q311">
        <v>0</v>
      </c>
      <c r="R311">
        <v>12</v>
      </c>
      <c r="S311" s="3" t="s">
        <v>640</v>
      </c>
      <c r="T311">
        <v>0</v>
      </c>
      <c r="U311">
        <v>0</v>
      </c>
      <c r="V311">
        <v>0</v>
      </c>
      <c r="W311">
        <v>0</v>
      </c>
      <c r="X311">
        <v>-1704954</v>
      </c>
      <c r="Y311" s="3" t="s">
        <v>640</v>
      </c>
      <c r="Z311">
        <v>85.248000000000005</v>
      </c>
      <c r="AA311">
        <v>2000000</v>
      </c>
      <c r="AB311" s="3" t="s">
        <v>449</v>
      </c>
      <c r="AC311" s="3" t="s">
        <v>10</v>
      </c>
      <c r="AD311">
        <v>0</v>
      </c>
      <c r="AE311">
        <v>0</v>
      </c>
      <c r="AF311" s="3" t="s">
        <v>640</v>
      </c>
    </row>
    <row r="312" spans="1:32" x14ac:dyDescent="0.35">
      <c r="A312" s="3" t="s">
        <v>608</v>
      </c>
      <c r="B312" s="3" t="s">
        <v>608</v>
      </c>
      <c r="C312" s="3" t="s">
        <v>608</v>
      </c>
      <c r="D312" s="3" t="s">
        <v>608</v>
      </c>
      <c r="E312" s="3" t="s">
        <v>608</v>
      </c>
      <c r="F312" s="3" t="s">
        <v>640</v>
      </c>
      <c r="G312" s="3" t="s">
        <v>518</v>
      </c>
      <c r="H312" s="3" t="s">
        <v>518</v>
      </c>
      <c r="I312" s="3" t="s">
        <v>640</v>
      </c>
      <c r="J312" s="3" t="s">
        <v>4</v>
      </c>
      <c r="K312" s="3" t="s">
        <v>640</v>
      </c>
      <c r="L312" s="3" t="s">
        <v>448</v>
      </c>
      <c r="M312" s="3" t="s">
        <v>14</v>
      </c>
      <c r="N312">
        <v>-2300000</v>
      </c>
      <c r="O312">
        <v>113.47499999999999</v>
      </c>
      <c r="Q312">
        <v>0</v>
      </c>
      <c r="R312">
        <v>-78</v>
      </c>
      <c r="S312" s="3" t="s">
        <v>640</v>
      </c>
      <c r="T312">
        <v>0</v>
      </c>
      <c r="U312">
        <v>0</v>
      </c>
      <c r="V312">
        <v>0</v>
      </c>
      <c r="W312">
        <v>0</v>
      </c>
      <c r="X312">
        <v>2609923</v>
      </c>
      <c r="Y312" s="3" t="s">
        <v>640</v>
      </c>
      <c r="Z312">
        <v>113.79300000000001</v>
      </c>
      <c r="AA312">
        <v>-2600000</v>
      </c>
      <c r="AB312" s="3" t="s">
        <v>449</v>
      </c>
      <c r="AC312" s="3" t="s">
        <v>10</v>
      </c>
      <c r="AD312">
        <v>0</v>
      </c>
      <c r="AE312">
        <v>0</v>
      </c>
      <c r="AF312" s="3" t="s">
        <v>640</v>
      </c>
    </row>
    <row r="313" spans="1:32" x14ac:dyDescent="0.35">
      <c r="A313" s="3" t="s">
        <v>608</v>
      </c>
      <c r="B313" s="3" t="s">
        <v>608</v>
      </c>
      <c r="C313" s="3" t="s">
        <v>608</v>
      </c>
      <c r="D313" s="3" t="s">
        <v>608</v>
      </c>
      <c r="E313" s="3" t="s">
        <v>608</v>
      </c>
      <c r="F313" s="3" t="s">
        <v>640</v>
      </c>
      <c r="G313" s="3" t="s">
        <v>451</v>
      </c>
      <c r="H313" s="3" t="s">
        <v>451</v>
      </c>
      <c r="I313" s="3" t="s">
        <v>640</v>
      </c>
      <c r="J313" s="3" t="s">
        <v>4</v>
      </c>
      <c r="K313" s="3" t="s">
        <v>640</v>
      </c>
      <c r="L313" s="3" t="s">
        <v>448</v>
      </c>
      <c r="M313" s="3" t="s">
        <v>14</v>
      </c>
      <c r="N313">
        <v>-6181000</v>
      </c>
      <c r="O313">
        <v>110.87</v>
      </c>
      <c r="Q313">
        <v>0</v>
      </c>
      <c r="R313">
        <v>-180</v>
      </c>
      <c r="S313" s="3" t="s">
        <v>640</v>
      </c>
      <c r="T313">
        <v>0</v>
      </c>
      <c r="U313">
        <v>0</v>
      </c>
      <c r="V313">
        <v>0</v>
      </c>
      <c r="W313">
        <v>0</v>
      </c>
      <c r="X313">
        <v>6807932</v>
      </c>
      <c r="Y313" s="3" t="s">
        <v>640</v>
      </c>
      <c r="Z313">
        <v>110.87</v>
      </c>
      <c r="AA313">
        <v>-6181000</v>
      </c>
      <c r="AB313" s="3" t="s">
        <v>449</v>
      </c>
      <c r="AC313" s="3" t="s">
        <v>10</v>
      </c>
      <c r="AD313">
        <v>0</v>
      </c>
      <c r="AE313">
        <v>0</v>
      </c>
      <c r="AF313" s="3" t="s">
        <v>640</v>
      </c>
    </row>
    <row r="314" spans="1:32" x14ac:dyDescent="0.35">
      <c r="A314" s="3" t="s">
        <v>608</v>
      </c>
      <c r="B314" s="3" t="s">
        <v>608</v>
      </c>
      <c r="C314" s="3" t="s">
        <v>608</v>
      </c>
      <c r="D314" s="3" t="s">
        <v>608</v>
      </c>
      <c r="E314" s="3" t="s">
        <v>608</v>
      </c>
      <c r="F314" s="3" t="s">
        <v>640</v>
      </c>
      <c r="G314" s="3" t="s">
        <v>593</v>
      </c>
      <c r="H314" s="3" t="s">
        <v>593</v>
      </c>
      <c r="I314" s="3" t="s">
        <v>640</v>
      </c>
      <c r="J314" s="3" t="s">
        <v>4</v>
      </c>
      <c r="K314" s="3" t="s">
        <v>640</v>
      </c>
      <c r="L314" s="3" t="s">
        <v>448</v>
      </c>
      <c r="M314" s="3" t="s">
        <v>14</v>
      </c>
      <c r="N314">
        <v>-1000000</v>
      </c>
      <c r="O314">
        <v>107.11</v>
      </c>
      <c r="Q314">
        <v>0</v>
      </c>
      <c r="R314">
        <v>-28</v>
      </c>
      <c r="S314" s="3" t="s">
        <v>640</v>
      </c>
      <c r="T314">
        <v>0</v>
      </c>
      <c r="U314">
        <v>0</v>
      </c>
      <c r="V314">
        <v>0</v>
      </c>
      <c r="W314">
        <v>0</v>
      </c>
      <c r="X314">
        <v>1071100</v>
      </c>
      <c r="Y314" s="3" t="s">
        <v>640</v>
      </c>
      <c r="Z314">
        <v>107.11</v>
      </c>
      <c r="AA314">
        <v>-1000000</v>
      </c>
      <c r="AB314" s="3" t="s">
        <v>449</v>
      </c>
      <c r="AC314" s="3" t="s">
        <v>10</v>
      </c>
      <c r="AD314">
        <v>0</v>
      </c>
      <c r="AE314">
        <v>0</v>
      </c>
      <c r="AF314" s="3" t="s">
        <v>640</v>
      </c>
    </row>
    <row r="315" spans="1:32" x14ac:dyDescent="0.35">
      <c r="A315" s="3" t="s">
        <v>608</v>
      </c>
      <c r="B315" s="3" t="s">
        <v>608</v>
      </c>
      <c r="C315" s="3" t="s">
        <v>608</v>
      </c>
      <c r="D315" s="3" t="s">
        <v>608</v>
      </c>
      <c r="E315" s="3" t="s">
        <v>608</v>
      </c>
      <c r="F315" s="3" t="s">
        <v>640</v>
      </c>
      <c r="G315" s="3" t="s">
        <v>498</v>
      </c>
      <c r="H315" s="3" t="s">
        <v>498</v>
      </c>
      <c r="I315" s="3" t="s">
        <v>640</v>
      </c>
      <c r="J315" s="3" t="s">
        <v>4</v>
      </c>
      <c r="K315" s="3" t="s">
        <v>640</v>
      </c>
      <c r="L315" s="3" t="s">
        <v>448</v>
      </c>
      <c r="M315" s="3" t="s">
        <v>14</v>
      </c>
      <c r="N315">
        <v>-500000</v>
      </c>
      <c r="O315">
        <v>100.142</v>
      </c>
      <c r="Q315">
        <v>0</v>
      </c>
      <c r="R315">
        <v>-13</v>
      </c>
      <c r="S315" s="3" t="s">
        <v>640</v>
      </c>
      <c r="T315">
        <v>0</v>
      </c>
      <c r="U315">
        <v>0</v>
      </c>
      <c r="V315">
        <v>0</v>
      </c>
      <c r="W315">
        <v>0</v>
      </c>
      <c r="X315">
        <v>500708</v>
      </c>
      <c r="Y315" s="3" t="s">
        <v>640</v>
      </c>
      <c r="Z315">
        <v>100.142</v>
      </c>
      <c r="AA315">
        <v>-500000</v>
      </c>
      <c r="AB315" s="3" t="s">
        <v>449</v>
      </c>
      <c r="AC315" s="3" t="s">
        <v>10</v>
      </c>
      <c r="AD315">
        <v>0</v>
      </c>
      <c r="AE315">
        <v>0</v>
      </c>
      <c r="AF315" s="3" t="s">
        <v>640</v>
      </c>
    </row>
    <row r="316" spans="1:32" x14ac:dyDescent="0.35">
      <c r="A316" s="3" t="s">
        <v>608</v>
      </c>
      <c r="B316" s="3" t="s">
        <v>608</v>
      </c>
      <c r="C316" s="3" t="s">
        <v>608</v>
      </c>
      <c r="D316" s="3" t="s">
        <v>608</v>
      </c>
      <c r="E316" s="3" t="s">
        <v>608</v>
      </c>
      <c r="F316" s="3" t="s">
        <v>640</v>
      </c>
      <c r="G316" s="3" t="s">
        <v>499</v>
      </c>
      <c r="H316" s="3" t="s">
        <v>499</v>
      </c>
      <c r="I316" s="3" t="s">
        <v>640</v>
      </c>
      <c r="J316" s="3" t="s">
        <v>4</v>
      </c>
      <c r="K316" s="3" t="s">
        <v>640</v>
      </c>
      <c r="L316" s="3" t="s">
        <v>448</v>
      </c>
      <c r="M316" s="3" t="s">
        <v>14</v>
      </c>
      <c r="N316">
        <v>-900000</v>
      </c>
      <c r="O316">
        <v>117.274</v>
      </c>
      <c r="Q316">
        <v>0</v>
      </c>
      <c r="R316">
        <v>-28</v>
      </c>
      <c r="S316" s="3" t="s">
        <v>640</v>
      </c>
      <c r="T316">
        <v>0</v>
      </c>
      <c r="U316">
        <v>0</v>
      </c>
      <c r="V316">
        <v>0</v>
      </c>
      <c r="W316">
        <v>0</v>
      </c>
      <c r="X316">
        <v>1055468</v>
      </c>
      <c r="Y316" s="3" t="s">
        <v>640</v>
      </c>
      <c r="Z316">
        <v>117.274</v>
      </c>
      <c r="AA316">
        <v>-900000</v>
      </c>
      <c r="AB316" s="3" t="s">
        <v>449</v>
      </c>
      <c r="AC316" s="3" t="s">
        <v>10</v>
      </c>
      <c r="AD316">
        <v>0</v>
      </c>
      <c r="AE316">
        <v>0</v>
      </c>
      <c r="AF316" s="3" t="s">
        <v>640</v>
      </c>
    </row>
    <row r="317" spans="1:32" x14ac:dyDescent="0.35">
      <c r="A317" s="3" t="s">
        <v>608</v>
      </c>
      <c r="B317" s="3" t="s">
        <v>608</v>
      </c>
      <c r="C317" s="3" t="s">
        <v>608</v>
      </c>
      <c r="D317" s="3" t="s">
        <v>608</v>
      </c>
      <c r="E317" s="3" t="s">
        <v>608</v>
      </c>
      <c r="F317" s="3" t="s">
        <v>640</v>
      </c>
      <c r="G317" s="3" t="s">
        <v>484</v>
      </c>
      <c r="H317" s="3" t="s">
        <v>484</v>
      </c>
      <c r="I317" s="3" t="s">
        <v>640</v>
      </c>
      <c r="J317" s="3" t="s">
        <v>4</v>
      </c>
      <c r="K317" s="3" t="s">
        <v>640</v>
      </c>
      <c r="L317" s="3" t="s">
        <v>448</v>
      </c>
      <c r="M317" s="3" t="s">
        <v>14</v>
      </c>
      <c r="N317">
        <v>1200000</v>
      </c>
      <c r="O317">
        <v>80.861000000000004</v>
      </c>
      <c r="Q317">
        <v>0</v>
      </c>
      <c r="R317">
        <v>8</v>
      </c>
      <c r="S317" s="3" t="s">
        <v>640</v>
      </c>
      <c r="T317">
        <v>0</v>
      </c>
      <c r="U317">
        <v>0</v>
      </c>
      <c r="V317">
        <v>0</v>
      </c>
      <c r="W317">
        <v>0</v>
      </c>
      <c r="X317">
        <v>-970329</v>
      </c>
      <c r="Y317" s="3" t="s">
        <v>640</v>
      </c>
      <c r="Z317">
        <v>80.861000000000004</v>
      </c>
      <c r="AA317">
        <v>1200000</v>
      </c>
      <c r="AB317" s="3" t="s">
        <v>449</v>
      </c>
      <c r="AC317" s="3" t="s">
        <v>10</v>
      </c>
      <c r="AD317">
        <v>0</v>
      </c>
      <c r="AE317">
        <v>0</v>
      </c>
      <c r="AF317" s="3" t="s">
        <v>640</v>
      </c>
    </row>
    <row r="318" spans="1:32" x14ac:dyDescent="0.35">
      <c r="A318" s="3" t="s">
        <v>608</v>
      </c>
      <c r="B318" s="3" t="s">
        <v>608</v>
      </c>
      <c r="C318" s="3" t="s">
        <v>608</v>
      </c>
      <c r="D318" s="3" t="s">
        <v>608</v>
      </c>
      <c r="E318" s="3" t="s">
        <v>608</v>
      </c>
      <c r="F318" s="3" t="s">
        <v>640</v>
      </c>
      <c r="G318" s="3" t="s">
        <v>500</v>
      </c>
      <c r="H318" s="3" t="s">
        <v>500</v>
      </c>
      <c r="I318" s="3" t="s">
        <v>640</v>
      </c>
      <c r="J318" s="3" t="s">
        <v>4</v>
      </c>
      <c r="K318" s="3" t="s">
        <v>640</v>
      </c>
      <c r="L318" s="3" t="s">
        <v>448</v>
      </c>
      <c r="M318" s="3" t="s">
        <v>14</v>
      </c>
      <c r="N318">
        <v>-2000000</v>
      </c>
      <c r="O318">
        <v>111.211</v>
      </c>
      <c r="Q318">
        <v>0</v>
      </c>
      <c r="R318">
        <v>-59</v>
      </c>
      <c r="S318" s="3" t="s">
        <v>640</v>
      </c>
      <c r="T318">
        <v>0</v>
      </c>
      <c r="U318">
        <v>0</v>
      </c>
      <c r="V318">
        <v>0</v>
      </c>
      <c r="W318">
        <v>0</v>
      </c>
      <c r="X318">
        <v>2224228</v>
      </c>
      <c r="Y318" s="3" t="s">
        <v>640</v>
      </c>
      <c r="Z318">
        <v>111.211</v>
      </c>
      <c r="AA318">
        <v>-2000000</v>
      </c>
      <c r="AB318" s="3" t="s">
        <v>449</v>
      </c>
      <c r="AC318" s="3" t="s">
        <v>10</v>
      </c>
      <c r="AD318">
        <v>0</v>
      </c>
      <c r="AE318">
        <v>0</v>
      </c>
      <c r="AF318" s="3" t="s">
        <v>640</v>
      </c>
    </row>
    <row r="319" spans="1:32" x14ac:dyDescent="0.35">
      <c r="A319" s="3" t="s">
        <v>608</v>
      </c>
      <c r="B319" s="3" t="s">
        <v>608</v>
      </c>
      <c r="C319" s="3" t="s">
        <v>608</v>
      </c>
      <c r="D319" s="3" t="s">
        <v>608</v>
      </c>
      <c r="E319" s="3" t="s">
        <v>608</v>
      </c>
      <c r="F319" s="3" t="s">
        <v>640</v>
      </c>
      <c r="G319" s="3" t="s">
        <v>541</v>
      </c>
      <c r="H319" s="3" t="s">
        <v>541</v>
      </c>
      <c r="I319" s="3" t="s">
        <v>640</v>
      </c>
      <c r="J319" s="3" t="s">
        <v>4</v>
      </c>
      <c r="K319" s="3" t="s">
        <v>640</v>
      </c>
      <c r="L319" s="3" t="s">
        <v>448</v>
      </c>
      <c r="M319" s="3" t="s">
        <v>14</v>
      </c>
      <c r="N319">
        <v>3700000</v>
      </c>
      <c r="O319">
        <v>88.753</v>
      </c>
      <c r="Q319">
        <v>0</v>
      </c>
      <c r="R319">
        <v>23</v>
      </c>
      <c r="S319" s="3" t="s">
        <v>640</v>
      </c>
      <c r="T319">
        <v>0</v>
      </c>
      <c r="U319">
        <v>0</v>
      </c>
      <c r="V319">
        <v>0</v>
      </c>
      <c r="W319">
        <v>0</v>
      </c>
      <c r="X319">
        <v>-3283879</v>
      </c>
      <c r="Y319" s="3" t="s">
        <v>640</v>
      </c>
      <c r="Z319">
        <v>88.753</v>
      </c>
      <c r="AA319">
        <v>3700000</v>
      </c>
      <c r="AB319" s="3" t="s">
        <v>449</v>
      </c>
      <c r="AC319" s="3" t="s">
        <v>10</v>
      </c>
      <c r="AD319">
        <v>0</v>
      </c>
      <c r="AE319">
        <v>0</v>
      </c>
      <c r="AF319" s="3" t="s">
        <v>640</v>
      </c>
    </row>
    <row r="320" spans="1:32" x14ac:dyDescent="0.35">
      <c r="A320" s="3" t="s">
        <v>608</v>
      </c>
      <c r="B320" s="3" t="s">
        <v>608</v>
      </c>
      <c r="C320" s="3" t="s">
        <v>608</v>
      </c>
      <c r="D320" s="3" t="s">
        <v>608</v>
      </c>
      <c r="E320" s="3" t="s">
        <v>608</v>
      </c>
      <c r="F320" s="3" t="s">
        <v>640</v>
      </c>
      <c r="G320" s="3" t="s">
        <v>502</v>
      </c>
      <c r="H320" s="3" t="s">
        <v>502</v>
      </c>
      <c r="I320" s="3" t="s">
        <v>640</v>
      </c>
      <c r="J320" s="3" t="s">
        <v>4</v>
      </c>
      <c r="K320" s="3" t="s">
        <v>640</v>
      </c>
      <c r="L320" s="3" t="s">
        <v>448</v>
      </c>
      <c r="M320" s="3" t="s">
        <v>14</v>
      </c>
      <c r="N320">
        <v>1500000</v>
      </c>
      <c r="O320">
        <v>87.034999999999997</v>
      </c>
      <c r="Q320">
        <v>0</v>
      </c>
      <c r="R320">
        <v>9</v>
      </c>
      <c r="S320" s="3" t="s">
        <v>640</v>
      </c>
      <c r="T320">
        <v>0</v>
      </c>
      <c r="U320">
        <v>0</v>
      </c>
      <c r="V320">
        <v>0</v>
      </c>
      <c r="W320">
        <v>0</v>
      </c>
      <c r="X320">
        <v>-1305523</v>
      </c>
      <c r="Y320" s="3" t="s">
        <v>640</v>
      </c>
      <c r="Z320">
        <v>87.034999999999997</v>
      </c>
      <c r="AA320">
        <v>1500000</v>
      </c>
      <c r="AB320" s="3" t="s">
        <v>449</v>
      </c>
      <c r="AC320" s="3" t="s">
        <v>10</v>
      </c>
      <c r="AD320">
        <v>0</v>
      </c>
      <c r="AE320">
        <v>0</v>
      </c>
      <c r="AF320" s="3" t="s">
        <v>640</v>
      </c>
    </row>
    <row r="321" spans="1:32" x14ac:dyDescent="0.35">
      <c r="A321" s="3" t="s">
        <v>608</v>
      </c>
      <c r="B321" s="3" t="s">
        <v>608</v>
      </c>
      <c r="C321" s="3" t="s">
        <v>608</v>
      </c>
      <c r="D321" s="3" t="s">
        <v>608</v>
      </c>
      <c r="E321" s="3" t="s">
        <v>608</v>
      </c>
      <c r="F321" s="3" t="s">
        <v>640</v>
      </c>
      <c r="G321" s="3" t="s">
        <v>524</v>
      </c>
      <c r="H321" s="3" t="s">
        <v>524</v>
      </c>
      <c r="I321" s="3" t="s">
        <v>640</v>
      </c>
      <c r="J321" s="3" t="s">
        <v>4</v>
      </c>
      <c r="K321" s="3" t="s">
        <v>640</v>
      </c>
      <c r="L321" s="3" t="s">
        <v>448</v>
      </c>
      <c r="M321" s="3" t="s">
        <v>14</v>
      </c>
      <c r="N321">
        <v>1000000</v>
      </c>
      <c r="O321">
        <v>110.819</v>
      </c>
      <c r="Q321">
        <v>0</v>
      </c>
      <c r="R321">
        <v>8</v>
      </c>
      <c r="S321" s="3" t="s">
        <v>640</v>
      </c>
      <c r="T321">
        <v>0</v>
      </c>
      <c r="U321">
        <v>0</v>
      </c>
      <c r="V321">
        <v>0</v>
      </c>
      <c r="W321">
        <v>0</v>
      </c>
      <c r="X321">
        <v>-1108192</v>
      </c>
      <c r="Y321" s="3" t="s">
        <v>640</v>
      </c>
      <c r="Z321">
        <v>110.819</v>
      </c>
      <c r="AA321">
        <v>1000000</v>
      </c>
      <c r="AB321" s="3" t="s">
        <v>449</v>
      </c>
      <c r="AC321" s="3" t="s">
        <v>10</v>
      </c>
      <c r="AD321">
        <v>0</v>
      </c>
      <c r="AE321">
        <v>0</v>
      </c>
      <c r="AF321" s="3" t="s">
        <v>640</v>
      </c>
    </row>
    <row r="322" spans="1:32" x14ac:dyDescent="0.35">
      <c r="A322" s="3" t="s">
        <v>608</v>
      </c>
      <c r="B322" s="3" t="s">
        <v>608</v>
      </c>
      <c r="C322" s="3" t="s">
        <v>608</v>
      </c>
      <c r="D322" s="3" t="s">
        <v>608</v>
      </c>
      <c r="E322" s="3" t="s">
        <v>608</v>
      </c>
      <c r="F322" s="3" t="s">
        <v>640</v>
      </c>
      <c r="G322" s="3" t="s">
        <v>503</v>
      </c>
      <c r="H322" s="3" t="s">
        <v>503</v>
      </c>
      <c r="I322" s="3" t="s">
        <v>640</v>
      </c>
      <c r="J322" s="3" t="s">
        <v>4</v>
      </c>
      <c r="K322" s="3" t="s">
        <v>640</v>
      </c>
      <c r="L322" s="3" t="s">
        <v>448</v>
      </c>
      <c r="M322" s="3" t="s">
        <v>14</v>
      </c>
      <c r="N322">
        <v>-14200000</v>
      </c>
      <c r="O322">
        <v>103.113</v>
      </c>
      <c r="Q322">
        <v>0</v>
      </c>
      <c r="R322">
        <v>-395</v>
      </c>
      <c r="S322" s="3" t="s">
        <v>640</v>
      </c>
      <c r="T322">
        <v>0</v>
      </c>
      <c r="U322">
        <v>0</v>
      </c>
      <c r="V322">
        <v>0</v>
      </c>
      <c r="W322">
        <v>0</v>
      </c>
      <c r="X322">
        <v>14650069</v>
      </c>
      <c r="Y322" s="3" t="s">
        <v>640</v>
      </c>
      <c r="Z322">
        <v>103.113</v>
      </c>
      <c r="AA322">
        <v>-14200000</v>
      </c>
      <c r="AB322" s="3" t="s">
        <v>449</v>
      </c>
      <c r="AC322" s="3" t="s">
        <v>10</v>
      </c>
      <c r="AD322">
        <v>0</v>
      </c>
      <c r="AE322">
        <v>0</v>
      </c>
      <c r="AF322" s="3" t="s">
        <v>640</v>
      </c>
    </row>
    <row r="323" spans="1:32" x14ac:dyDescent="0.35">
      <c r="A323" s="3" t="s">
        <v>608</v>
      </c>
      <c r="B323" s="3" t="s">
        <v>608</v>
      </c>
      <c r="C323" s="3" t="s">
        <v>608</v>
      </c>
      <c r="D323" s="3" t="s">
        <v>608</v>
      </c>
      <c r="E323" s="3" t="s">
        <v>608</v>
      </c>
      <c r="F323" s="3" t="s">
        <v>640</v>
      </c>
      <c r="G323" s="3" t="s">
        <v>452</v>
      </c>
      <c r="H323" s="3" t="s">
        <v>452</v>
      </c>
      <c r="I323" s="3" t="s">
        <v>640</v>
      </c>
      <c r="J323" s="3" t="s">
        <v>4</v>
      </c>
      <c r="K323" s="3" t="s">
        <v>640</v>
      </c>
      <c r="L323" s="3" t="s">
        <v>448</v>
      </c>
      <c r="M323" s="3" t="s">
        <v>14</v>
      </c>
      <c r="N323">
        <v>-8167000</v>
      </c>
      <c r="O323">
        <v>107.19499999999999</v>
      </c>
      <c r="Q323">
        <v>0</v>
      </c>
      <c r="R323">
        <v>-228</v>
      </c>
      <c r="S323" s="3" t="s">
        <v>640</v>
      </c>
      <c r="T323">
        <v>0</v>
      </c>
      <c r="U323">
        <v>0</v>
      </c>
      <c r="V323">
        <v>0</v>
      </c>
      <c r="W323">
        <v>0</v>
      </c>
      <c r="X323">
        <v>8642045</v>
      </c>
      <c r="Y323" s="3" t="s">
        <v>640</v>
      </c>
      <c r="Z323">
        <v>107.19499999999999</v>
      </c>
      <c r="AA323">
        <v>-8167000</v>
      </c>
      <c r="AB323" s="3" t="s">
        <v>449</v>
      </c>
      <c r="AC323" s="3" t="s">
        <v>10</v>
      </c>
      <c r="AD323">
        <v>0</v>
      </c>
      <c r="AE323">
        <v>0</v>
      </c>
      <c r="AF323" s="3" t="s">
        <v>640</v>
      </c>
    </row>
    <row r="324" spans="1:32" x14ac:dyDescent="0.35">
      <c r="A324" s="3" t="s">
        <v>608</v>
      </c>
      <c r="B324" s="3" t="s">
        <v>608</v>
      </c>
      <c r="C324" s="3" t="s">
        <v>608</v>
      </c>
      <c r="D324" s="3" t="s">
        <v>608</v>
      </c>
      <c r="E324" s="3" t="s">
        <v>608</v>
      </c>
      <c r="F324" s="3" t="s">
        <v>640</v>
      </c>
      <c r="G324" s="3" t="s">
        <v>872</v>
      </c>
      <c r="H324" s="3" t="s">
        <v>872</v>
      </c>
      <c r="I324" s="3" t="s">
        <v>640</v>
      </c>
      <c r="J324" s="3" t="s">
        <v>4</v>
      </c>
      <c r="K324" s="3" t="s">
        <v>640</v>
      </c>
      <c r="L324" s="3" t="s">
        <v>448</v>
      </c>
      <c r="M324" s="3" t="s">
        <v>14</v>
      </c>
      <c r="N324">
        <v>0</v>
      </c>
      <c r="O324">
        <v>91.853999999999999</v>
      </c>
      <c r="Q324">
        <v>0</v>
      </c>
      <c r="R324">
        <v>7</v>
      </c>
      <c r="S324" s="3" t="s">
        <v>640</v>
      </c>
      <c r="T324">
        <v>0</v>
      </c>
      <c r="U324">
        <v>0</v>
      </c>
      <c r="V324">
        <v>0</v>
      </c>
      <c r="W324">
        <v>0</v>
      </c>
      <c r="X324">
        <v>0</v>
      </c>
      <c r="Y324" s="3" t="s">
        <v>640</v>
      </c>
      <c r="Z324">
        <v>91.853999999999999</v>
      </c>
      <c r="AA324">
        <v>1050000</v>
      </c>
      <c r="AB324" s="3" t="s">
        <v>449</v>
      </c>
      <c r="AC324" s="3" t="s">
        <v>10</v>
      </c>
      <c r="AD324">
        <v>0</v>
      </c>
      <c r="AE324">
        <v>0</v>
      </c>
      <c r="AF324" s="3" t="s">
        <v>640</v>
      </c>
    </row>
    <row r="325" spans="1:32" x14ac:dyDescent="0.35">
      <c r="A325" s="3" t="s">
        <v>608</v>
      </c>
      <c r="B325" s="3" t="s">
        <v>608</v>
      </c>
      <c r="C325" s="3" t="s">
        <v>608</v>
      </c>
      <c r="D325" s="3" t="s">
        <v>608</v>
      </c>
      <c r="E325" s="3" t="s">
        <v>608</v>
      </c>
      <c r="F325" s="3" t="s">
        <v>640</v>
      </c>
      <c r="G325" s="3" t="s">
        <v>873</v>
      </c>
      <c r="H325" s="3" t="s">
        <v>873</v>
      </c>
      <c r="I325" s="3" t="s">
        <v>640</v>
      </c>
      <c r="J325" s="3" t="s">
        <v>4</v>
      </c>
      <c r="K325" s="3" t="s">
        <v>640</v>
      </c>
      <c r="L325" s="3" t="s">
        <v>448</v>
      </c>
      <c r="M325" s="3" t="s">
        <v>14</v>
      </c>
      <c r="N325">
        <v>9700000</v>
      </c>
      <c r="O325">
        <v>79.176000000000002</v>
      </c>
      <c r="Q325">
        <v>0</v>
      </c>
      <c r="R325">
        <v>53</v>
      </c>
      <c r="S325" s="3" t="s">
        <v>640</v>
      </c>
      <c r="T325">
        <v>0</v>
      </c>
      <c r="U325">
        <v>0</v>
      </c>
      <c r="V325">
        <v>0</v>
      </c>
      <c r="W325">
        <v>0</v>
      </c>
      <c r="X325">
        <v>-7680058</v>
      </c>
      <c r="Y325" s="3" t="s">
        <v>640</v>
      </c>
      <c r="Z325">
        <v>79.176000000000002</v>
      </c>
      <c r="AA325">
        <v>9700000</v>
      </c>
      <c r="AB325" s="3" t="s">
        <v>449</v>
      </c>
      <c r="AC325" s="3" t="s">
        <v>10</v>
      </c>
      <c r="AD325">
        <v>0</v>
      </c>
      <c r="AE325">
        <v>0</v>
      </c>
      <c r="AF325" s="3" t="s">
        <v>640</v>
      </c>
    </row>
    <row r="326" spans="1:32" x14ac:dyDescent="0.35">
      <c r="A326" s="3" t="s">
        <v>608</v>
      </c>
      <c r="B326" s="3" t="s">
        <v>608</v>
      </c>
      <c r="C326" s="3" t="s">
        <v>608</v>
      </c>
      <c r="D326" s="3" t="s">
        <v>608</v>
      </c>
      <c r="E326" s="3" t="s">
        <v>608</v>
      </c>
      <c r="F326" s="3" t="s">
        <v>640</v>
      </c>
      <c r="G326" s="3" t="s">
        <v>481</v>
      </c>
      <c r="H326" s="3" t="s">
        <v>481</v>
      </c>
      <c r="I326" s="3" t="s">
        <v>640</v>
      </c>
      <c r="J326" s="3" t="s">
        <v>4</v>
      </c>
      <c r="K326" s="3" t="s">
        <v>640</v>
      </c>
      <c r="L326" s="3" t="s">
        <v>448</v>
      </c>
      <c r="M326" s="3" t="s">
        <v>14</v>
      </c>
      <c r="N326">
        <v>-2500000</v>
      </c>
      <c r="O326">
        <v>107.65300000000001</v>
      </c>
      <c r="Q326">
        <v>0</v>
      </c>
      <c r="R326">
        <v>-71</v>
      </c>
      <c r="S326" s="3" t="s">
        <v>640</v>
      </c>
      <c r="T326">
        <v>0</v>
      </c>
      <c r="U326">
        <v>0</v>
      </c>
      <c r="V326">
        <v>0</v>
      </c>
      <c r="W326">
        <v>0</v>
      </c>
      <c r="X326">
        <v>2674529</v>
      </c>
      <c r="Y326" s="3" t="s">
        <v>640</v>
      </c>
      <c r="Z326">
        <v>107.65300000000001</v>
      </c>
      <c r="AA326">
        <v>-2500000</v>
      </c>
      <c r="AB326" s="3" t="s">
        <v>449</v>
      </c>
      <c r="AC326" s="3" t="s">
        <v>10</v>
      </c>
      <c r="AD326">
        <v>0</v>
      </c>
      <c r="AE326">
        <v>0</v>
      </c>
      <c r="AF326" s="3" t="s">
        <v>640</v>
      </c>
    </row>
    <row r="327" spans="1:32" x14ac:dyDescent="0.35">
      <c r="A327" s="3" t="s">
        <v>608</v>
      </c>
      <c r="B327" s="3" t="s">
        <v>608</v>
      </c>
      <c r="C327" s="3" t="s">
        <v>608</v>
      </c>
      <c r="D327" s="3" t="s">
        <v>608</v>
      </c>
      <c r="E327" s="3" t="s">
        <v>608</v>
      </c>
      <c r="F327" s="3" t="s">
        <v>640</v>
      </c>
      <c r="G327" s="3" t="s">
        <v>453</v>
      </c>
      <c r="H327" s="3" t="s">
        <v>453</v>
      </c>
      <c r="I327" s="3" t="s">
        <v>640</v>
      </c>
      <c r="J327" s="3" t="s">
        <v>4</v>
      </c>
      <c r="K327" s="3" t="s">
        <v>640</v>
      </c>
      <c r="L327" s="3" t="s">
        <v>448</v>
      </c>
      <c r="M327" s="3" t="s">
        <v>14</v>
      </c>
      <c r="N327">
        <v>5000000</v>
      </c>
      <c r="O327">
        <v>91.668000000000006</v>
      </c>
      <c r="Q327">
        <v>0</v>
      </c>
      <c r="R327">
        <v>32</v>
      </c>
      <c r="S327" s="3" t="s">
        <v>640</v>
      </c>
      <c r="T327">
        <v>0</v>
      </c>
      <c r="U327">
        <v>0</v>
      </c>
      <c r="V327">
        <v>0</v>
      </c>
      <c r="W327">
        <v>0</v>
      </c>
      <c r="X327">
        <v>-4583414</v>
      </c>
      <c r="Y327" s="3" t="s">
        <v>640</v>
      </c>
      <c r="Z327">
        <v>91.668000000000006</v>
      </c>
      <c r="AA327">
        <v>5000000</v>
      </c>
      <c r="AB327" s="3" t="s">
        <v>449</v>
      </c>
      <c r="AC327" s="3" t="s">
        <v>10</v>
      </c>
      <c r="AD327">
        <v>0</v>
      </c>
      <c r="AE327">
        <v>0</v>
      </c>
      <c r="AF327" s="3" t="s">
        <v>640</v>
      </c>
    </row>
    <row r="328" spans="1:32" x14ac:dyDescent="0.35">
      <c r="A328" s="3" t="s">
        <v>608</v>
      </c>
      <c r="B328" s="3" t="s">
        <v>608</v>
      </c>
      <c r="C328" s="3" t="s">
        <v>608</v>
      </c>
      <c r="D328" s="3" t="s">
        <v>608</v>
      </c>
      <c r="E328" s="3" t="s">
        <v>608</v>
      </c>
      <c r="F328" s="3" t="s">
        <v>640</v>
      </c>
      <c r="G328" s="3" t="s">
        <v>550</v>
      </c>
      <c r="H328" s="3" t="s">
        <v>550</v>
      </c>
      <c r="I328" s="3" t="s">
        <v>640</v>
      </c>
      <c r="J328" s="3" t="s">
        <v>4</v>
      </c>
      <c r="K328" s="3" t="s">
        <v>640</v>
      </c>
      <c r="L328" s="3" t="s">
        <v>448</v>
      </c>
      <c r="M328" s="3" t="s">
        <v>14</v>
      </c>
      <c r="N328">
        <v>1500000</v>
      </c>
      <c r="O328">
        <v>105.896</v>
      </c>
      <c r="Q328">
        <v>0</v>
      </c>
      <c r="R328">
        <v>11</v>
      </c>
      <c r="S328" s="3" t="s">
        <v>640</v>
      </c>
      <c r="T328">
        <v>0</v>
      </c>
      <c r="U328">
        <v>0</v>
      </c>
      <c r="V328">
        <v>0</v>
      </c>
      <c r="W328">
        <v>0</v>
      </c>
      <c r="X328">
        <v>-1588437</v>
      </c>
      <c r="Y328" s="3" t="s">
        <v>640</v>
      </c>
      <c r="Z328">
        <v>105.896</v>
      </c>
      <c r="AA328">
        <v>1500000</v>
      </c>
      <c r="AB328" s="3" t="s">
        <v>449</v>
      </c>
      <c r="AC328" s="3" t="s">
        <v>10</v>
      </c>
      <c r="AD328">
        <v>0</v>
      </c>
      <c r="AE328">
        <v>0</v>
      </c>
      <c r="AF328" s="3" t="s">
        <v>640</v>
      </c>
    </row>
    <row r="329" spans="1:32" x14ac:dyDescent="0.35">
      <c r="A329" s="3" t="s">
        <v>608</v>
      </c>
      <c r="B329" s="3" t="s">
        <v>608</v>
      </c>
      <c r="C329" s="3" t="s">
        <v>608</v>
      </c>
      <c r="D329" s="3" t="s">
        <v>608</v>
      </c>
      <c r="E329" s="3" t="s">
        <v>608</v>
      </c>
      <c r="F329" s="3" t="s">
        <v>640</v>
      </c>
      <c r="G329" s="3" t="s">
        <v>476</v>
      </c>
      <c r="H329" s="3" t="s">
        <v>476</v>
      </c>
      <c r="I329" s="3" t="s">
        <v>640</v>
      </c>
      <c r="J329" s="3" t="s">
        <v>4</v>
      </c>
      <c r="K329" s="3" t="s">
        <v>640</v>
      </c>
      <c r="L329" s="3" t="s">
        <v>448</v>
      </c>
      <c r="M329" s="3" t="s">
        <v>14</v>
      </c>
      <c r="N329">
        <v>-1600000</v>
      </c>
      <c r="O329">
        <v>104.819</v>
      </c>
      <c r="Q329">
        <v>0</v>
      </c>
      <c r="R329">
        <v>-44</v>
      </c>
      <c r="S329" s="3" t="s">
        <v>640</v>
      </c>
      <c r="T329">
        <v>0</v>
      </c>
      <c r="U329">
        <v>0</v>
      </c>
      <c r="V329">
        <v>0</v>
      </c>
      <c r="W329">
        <v>0</v>
      </c>
      <c r="X329">
        <v>1677103</v>
      </c>
      <c r="Y329" s="3" t="s">
        <v>640</v>
      </c>
      <c r="Z329">
        <v>104.819</v>
      </c>
      <c r="AA329">
        <v>-1600000</v>
      </c>
      <c r="AB329" s="3" t="s">
        <v>449</v>
      </c>
      <c r="AC329" s="3" t="s">
        <v>10</v>
      </c>
      <c r="AD329">
        <v>0</v>
      </c>
      <c r="AE329">
        <v>0</v>
      </c>
      <c r="AF329" s="3" t="s">
        <v>640</v>
      </c>
    </row>
    <row r="330" spans="1:32" x14ac:dyDescent="0.35">
      <c r="A330" s="3" t="s">
        <v>608</v>
      </c>
      <c r="B330" s="3" t="s">
        <v>608</v>
      </c>
      <c r="C330" s="3" t="s">
        <v>608</v>
      </c>
      <c r="D330" s="3" t="s">
        <v>608</v>
      </c>
      <c r="E330" s="3" t="s">
        <v>608</v>
      </c>
      <c r="F330" s="3" t="s">
        <v>478</v>
      </c>
      <c r="G330" s="3" t="s">
        <v>479</v>
      </c>
      <c r="H330" s="3" t="s">
        <v>479</v>
      </c>
      <c r="I330" s="3" t="s">
        <v>640</v>
      </c>
      <c r="J330" s="3" t="s">
        <v>283</v>
      </c>
      <c r="K330" s="3" t="s">
        <v>640</v>
      </c>
      <c r="L330" s="3" t="s">
        <v>13</v>
      </c>
      <c r="M330" s="3" t="s">
        <v>14</v>
      </c>
      <c r="N330">
        <v>40</v>
      </c>
      <c r="O330">
        <v>0.89900000000000002</v>
      </c>
      <c r="Q330">
        <v>0</v>
      </c>
      <c r="R330">
        <v>0</v>
      </c>
      <c r="S330" s="3" t="s">
        <v>640</v>
      </c>
      <c r="T330">
        <v>0</v>
      </c>
      <c r="U330">
        <v>0</v>
      </c>
      <c r="V330">
        <v>0</v>
      </c>
      <c r="W330">
        <v>0</v>
      </c>
      <c r="X330">
        <v>-78751</v>
      </c>
      <c r="Y330" s="3" t="s">
        <v>15</v>
      </c>
      <c r="Z330">
        <v>0.89900000000000002</v>
      </c>
      <c r="AA330">
        <v>40</v>
      </c>
      <c r="AB330" s="3" t="s">
        <v>449</v>
      </c>
      <c r="AC330" s="3" t="s">
        <v>10</v>
      </c>
      <c r="AD330">
        <v>0</v>
      </c>
      <c r="AE330">
        <v>0</v>
      </c>
      <c r="AF330" s="3" t="s">
        <v>640</v>
      </c>
    </row>
    <row r="331" spans="1:32" x14ac:dyDescent="0.35">
      <c r="A331" s="3" t="s">
        <v>608</v>
      </c>
      <c r="B331" s="3" t="s">
        <v>608</v>
      </c>
      <c r="C331" s="3" t="s">
        <v>608</v>
      </c>
      <c r="D331" s="3" t="s">
        <v>608</v>
      </c>
      <c r="E331" s="3" t="s">
        <v>608</v>
      </c>
      <c r="F331" s="3" t="s">
        <v>551</v>
      </c>
      <c r="G331" s="3" t="s">
        <v>552</v>
      </c>
      <c r="H331" s="3" t="s">
        <v>552</v>
      </c>
      <c r="I331" s="3" t="s">
        <v>640</v>
      </c>
      <c r="J331" s="3" t="s">
        <v>266</v>
      </c>
      <c r="K331" s="3" t="s">
        <v>640</v>
      </c>
      <c r="L331" s="3" t="s">
        <v>13</v>
      </c>
      <c r="M331" s="3" t="s">
        <v>14</v>
      </c>
      <c r="N331">
        <v>76</v>
      </c>
      <c r="O331">
        <v>1.1659999999999999</v>
      </c>
      <c r="Q331">
        <v>0</v>
      </c>
      <c r="R331">
        <v>0</v>
      </c>
      <c r="S331" s="3" t="s">
        <v>640</v>
      </c>
      <c r="T331">
        <v>0</v>
      </c>
      <c r="U331">
        <v>0</v>
      </c>
      <c r="V331">
        <v>0</v>
      </c>
      <c r="W331">
        <v>0</v>
      </c>
      <c r="X331">
        <v>-140662</v>
      </c>
      <c r="Y331" s="3" t="s">
        <v>15</v>
      </c>
      <c r="Z331">
        <v>1.1659999999999999</v>
      </c>
      <c r="AA331">
        <v>76</v>
      </c>
      <c r="AB331" s="3" t="s">
        <v>449</v>
      </c>
      <c r="AC331" s="3" t="s">
        <v>10</v>
      </c>
      <c r="AD331">
        <v>0</v>
      </c>
      <c r="AE331">
        <v>0</v>
      </c>
      <c r="AF331" s="3" t="s">
        <v>640</v>
      </c>
    </row>
    <row r="332" spans="1:32" x14ac:dyDescent="0.35">
      <c r="A332" s="3" t="s">
        <v>608</v>
      </c>
      <c r="B332" s="3" t="s">
        <v>608</v>
      </c>
      <c r="C332" s="3" t="s">
        <v>608</v>
      </c>
      <c r="D332" s="3" t="s">
        <v>608</v>
      </c>
      <c r="E332" s="3" t="s">
        <v>608</v>
      </c>
      <c r="F332" s="3" t="s">
        <v>640</v>
      </c>
      <c r="G332" s="3" t="s">
        <v>482</v>
      </c>
      <c r="H332" s="3" t="s">
        <v>482</v>
      </c>
      <c r="I332" s="3" t="s">
        <v>640</v>
      </c>
      <c r="J332" s="3" t="s">
        <v>4</v>
      </c>
      <c r="K332" s="3" t="s">
        <v>640</v>
      </c>
      <c r="L332" s="3" t="s">
        <v>448</v>
      </c>
      <c r="M332" s="3" t="s">
        <v>14</v>
      </c>
      <c r="N332">
        <v>3080000</v>
      </c>
      <c r="O332">
        <v>75.209999999999994</v>
      </c>
      <c r="Q332">
        <v>0</v>
      </c>
      <c r="R332">
        <v>19</v>
      </c>
      <c r="S332" s="3" t="s">
        <v>640</v>
      </c>
      <c r="T332">
        <v>0</v>
      </c>
      <c r="U332">
        <v>0</v>
      </c>
      <c r="V332">
        <v>0</v>
      </c>
      <c r="W332">
        <v>0</v>
      </c>
      <c r="X332">
        <v>-2306476</v>
      </c>
      <c r="Y332" s="3" t="s">
        <v>640</v>
      </c>
      <c r="Z332">
        <v>75.209999999999994</v>
      </c>
      <c r="AA332">
        <v>3080000</v>
      </c>
      <c r="AB332" s="3" t="s">
        <v>449</v>
      </c>
      <c r="AC332" s="3" t="s">
        <v>10</v>
      </c>
      <c r="AD332">
        <v>0</v>
      </c>
      <c r="AE332">
        <v>0</v>
      </c>
      <c r="AF332" s="3" t="s">
        <v>640</v>
      </c>
    </row>
    <row r="333" spans="1:32" x14ac:dyDescent="0.35">
      <c r="A333" s="3" t="s">
        <v>608</v>
      </c>
      <c r="B333" s="3" t="s">
        <v>608</v>
      </c>
      <c r="C333" s="3" t="s">
        <v>608</v>
      </c>
      <c r="D333" s="3" t="s">
        <v>608</v>
      </c>
      <c r="E333" s="3" t="s">
        <v>608</v>
      </c>
      <c r="F333" s="3" t="s">
        <v>640</v>
      </c>
      <c r="G333" s="3" t="s">
        <v>454</v>
      </c>
      <c r="H333" s="3" t="s">
        <v>454</v>
      </c>
      <c r="I333" s="3" t="s">
        <v>640</v>
      </c>
      <c r="J333" s="3" t="s">
        <v>4</v>
      </c>
      <c r="K333" s="3" t="s">
        <v>640</v>
      </c>
      <c r="L333" s="3" t="s">
        <v>448</v>
      </c>
      <c r="M333" s="3" t="s">
        <v>14</v>
      </c>
      <c r="N333">
        <v>-500000</v>
      </c>
      <c r="O333">
        <v>102.212</v>
      </c>
      <c r="Q333">
        <v>0</v>
      </c>
      <c r="R333">
        <v>-13</v>
      </c>
      <c r="S333" s="3" t="s">
        <v>640</v>
      </c>
      <c r="T333">
        <v>0</v>
      </c>
      <c r="U333">
        <v>0</v>
      </c>
      <c r="V333">
        <v>0</v>
      </c>
      <c r="W333">
        <v>0</v>
      </c>
      <c r="X333">
        <v>511060</v>
      </c>
      <c r="Y333" s="3" t="s">
        <v>640</v>
      </c>
      <c r="Z333">
        <v>102.212</v>
      </c>
      <c r="AA333">
        <v>-500000</v>
      </c>
      <c r="AB333" s="3" t="s">
        <v>449</v>
      </c>
      <c r="AC333" s="3" t="s">
        <v>10</v>
      </c>
      <c r="AD333">
        <v>0</v>
      </c>
      <c r="AE333">
        <v>0</v>
      </c>
      <c r="AF333" s="3" t="s">
        <v>640</v>
      </c>
    </row>
    <row r="334" spans="1:32" x14ac:dyDescent="0.35">
      <c r="A334" s="3" t="s">
        <v>608</v>
      </c>
      <c r="B334" s="3" t="s">
        <v>608</v>
      </c>
      <c r="C334" s="3" t="s">
        <v>608</v>
      </c>
      <c r="D334" s="3" t="s">
        <v>608</v>
      </c>
      <c r="E334" s="3" t="s">
        <v>608</v>
      </c>
      <c r="F334" s="3" t="s">
        <v>640</v>
      </c>
      <c r="G334" s="3" t="s">
        <v>586</v>
      </c>
      <c r="H334" s="3" t="s">
        <v>586</v>
      </c>
      <c r="I334" s="3" t="s">
        <v>640</v>
      </c>
      <c r="J334" s="3" t="s">
        <v>4</v>
      </c>
      <c r="K334" s="3" t="s">
        <v>640</v>
      </c>
      <c r="L334" s="3" t="s">
        <v>448</v>
      </c>
      <c r="M334" s="3" t="s">
        <v>14</v>
      </c>
      <c r="N334">
        <v>-1800000</v>
      </c>
      <c r="O334">
        <v>103.246</v>
      </c>
      <c r="Q334">
        <v>0</v>
      </c>
      <c r="R334">
        <v>-49</v>
      </c>
      <c r="S334" s="3" t="s">
        <v>640</v>
      </c>
      <c r="T334">
        <v>0</v>
      </c>
      <c r="U334">
        <v>0</v>
      </c>
      <c r="V334">
        <v>0</v>
      </c>
      <c r="W334">
        <v>0</v>
      </c>
      <c r="X334">
        <v>1859903</v>
      </c>
      <c r="Y334" s="3" t="s">
        <v>640</v>
      </c>
      <c r="Z334">
        <v>103.246</v>
      </c>
      <c r="AA334">
        <v>-1800000</v>
      </c>
      <c r="AB334" s="3" t="s">
        <v>449</v>
      </c>
      <c r="AC334" s="3" t="s">
        <v>10</v>
      </c>
      <c r="AD334">
        <v>0</v>
      </c>
      <c r="AE334">
        <v>0</v>
      </c>
      <c r="AF334" s="3" t="s">
        <v>640</v>
      </c>
    </row>
    <row r="335" spans="1:32" x14ac:dyDescent="0.35">
      <c r="A335" s="3" t="s">
        <v>608</v>
      </c>
      <c r="B335" s="3" t="s">
        <v>608</v>
      </c>
      <c r="C335" s="3" t="s">
        <v>608</v>
      </c>
      <c r="D335" s="3" t="s">
        <v>608</v>
      </c>
      <c r="E335" s="3" t="s">
        <v>608</v>
      </c>
      <c r="F335" s="3" t="s">
        <v>640</v>
      </c>
      <c r="G335" s="3" t="s">
        <v>874</v>
      </c>
      <c r="H335" s="3" t="s">
        <v>874</v>
      </c>
      <c r="I335" s="3" t="s">
        <v>640</v>
      </c>
      <c r="J335" s="3" t="s">
        <v>4</v>
      </c>
      <c r="K335" s="3" t="s">
        <v>640</v>
      </c>
      <c r="L335" s="3" t="s">
        <v>448</v>
      </c>
      <c r="M335" s="3" t="s">
        <v>14</v>
      </c>
      <c r="N335">
        <v>0</v>
      </c>
      <c r="O335">
        <v>86.391000000000005</v>
      </c>
      <c r="Q335">
        <v>0</v>
      </c>
      <c r="R335">
        <v>0</v>
      </c>
      <c r="S335" s="3" t="s">
        <v>640</v>
      </c>
      <c r="T335">
        <v>0</v>
      </c>
      <c r="U335">
        <v>0</v>
      </c>
      <c r="V335">
        <v>0</v>
      </c>
      <c r="W335">
        <v>0</v>
      </c>
      <c r="X335">
        <v>0</v>
      </c>
      <c r="Y335" s="3" t="s">
        <v>640</v>
      </c>
      <c r="Z335">
        <v>86.391000000000005</v>
      </c>
      <c r="AA335">
        <v>0</v>
      </c>
      <c r="AB335" s="3" t="s">
        <v>449</v>
      </c>
      <c r="AC335" s="3" t="s">
        <v>10</v>
      </c>
      <c r="AD335">
        <v>0</v>
      </c>
      <c r="AE335">
        <v>0</v>
      </c>
      <c r="AF335" s="3" t="s">
        <v>640</v>
      </c>
    </row>
    <row r="336" spans="1:32" x14ac:dyDescent="0.35">
      <c r="A336" s="3" t="s">
        <v>608</v>
      </c>
      <c r="B336" s="3" t="s">
        <v>608</v>
      </c>
      <c r="C336" s="3" t="s">
        <v>608</v>
      </c>
      <c r="D336" s="3" t="s">
        <v>608</v>
      </c>
      <c r="E336" s="3" t="s">
        <v>608</v>
      </c>
      <c r="F336" s="3" t="s">
        <v>640</v>
      </c>
      <c r="G336" s="3" t="s">
        <v>539</v>
      </c>
      <c r="H336" s="3" t="s">
        <v>539</v>
      </c>
      <c r="I336" s="3" t="s">
        <v>640</v>
      </c>
      <c r="J336" s="3" t="s">
        <v>4</v>
      </c>
      <c r="K336" s="3" t="s">
        <v>640</v>
      </c>
      <c r="L336" s="3" t="s">
        <v>448</v>
      </c>
      <c r="M336" s="3" t="s">
        <v>14</v>
      </c>
      <c r="N336">
        <v>-1050000</v>
      </c>
      <c r="O336">
        <v>104.08499999999999</v>
      </c>
      <c r="Q336">
        <v>0</v>
      </c>
      <c r="R336">
        <v>-29</v>
      </c>
      <c r="S336" s="3" t="s">
        <v>640</v>
      </c>
      <c r="T336">
        <v>0</v>
      </c>
      <c r="U336">
        <v>0</v>
      </c>
      <c r="V336">
        <v>0</v>
      </c>
      <c r="W336">
        <v>0</v>
      </c>
      <c r="X336">
        <v>1092897</v>
      </c>
      <c r="Y336" s="3" t="s">
        <v>640</v>
      </c>
      <c r="Z336">
        <v>104.08499999999999</v>
      </c>
      <c r="AA336">
        <v>-1050000</v>
      </c>
      <c r="AB336" s="3" t="s">
        <v>449</v>
      </c>
      <c r="AC336" s="3" t="s">
        <v>10</v>
      </c>
      <c r="AD336">
        <v>0</v>
      </c>
      <c r="AE336">
        <v>0</v>
      </c>
      <c r="AF336" s="3" t="s">
        <v>640</v>
      </c>
    </row>
    <row r="337" spans="1:32" x14ac:dyDescent="0.35">
      <c r="A337" s="3" t="s">
        <v>608</v>
      </c>
      <c r="B337" s="3" t="s">
        <v>608</v>
      </c>
      <c r="C337" s="3" t="s">
        <v>608</v>
      </c>
      <c r="D337" s="3" t="s">
        <v>608</v>
      </c>
      <c r="E337" s="3" t="s">
        <v>608</v>
      </c>
      <c r="F337" s="3" t="s">
        <v>640</v>
      </c>
      <c r="G337" s="3" t="s">
        <v>504</v>
      </c>
      <c r="H337" s="3" t="s">
        <v>504</v>
      </c>
      <c r="I337" s="3" t="s">
        <v>640</v>
      </c>
      <c r="J337" s="3" t="s">
        <v>4</v>
      </c>
      <c r="K337" s="3" t="s">
        <v>640</v>
      </c>
      <c r="L337" s="3" t="s">
        <v>448</v>
      </c>
      <c r="M337" s="3" t="s">
        <v>14</v>
      </c>
      <c r="N337">
        <v>-3300000</v>
      </c>
      <c r="O337">
        <v>106.14100000000001</v>
      </c>
      <c r="Q337">
        <v>0</v>
      </c>
      <c r="R337">
        <v>-93</v>
      </c>
      <c r="S337" s="3" t="s">
        <v>640</v>
      </c>
      <c r="T337">
        <v>0</v>
      </c>
      <c r="U337">
        <v>0</v>
      </c>
      <c r="V337">
        <v>0</v>
      </c>
      <c r="W337">
        <v>0</v>
      </c>
      <c r="X337">
        <v>3505320</v>
      </c>
      <c r="Y337" s="3" t="s">
        <v>640</v>
      </c>
      <c r="Z337">
        <v>106.14100000000001</v>
      </c>
      <c r="AA337">
        <v>-3300000</v>
      </c>
      <c r="AB337" s="3" t="s">
        <v>449</v>
      </c>
      <c r="AC337" s="3" t="s">
        <v>10</v>
      </c>
      <c r="AD337">
        <v>0</v>
      </c>
      <c r="AE337">
        <v>0</v>
      </c>
      <c r="AF337" s="3" t="s">
        <v>640</v>
      </c>
    </row>
    <row r="338" spans="1:32" x14ac:dyDescent="0.35">
      <c r="A338" s="3" t="s">
        <v>608</v>
      </c>
      <c r="B338" s="3" t="s">
        <v>608</v>
      </c>
      <c r="C338" s="3" t="s">
        <v>608</v>
      </c>
      <c r="D338" s="3" t="s">
        <v>608</v>
      </c>
      <c r="E338" s="3" t="s">
        <v>608</v>
      </c>
      <c r="F338" s="3" t="s">
        <v>640</v>
      </c>
      <c r="G338" s="3" t="s">
        <v>514</v>
      </c>
      <c r="H338" s="3" t="s">
        <v>514</v>
      </c>
      <c r="I338" s="3" t="s">
        <v>640</v>
      </c>
      <c r="J338" s="3" t="s">
        <v>4</v>
      </c>
      <c r="K338" s="3" t="s">
        <v>640</v>
      </c>
      <c r="L338" s="3" t="s">
        <v>448</v>
      </c>
      <c r="M338" s="3" t="s">
        <v>14</v>
      </c>
      <c r="N338">
        <v>-6800000</v>
      </c>
      <c r="O338">
        <v>106.943</v>
      </c>
      <c r="Q338">
        <v>0</v>
      </c>
      <c r="R338">
        <v>-192</v>
      </c>
      <c r="S338" s="3" t="s">
        <v>640</v>
      </c>
      <c r="T338">
        <v>0</v>
      </c>
      <c r="U338">
        <v>0</v>
      </c>
      <c r="V338">
        <v>0</v>
      </c>
      <c r="W338">
        <v>0</v>
      </c>
      <c r="X338">
        <v>7272105</v>
      </c>
      <c r="Y338" s="3" t="s">
        <v>640</v>
      </c>
      <c r="Z338">
        <v>106.943</v>
      </c>
      <c r="AA338">
        <v>-6800000</v>
      </c>
      <c r="AB338" s="3" t="s">
        <v>449</v>
      </c>
      <c r="AC338" s="3" t="s">
        <v>10</v>
      </c>
      <c r="AD338">
        <v>0</v>
      </c>
      <c r="AE338">
        <v>0</v>
      </c>
      <c r="AF338" s="3" t="s">
        <v>640</v>
      </c>
    </row>
    <row r="339" spans="1:32" x14ac:dyDescent="0.35">
      <c r="A339" s="3" t="s">
        <v>608</v>
      </c>
      <c r="B339" s="3" t="s">
        <v>608</v>
      </c>
      <c r="C339" s="3" t="s">
        <v>608</v>
      </c>
      <c r="D339" s="3" t="s">
        <v>608</v>
      </c>
      <c r="E339" s="3" t="s">
        <v>608</v>
      </c>
      <c r="F339" s="3" t="s">
        <v>640</v>
      </c>
      <c r="G339" s="3" t="s">
        <v>505</v>
      </c>
      <c r="H339" s="3" t="s">
        <v>505</v>
      </c>
      <c r="I339" s="3" t="s">
        <v>640</v>
      </c>
      <c r="J339" s="3" t="s">
        <v>4</v>
      </c>
      <c r="K339" s="3" t="s">
        <v>640</v>
      </c>
      <c r="L339" s="3" t="s">
        <v>448</v>
      </c>
      <c r="M339" s="3" t="s">
        <v>14</v>
      </c>
      <c r="N339">
        <v>2600000</v>
      </c>
      <c r="O339">
        <v>97.450999999999993</v>
      </c>
      <c r="Q339">
        <v>0</v>
      </c>
      <c r="R339">
        <v>18</v>
      </c>
      <c r="S339" s="3" t="s">
        <v>640</v>
      </c>
      <c r="T339">
        <v>0</v>
      </c>
      <c r="U339">
        <v>0</v>
      </c>
      <c r="V339">
        <v>0</v>
      </c>
      <c r="W339">
        <v>0</v>
      </c>
      <c r="X339">
        <v>-2533732</v>
      </c>
      <c r="Y339" s="3" t="s">
        <v>640</v>
      </c>
      <c r="Z339">
        <v>97.450999999999993</v>
      </c>
      <c r="AA339">
        <v>2600000</v>
      </c>
      <c r="AB339" s="3" t="s">
        <v>449</v>
      </c>
      <c r="AC339" s="3" t="s">
        <v>10</v>
      </c>
      <c r="AD339">
        <v>0</v>
      </c>
      <c r="AE339">
        <v>0</v>
      </c>
      <c r="AF339" s="3" t="s">
        <v>640</v>
      </c>
    </row>
    <row r="340" spans="1:32" x14ac:dyDescent="0.35">
      <c r="A340" s="3" t="s">
        <v>608</v>
      </c>
      <c r="B340" s="3" t="s">
        <v>608</v>
      </c>
      <c r="C340" s="3" t="s">
        <v>608</v>
      </c>
      <c r="D340" s="3" t="s">
        <v>608</v>
      </c>
      <c r="E340" s="3" t="s">
        <v>608</v>
      </c>
      <c r="F340" s="3" t="s">
        <v>640</v>
      </c>
      <c r="G340" s="3" t="s">
        <v>506</v>
      </c>
      <c r="H340" s="3" t="s">
        <v>506</v>
      </c>
      <c r="I340" s="3" t="s">
        <v>640</v>
      </c>
      <c r="J340" s="3" t="s">
        <v>4</v>
      </c>
      <c r="K340" s="3" t="s">
        <v>640</v>
      </c>
      <c r="L340" s="3" t="s">
        <v>448</v>
      </c>
      <c r="M340" s="3" t="s">
        <v>14</v>
      </c>
      <c r="N340">
        <v>-2600000</v>
      </c>
      <c r="O340">
        <v>107.90600000000001</v>
      </c>
      <c r="Q340">
        <v>0</v>
      </c>
      <c r="R340">
        <v>-74</v>
      </c>
      <c r="S340" s="3" t="s">
        <v>640</v>
      </c>
      <c r="T340">
        <v>0</v>
      </c>
      <c r="U340">
        <v>0</v>
      </c>
      <c r="V340">
        <v>0</v>
      </c>
      <c r="W340">
        <v>0</v>
      </c>
      <c r="X340">
        <v>2807123</v>
      </c>
      <c r="Y340" s="3" t="s">
        <v>640</v>
      </c>
      <c r="Z340">
        <v>107.90600000000001</v>
      </c>
      <c r="AA340">
        <v>-2600000</v>
      </c>
      <c r="AB340" s="3" t="s">
        <v>449</v>
      </c>
      <c r="AC340" s="3" t="s">
        <v>10</v>
      </c>
      <c r="AD340">
        <v>0</v>
      </c>
      <c r="AE340">
        <v>0</v>
      </c>
      <c r="AF340" s="3" t="s">
        <v>640</v>
      </c>
    </row>
    <row r="341" spans="1:32" x14ac:dyDescent="0.35">
      <c r="A341" s="3" t="s">
        <v>608</v>
      </c>
      <c r="B341" s="3" t="s">
        <v>608</v>
      </c>
      <c r="C341" s="3" t="s">
        <v>608</v>
      </c>
      <c r="D341" s="3" t="s">
        <v>608</v>
      </c>
      <c r="E341" s="3" t="s">
        <v>608</v>
      </c>
      <c r="F341" s="3" t="s">
        <v>640</v>
      </c>
      <c r="G341" s="3" t="s">
        <v>525</v>
      </c>
      <c r="H341" s="3" t="s">
        <v>525</v>
      </c>
      <c r="I341" s="3" t="s">
        <v>640</v>
      </c>
      <c r="J341" s="3" t="s">
        <v>4</v>
      </c>
      <c r="K341" s="3" t="s">
        <v>640</v>
      </c>
      <c r="L341" s="3" t="s">
        <v>448</v>
      </c>
      <c r="M341" s="3" t="s">
        <v>14</v>
      </c>
      <c r="N341">
        <v>0</v>
      </c>
      <c r="O341">
        <v>100.218</v>
      </c>
      <c r="Q341">
        <v>0</v>
      </c>
      <c r="R341">
        <v>-16</v>
      </c>
      <c r="S341" s="3" t="s">
        <v>640</v>
      </c>
      <c r="T341">
        <v>0</v>
      </c>
      <c r="U341">
        <v>0</v>
      </c>
      <c r="V341">
        <v>0</v>
      </c>
      <c r="W341">
        <v>0</v>
      </c>
      <c r="X341">
        <v>0</v>
      </c>
      <c r="Y341" s="3" t="s">
        <v>640</v>
      </c>
      <c r="Z341">
        <v>100.218</v>
      </c>
      <c r="AA341">
        <v>-600000</v>
      </c>
      <c r="AB341" s="3" t="s">
        <v>449</v>
      </c>
      <c r="AC341" s="3" t="s">
        <v>10</v>
      </c>
      <c r="AD341">
        <v>0</v>
      </c>
      <c r="AE341">
        <v>0</v>
      </c>
      <c r="AF341" s="3" t="s">
        <v>640</v>
      </c>
    </row>
    <row r="342" spans="1:32" x14ac:dyDescent="0.35">
      <c r="A342" s="3" t="s">
        <v>608</v>
      </c>
      <c r="B342" s="3" t="s">
        <v>608</v>
      </c>
      <c r="C342" s="3" t="s">
        <v>608</v>
      </c>
      <c r="D342" s="3" t="s">
        <v>608</v>
      </c>
      <c r="E342" s="3" t="s">
        <v>608</v>
      </c>
      <c r="F342" s="3" t="s">
        <v>640</v>
      </c>
      <c r="G342" s="3" t="s">
        <v>520</v>
      </c>
      <c r="H342" s="3" t="s">
        <v>520</v>
      </c>
      <c r="I342" s="3" t="s">
        <v>640</v>
      </c>
      <c r="J342" s="3" t="s">
        <v>4</v>
      </c>
      <c r="K342" s="3" t="s">
        <v>640</v>
      </c>
      <c r="L342" s="3" t="s">
        <v>448</v>
      </c>
      <c r="M342" s="3" t="s">
        <v>14</v>
      </c>
      <c r="N342">
        <v>-1285000</v>
      </c>
      <c r="O342">
        <v>107.17</v>
      </c>
      <c r="Q342">
        <v>0</v>
      </c>
      <c r="R342">
        <v>-37</v>
      </c>
      <c r="S342" s="3" t="s">
        <v>640</v>
      </c>
      <c r="T342">
        <v>0</v>
      </c>
      <c r="U342">
        <v>0</v>
      </c>
      <c r="V342">
        <v>0</v>
      </c>
      <c r="W342">
        <v>0</v>
      </c>
      <c r="X342">
        <v>1384515</v>
      </c>
      <c r="Y342" s="3" t="s">
        <v>640</v>
      </c>
      <c r="Z342">
        <v>107.17</v>
      </c>
      <c r="AA342">
        <v>-1285000</v>
      </c>
      <c r="AB342" s="3" t="s">
        <v>449</v>
      </c>
      <c r="AC342" s="3" t="s">
        <v>10</v>
      </c>
      <c r="AD342">
        <v>0</v>
      </c>
      <c r="AE342">
        <v>0</v>
      </c>
      <c r="AF342" s="3" t="s">
        <v>640</v>
      </c>
    </row>
    <row r="343" spans="1:32" x14ac:dyDescent="0.35">
      <c r="A343" s="3" t="s">
        <v>608</v>
      </c>
      <c r="B343" s="3" t="s">
        <v>608</v>
      </c>
      <c r="C343" s="3" t="s">
        <v>608</v>
      </c>
      <c r="D343" s="3" t="s">
        <v>608</v>
      </c>
      <c r="E343" s="3" t="s">
        <v>608</v>
      </c>
      <c r="F343" s="3" t="s">
        <v>640</v>
      </c>
      <c r="G343" s="3" t="s">
        <v>507</v>
      </c>
      <c r="H343" s="3" t="s">
        <v>507</v>
      </c>
      <c r="I343" s="3" t="s">
        <v>640</v>
      </c>
      <c r="J343" s="3" t="s">
        <v>4</v>
      </c>
      <c r="K343" s="3" t="s">
        <v>640</v>
      </c>
      <c r="L343" s="3" t="s">
        <v>448</v>
      </c>
      <c r="M343" s="3" t="s">
        <v>14</v>
      </c>
      <c r="N343">
        <v>1000000</v>
      </c>
      <c r="O343">
        <v>88.147000000000006</v>
      </c>
      <c r="Q343">
        <v>0</v>
      </c>
      <c r="R343">
        <v>6</v>
      </c>
      <c r="S343" s="3" t="s">
        <v>640</v>
      </c>
      <c r="T343">
        <v>0</v>
      </c>
      <c r="U343">
        <v>0</v>
      </c>
      <c r="V343">
        <v>0</v>
      </c>
      <c r="W343">
        <v>0</v>
      </c>
      <c r="X343">
        <v>-881469</v>
      </c>
      <c r="Y343" s="3" t="s">
        <v>640</v>
      </c>
      <c r="Z343">
        <v>88.147000000000006</v>
      </c>
      <c r="AA343">
        <v>1000000</v>
      </c>
      <c r="AB343" s="3" t="s">
        <v>449</v>
      </c>
      <c r="AC343" s="3" t="s">
        <v>10</v>
      </c>
      <c r="AD343">
        <v>0</v>
      </c>
      <c r="AE343">
        <v>0</v>
      </c>
      <c r="AF343" s="3" t="s">
        <v>640</v>
      </c>
    </row>
    <row r="344" spans="1:32" x14ac:dyDescent="0.35">
      <c r="A344" s="3" t="s">
        <v>608</v>
      </c>
      <c r="B344" s="3" t="s">
        <v>608</v>
      </c>
      <c r="C344" s="3" t="s">
        <v>608</v>
      </c>
      <c r="D344" s="3" t="s">
        <v>608</v>
      </c>
      <c r="E344" s="3" t="s">
        <v>608</v>
      </c>
      <c r="F344" s="3" t="s">
        <v>640</v>
      </c>
      <c r="G344" s="3" t="s">
        <v>603</v>
      </c>
      <c r="H344" s="3" t="s">
        <v>603</v>
      </c>
      <c r="I344" s="3" t="s">
        <v>640</v>
      </c>
      <c r="J344" s="3" t="s">
        <v>4</v>
      </c>
      <c r="K344" s="3" t="s">
        <v>640</v>
      </c>
      <c r="L344" s="3" t="s">
        <v>448</v>
      </c>
      <c r="M344" s="3" t="s">
        <v>14</v>
      </c>
      <c r="N344">
        <v>2400000</v>
      </c>
      <c r="O344">
        <v>85.21</v>
      </c>
      <c r="Q344">
        <v>0</v>
      </c>
      <c r="R344">
        <v>17</v>
      </c>
      <c r="S344" s="3" t="s">
        <v>640</v>
      </c>
      <c r="T344">
        <v>0</v>
      </c>
      <c r="U344">
        <v>0</v>
      </c>
      <c r="V344">
        <v>0</v>
      </c>
      <c r="W344">
        <v>0</v>
      </c>
      <c r="X344">
        <v>-2045029</v>
      </c>
      <c r="Y344" s="3" t="s">
        <v>640</v>
      </c>
      <c r="Z344">
        <v>85.21</v>
      </c>
      <c r="AA344">
        <v>2400000</v>
      </c>
      <c r="AB344" s="3" t="s">
        <v>449</v>
      </c>
      <c r="AC344" s="3" t="s">
        <v>10</v>
      </c>
      <c r="AD344">
        <v>0</v>
      </c>
      <c r="AE344">
        <v>0</v>
      </c>
      <c r="AF344" s="3" t="s">
        <v>640</v>
      </c>
    </row>
    <row r="345" spans="1:32" x14ac:dyDescent="0.35">
      <c r="A345" s="3" t="s">
        <v>608</v>
      </c>
      <c r="B345" s="3" t="s">
        <v>608</v>
      </c>
      <c r="C345" s="3" t="s">
        <v>608</v>
      </c>
      <c r="D345" s="3" t="s">
        <v>608</v>
      </c>
      <c r="E345" s="3" t="s">
        <v>608</v>
      </c>
      <c r="F345" s="3" t="s">
        <v>640</v>
      </c>
      <c r="G345" s="3" t="s">
        <v>555</v>
      </c>
      <c r="H345" s="3" t="s">
        <v>555</v>
      </c>
      <c r="I345" s="3" t="s">
        <v>640</v>
      </c>
      <c r="J345" s="3" t="s">
        <v>4</v>
      </c>
      <c r="K345" s="3" t="s">
        <v>640</v>
      </c>
      <c r="L345" s="3" t="s">
        <v>448</v>
      </c>
      <c r="M345" s="3" t="s">
        <v>14</v>
      </c>
      <c r="N345">
        <v>-2425000</v>
      </c>
      <c r="O345">
        <v>109.651</v>
      </c>
      <c r="Q345">
        <v>0</v>
      </c>
      <c r="R345">
        <v>-70</v>
      </c>
      <c r="S345" s="3" t="s">
        <v>640</v>
      </c>
      <c r="T345">
        <v>0</v>
      </c>
      <c r="U345">
        <v>0</v>
      </c>
      <c r="V345">
        <v>0</v>
      </c>
      <c r="W345">
        <v>0</v>
      </c>
      <c r="X345">
        <v>2649258</v>
      </c>
      <c r="Y345" s="3" t="s">
        <v>640</v>
      </c>
      <c r="Z345">
        <v>109.651</v>
      </c>
      <c r="AA345">
        <v>-2425000</v>
      </c>
      <c r="AB345" s="3" t="s">
        <v>449</v>
      </c>
      <c r="AC345" s="3" t="s">
        <v>10</v>
      </c>
      <c r="AD345">
        <v>0</v>
      </c>
      <c r="AE345">
        <v>0</v>
      </c>
      <c r="AF345" s="3" t="s">
        <v>640</v>
      </c>
    </row>
    <row r="346" spans="1:32" x14ac:dyDescent="0.35">
      <c r="A346" s="3" t="s">
        <v>608</v>
      </c>
      <c r="B346" s="3" t="s">
        <v>608</v>
      </c>
      <c r="C346" s="3" t="s">
        <v>608</v>
      </c>
      <c r="D346" s="3" t="s">
        <v>608</v>
      </c>
      <c r="E346" s="3" t="s">
        <v>608</v>
      </c>
      <c r="F346" s="3" t="s">
        <v>640</v>
      </c>
      <c r="G346" s="3" t="s">
        <v>508</v>
      </c>
      <c r="H346" s="3" t="s">
        <v>508</v>
      </c>
      <c r="I346" s="3" t="s">
        <v>640</v>
      </c>
      <c r="J346" s="3" t="s">
        <v>283</v>
      </c>
      <c r="K346" s="3" t="s">
        <v>640</v>
      </c>
      <c r="L346" s="3" t="s">
        <v>448</v>
      </c>
      <c r="M346" s="3" t="s">
        <v>14</v>
      </c>
      <c r="N346">
        <v>1650000</v>
      </c>
      <c r="O346">
        <v>77.162000000000006</v>
      </c>
      <c r="Q346">
        <v>0</v>
      </c>
      <c r="R346">
        <v>-16</v>
      </c>
      <c r="S346" s="3" t="s">
        <v>640</v>
      </c>
      <c r="T346">
        <v>0</v>
      </c>
      <c r="U346">
        <v>0</v>
      </c>
      <c r="V346">
        <v>0</v>
      </c>
      <c r="W346">
        <v>0</v>
      </c>
      <c r="X346">
        <v>-1417914</v>
      </c>
      <c r="Y346" s="3" t="s">
        <v>640</v>
      </c>
      <c r="Z346">
        <v>77.162000000000006</v>
      </c>
      <c r="AA346">
        <v>1650000</v>
      </c>
      <c r="AB346" s="3" t="s">
        <v>449</v>
      </c>
      <c r="AC346" s="3" t="s">
        <v>10</v>
      </c>
      <c r="AD346">
        <v>0</v>
      </c>
      <c r="AE346">
        <v>0</v>
      </c>
      <c r="AF346" s="3" t="s">
        <v>640</v>
      </c>
    </row>
    <row r="347" spans="1:32" x14ac:dyDescent="0.35">
      <c r="A347" s="3" t="s">
        <v>608</v>
      </c>
      <c r="B347" s="3" t="s">
        <v>608</v>
      </c>
      <c r="C347" s="3" t="s">
        <v>608</v>
      </c>
      <c r="D347" s="3" t="s">
        <v>608</v>
      </c>
      <c r="E347" s="3" t="s">
        <v>608</v>
      </c>
      <c r="F347" s="3" t="s">
        <v>640</v>
      </c>
      <c r="G347" s="3" t="s">
        <v>509</v>
      </c>
      <c r="H347" s="3" t="s">
        <v>509</v>
      </c>
      <c r="I347" s="3" t="s">
        <v>640</v>
      </c>
      <c r="J347" s="3" t="s">
        <v>4</v>
      </c>
      <c r="K347" s="3" t="s">
        <v>640</v>
      </c>
      <c r="L347" s="3" t="s">
        <v>448</v>
      </c>
      <c r="M347" s="3" t="s">
        <v>14</v>
      </c>
      <c r="N347">
        <v>-1000000</v>
      </c>
      <c r="O347">
        <v>100.66800000000001</v>
      </c>
      <c r="Q347">
        <v>0</v>
      </c>
      <c r="R347">
        <v>-43</v>
      </c>
      <c r="S347" s="3" t="s">
        <v>640</v>
      </c>
      <c r="T347">
        <v>0</v>
      </c>
      <c r="U347">
        <v>0</v>
      </c>
      <c r="V347">
        <v>0</v>
      </c>
      <c r="W347">
        <v>0</v>
      </c>
      <c r="X347">
        <v>1009321</v>
      </c>
      <c r="Y347" s="3" t="s">
        <v>640</v>
      </c>
      <c r="Z347">
        <v>100.932</v>
      </c>
      <c r="AA347">
        <v>-1600000</v>
      </c>
      <c r="AB347" s="3" t="s">
        <v>449</v>
      </c>
      <c r="AC347" s="3" t="s">
        <v>10</v>
      </c>
      <c r="AD347">
        <v>0</v>
      </c>
      <c r="AE347">
        <v>0</v>
      </c>
      <c r="AF347" s="3" t="s">
        <v>640</v>
      </c>
    </row>
    <row r="348" spans="1:32" x14ac:dyDescent="0.35">
      <c r="A348" s="3" t="s">
        <v>608</v>
      </c>
      <c r="B348" s="3" t="s">
        <v>608</v>
      </c>
      <c r="C348" s="3" t="s">
        <v>608</v>
      </c>
      <c r="D348" s="3" t="s">
        <v>608</v>
      </c>
      <c r="E348" s="3" t="s">
        <v>608</v>
      </c>
      <c r="F348" s="3" t="s">
        <v>640</v>
      </c>
      <c r="G348" s="3" t="s">
        <v>528</v>
      </c>
      <c r="H348" s="3" t="s">
        <v>528</v>
      </c>
      <c r="I348" s="3" t="s">
        <v>640</v>
      </c>
      <c r="J348" s="3" t="s">
        <v>4</v>
      </c>
      <c r="K348" s="3" t="s">
        <v>640</v>
      </c>
      <c r="L348" s="3" t="s">
        <v>448</v>
      </c>
      <c r="M348" s="3" t="s">
        <v>14</v>
      </c>
      <c r="N348">
        <v>4000000</v>
      </c>
      <c r="O348">
        <v>94.058999999999997</v>
      </c>
      <c r="Q348">
        <v>0</v>
      </c>
      <c r="R348">
        <v>26</v>
      </c>
      <c r="S348" s="3" t="s">
        <v>640</v>
      </c>
      <c r="T348">
        <v>0</v>
      </c>
      <c r="U348">
        <v>0</v>
      </c>
      <c r="V348">
        <v>0</v>
      </c>
      <c r="W348">
        <v>0</v>
      </c>
      <c r="X348">
        <v>-3762344</v>
      </c>
      <c r="Y348" s="3" t="s">
        <v>640</v>
      </c>
      <c r="Z348">
        <v>94.058999999999997</v>
      </c>
      <c r="AA348">
        <v>4000000</v>
      </c>
      <c r="AB348" s="3" t="s">
        <v>449</v>
      </c>
      <c r="AC348" s="3" t="s">
        <v>10</v>
      </c>
      <c r="AD348">
        <v>0</v>
      </c>
      <c r="AE348">
        <v>0</v>
      </c>
      <c r="AF348" s="3" t="s">
        <v>640</v>
      </c>
    </row>
    <row r="349" spans="1:32" x14ac:dyDescent="0.35">
      <c r="A349" s="3" t="s">
        <v>608</v>
      </c>
      <c r="B349" s="3" t="s">
        <v>608</v>
      </c>
      <c r="C349" s="3" t="s">
        <v>608</v>
      </c>
      <c r="D349" s="3" t="s">
        <v>608</v>
      </c>
      <c r="E349" s="3" t="s">
        <v>608</v>
      </c>
      <c r="F349" s="3" t="s">
        <v>640</v>
      </c>
      <c r="G349" s="3" t="s">
        <v>921</v>
      </c>
      <c r="H349" s="3" t="s">
        <v>921</v>
      </c>
      <c r="I349" s="3" t="s">
        <v>640</v>
      </c>
      <c r="J349" s="3" t="s">
        <v>4</v>
      </c>
      <c r="K349" s="3" t="s">
        <v>640</v>
      </c>
      <c r="L349" s="3" t="s">
        <v>448</v>
      </c>
      <c r="M349" s="3" t="s">
        <v>14</v>
      </c>
      <c r="N349">
        <v>-996000</v>
      </c>
      <c r="O349">
        <v>109.742</v>
      </c>
      <c r="Q349">
        <v>0</v>
      </c>
      <c r="R349">
        <v>-29</v>
      </c>
      <c r="S349" s="3" t="s">
        <v>640</v>
      </c>
      <c r="T349">
        <v>0</v>
      </c>
      <c r="U349">
        <v>0</v>
      </c>
      <c r="V349">
        <v>0</v>
      </c>
      <c r="W349">
        <v>0</v>
      </c>
      <c r="X349">
        <v>1093030</v>
      </c>
      <c r="Y349" s="3" t="s">
        <v>640</v>
      </c>
      <c r="Z349">
        <v>109.742</v>
      </c>
      <c r="AA349">
        <v>-996000</v>
      </c>
      <c r="AB349" s="3" t="s">
        <v>449</v>
      </c>
      <c r="AC349" s="3" t="s">
        <v>10</v>
      </c>
      <c r="AD349">
        <v>0</v>
      </c>
      <c r="AE349">
        <v>0</v>
      </c>
      <c r="AF349" s="3" t="s">
        <v>640</v>
      </c>
    </row>
    <row r="350" spans="1:32" x14ac:dyDescent="0.35">
      <c r="A350" s="3" t="s">
        <v>608</v>
      </c>
      <c r="B350" s="3" t="s">
        <v>608</v>
      </c>
      <c r="C350" s="3" t="s">
        <v>608</v>
      </c>
      <c r="D350" s="3" t="s">
        <v>608</v>
      </c>
      <c r="E350" s="3" t="s">
        <v>608</v>
      </c>
      <c r="F350" s="3" t="s">
        <v>640</v>
      </c>
      <c r="G350" s="3" t="s">
        <v>512</v>
      </c>
      <c r="H350" s="3" t="s">
        <v>512</v>
      </c>
      <c r="I350" s="3" t="s">
        <v>640</v>
      </c>
      <c r="J350" s="3" t="s">
        <v>4</v>
      </c>
      <c r="K350" s="3" t="s">
        <v>640</v>
      </c>
      <c r="L350" s="3" t="s">
        <v>448</v>
      </c>
      <c r="M350" s="3" t="s">
        <v>14</v>
      </c>
      <c r="N350">
        <v>-1515000</v>
      </c>
      <c r="O350">
        <v>117.57299999999999</v>
      </c>
      <c r="Q350">
        <v>0</v>
      </c>
      <c r="R350">
        <v>-47</v>
      </c>
      <c r="S350" s="3" t="s">
        <v>640</v>
      </c>
      <c r="T350">
        <v>0</v>
      </c>
      <c r="U350">
        <v>0</v>
      </c>
      <c r="V350">
        <v>0</v>
      </c>
      <c r="W350">
        <v>0</v>
      </c>
      <c r="X350">
        <v>1781227</v>
      </c>
      <c r="Y350" s="3" t="s">
        <v>640</v>
      </c>
      <c r="Z350">
        <v>117.57299999999999</v>
      </c>
      <c r="AA350">
        <v>-1515000</v>
      </c>
      <c r="AB350" s="3" t="s">
        <v>449</v>
      </c>
      <c r="AC350" s="3" t="s">
        <v>10</v>
      </c>
      <c r="AD350">
        <v>0</v>
      </c>
      <c r="AE350">
        <v>0</v>
      </c>
      <c r="AF350" s="3" t="s">
        <v>640</v>
      </c>
    </row>
    <row r="351" spans="1:32" x14ac:dyDescent="0.35">
      <c r="A351" s="3" t="s">
        <v>608</v>
      </c>
      <c r="B351" s="3" t="s">
        <v>608</v>
      </c>
      <c r="C351" s="3" t="s">
        <v>608</v>
      </c>
      <c r="D351" s="3" t="s">
        <v>608</v>
      </c>
      <c r="E351" s="3" t="s">
        <v>608</v>
      </c>
      <c r="F351" s="3" t="s">
        <v>640</v>
      </c>
      <c r="G351" s="3" t="s">
        <v>455</v>
      </c>
      <c r="H351" s="3" t="s">
        <v>455</v>
      </c>
      <c r="I351" s="3" t="s">
        <v>640</v>
      </c>
      <c r="J351" s="3" t="s">
        <v>4</v>
      </c>
      <c r="K351" s="3" t="s">
        <v>640</v>
      </c>
      <c r="L351" s="3" t="s">
        <v>448</v>
      </c>
      <c r="M351" s="3" t="s">
        <v>14</v>
      </c>
      <c r="N351">
        <v>-17971000</v>
      </c>
      <c r="O351">
        <v>101.35899999999999</v>
      </c>
      <c r="Q351">
        <v>0</v>
      </c>
      <c r="R351">
        <v>-483</v>
      </c>
      <c r="S351" s="3" t="s">
        <v>640</v>
      </c>
      <c r="T351">
        <v>0</v>
      </c>
      <c r="U351">
        <v>0</v>
      </c>
      <c r="V351">
        <v>0</v>
      </c>
      <c r="W351">
        <v>0</v>
      </c>
      <c r="X351">
        <v>18289760</v>
      </c>
      <c r="Y351" s="3" t="s">
        <v>640</v>
      </c>
      <c r="Z351">
        <v>101.35899999999999</v>
      </c>
      <c r="AA351">
        <v>-17971000</v>
      </c>
      <c r="AB351" s="3" t="s">
        <v>449</v>
      </c>
      <c r="AC351" s="3" t="s">
        <v>10</v>
      </c>
      <c r="AD351">
        <v>0</v>
      </c>
      <c r="AE351">
        <v>0</v>
      </c>
      <c r="AF351" s="3" t="s">
        <v>640</v>
      </c>
    </row>
    <row r="352" spans="1:32" x14ac:dyDescent="0.35">
      <c r="A352" s="3" t="s">
        <v>608</v>
      </c>
      <c r="B352" s="3" t="s">
        <v>608</v>
      </c>
      <c r="C352" s="3" t="s">
        <v>608</v>
      </c>
      <c r="D352" s="3" t="s">
        <v>608</v>
      </c>
      <c r="E352" s="3" t="s">
        <v>608</v>
      </c>
      <c r="F352" s="3" t="s">
        <v>640</v>
      </c>
      <c r="G352" s="3" t="s">
        <v>516</v>
      </c>
      <c r="H352" s="3" t="s">
        <v>516</v>
      </c>
      <c r="I352" s="3" t="s">
        <v>640</v>
      </c>
      <c r="J352" s="3" t="s">
        <v>4</v>
      </c>
      <c r="K352" s="3" t="s">
        <v>640</v>
      </c>
      <c r="L352" s="3" t="s">
        <v>448</v>
      </c>
      <c r="M352" s="3" t="s">
        <v>14</v>
      </c>
      <c r="N352">
        <v>-1000000</v>
      </c>
      <c r="O352">
        <v>110.545</v>
      </c>
      <c r="Q352">
        <v>0</v>
      </c>
      <c r="R352">
        <v>-29</v>
      </c>
      <c r="S352" s="3" t="s">
        <v>640</v>
      </c>
      <c r="T352">
        <v>0</v>
      </c>
      <c r="U352">
        <v>0</v>
      </c>
      <c r="V352">
        <v>0</v>
      </c>
      <c r="W352">
        <v>0</v>
      </c>
      <c r="X352">
        <v>1105446</v>
      </c>
      <c r="Y352" s="3" t="s">
        <v>640</v>
      </c>
      <c r="Z352">
        <v>110.545</v>
      </c>
      <c r="AA352">
        <v>-1000000</v>
      </c>
      <c r="AB352" s="3" t="s">
        <v>449</v>
      </c>
      <c r="AC352" s="3" t="s">
        <v>10</v>
      </c>
      <c r="AD352">
        <v>0</v>
      </c>
      <c r="AE352">
        <v>0</v>
      </c>
      <c r="AF352" s="3" t="s">
        <v>640</v>
      </c>
    </row>
    <row r="353" spans="1:32" x14ac:dyDescent="0.35">
      <c r="A353" s="3" t="s">
        <v>608</v>
      </c>
      <c r="B353" s="3" t="s">
        <v>608</v>
      </c>
      <c r="C353" s="3" t="s">
        <v>608</v>
      </c>
      <c r="D353" s="3" t="s">
        <v>608</v>
      </c>
      <c r="E353" s="3" t="s">
        <v>608</v>
      </c>
      <c r="F353" s="3" t="s">
        <v>640</v>
      </c>
      <c r="G353" s="3" t="s">
        <v>485</v>
      </c>
      <c r="H353" s="3" t="s">
        <v>485</v>
      </c>
      <c r="I353" s="3" t="s">
        <v>640</v>
      </c>
      <c r="J353" s="3" t="s">
        <v>4</v>
      </c>
      <c r="K353" s="3" t="s">
        <v>640</v>
      </c>
      <c r="L353" s="3" t="s">
        <v>448</v>
      </c>
      <c r="M353" s="3" t="s">
        <v>14</v>
      </c>
      <c r="N353">
        <v>1800000</v>
      </c>
      <c r="O353">
        <v>90.174000000000007</v>
      </c>
      <c r="Q353">
        <v>0</v>
      </c>
      <c r="R353">
        <v>11</v>
      </c>
      <c r="S353" s="3" t="s">
        <v>640</v>
      </c>
      <c r="T353">
        <v>0</v>
      </c>
      <c r="U353">
        <v>0</v>
      </c>
      <c r="V353">
        <v>0</v>
      </c>
      <c r="W353">
        <v>0</v>
      </c>
      <c r="X353">
        <v>-1623139</v>
      </c>
      <c r="Y353" s="3" t="s">
        <v>640</v>
      </c>
      <c r="Z353">
        <v>90.174000000000007</v>
      </c>
      <c r="AA353">
        <v>1800000</v>
      </c>
      <c r="AB353" s="3" t="s">
        <v>449</v>
      </c>
      <c r="AC353" s="3" t="s">
        <v>10</v>
      </c>
      <c r="AD353">
        <v>0</v>
      </c>
      <c r="AE353">
        <v>0</v>
      </c>
      <c r="AF353" s="3" t="s">
        <v>640</v>
      </c>
    </row>
    <row r="354" spans="1:32" x14ac:dyDescent="0.35">
      <c r="A354" s="3" t="s">
        <v>608</v>
      </c>
      <c r="B354" s="3" t="s">
        <v>608</v>
      </c>
      <c r="C354" s="3" t="s">
        <v>608</v>
      </c>
      <c r="D354" s="3" t="s">
        <v>608</v>
      </c>
      <c r="E354" s="3" t="s">
        <v>608</v>
      </c>
      <c r="F354" s="3" t="s">
        <v>640</v>
      </c>
      <c r="G354" s="3" t="s">
        <v>553</v>
      </c>
      <c r="H354" s="3" t="s">
        <v>553</v>
      </c>
      <c r="I354" s="3" t="s">
        <v>640</v>
      </c>
      <c r="J354" s="3" t="s">
        <v>4</v>
      </c>
      <c r="K354" s="3" t="s">
        <v>640</v>
      </c>
      <c r="L354" s="3" t="s">
        <v>448</v>
      </c>
      <c r="M354" s="3" t="s">
        <v>14</v>
      </c>
      <c r="N354">
        <v>3000000</v>
      </c>
      <c r="O354">
        <v>91.927000000000007</v>
      </c>
      <c r="Q354">
        <v>0</v>
      </c>
      <c r="R354">
        <v>19</v>
      </c>
      <c r="S354" s="3" t="s">
        <v>640</v>
      </c>
      <c r="T354">
        <v>0</v>
      </c>
      <c r="U354">
        <v>0</v>
      </c>
      <c r="V354">
        <v>0</v>
      </c>
      <c r="W354">
        <v>0</v>
      </c>
      <c r="X354">
        <v>-2757818</v>
      </c>
      <c r="Y354" s="3" t="s">
        <v>640</v>
      </c>
      <c r="Z354">
        <v>91.927000000000007</v>
      </c>
      <c r="AA354">
        <v>3000000</v>
      </c>
      <c r="AB354" s="3" t="s">
        <v>449</v>
      </c>
      <c r="AC354" s="3" t="s">
        <v>10</v>
      </c>
      <c r="AD354">
        <v>0</v>
      </c>
      <c r="AE354">
        <v>0</v>
      </c>
      <c r="AF354" s="3" t="s">
        <v>640</v>
      </c>
    </row>
    <row r="355" spans="1:32" x14ac:dyDescent="0.35">
      <c r="A355" s="3" t="s">
        <v>608</v>
      </c>
      <c r="B355" s="3" t="s">
        <v>608</v>
      </c>
      <c r="C355" s="3" t="s">
        <v>608</v>
      </c>
      <c r="D355" s="3" t="s">
        <v>608</v>
      </c>
      <c r="E355" s="3" t="s">
        <v>608</v>
      </c>
      <c r="F355" s="3" t="s">
        <v>640</v>
      </c>
      <c r="G355" s="3" t="s">
        <v>486</v>
      </c>
      <c r="H355" s="3" t="s">
        <v>486</v>
      </c>
      <c r="I355" s="3" t="s">
        <v>640</v>
      </c>
      <c r="J355" s="3" t="s">
        <v>4</v>
      </c>
      <c r="K355" s="3" t="s">
        <v>640</v>
      </c>
      <c r="L355" s="3" t="s">
        <v>448</v>
      </c>
      <c r="M355" s="3" t="s">
        <v>14</v>
      </c>
      <c r="N355">
        <v>1000000</v>
      </c>
      <c r="O355">
        <v>90.635999999999996</v>
      </c>
      <c r="Q355">
        <v>0</v>
      </c>
      <c r="R355">
        <v>6</v>
      </c>
      <c r="S355" s="3" t="s">
        <v>640</v>
      </c>
      <c r="T355">
        <v>0</v>
      </c>
      <c r="U355">
        <v>0</v>
      </c>
      <c r="V355">
        <v>0</v>
      </c>
      <c r="W355">
        <v>0</v>
      </c>
      <c r="X355">
        <v>-906364</v>
      </c>
      <c r="Y355" s="3" t="s">
        <v>640</v>
      </c>
      <c r="Z355">
        <v>90.635999999999996</v>
      </c>
      <c r="AA355">
        <v>1000000</v>
      </c>
      <c r="AB355" s="3" t="s">
        <v>449</v>
      </c>
      <c r="AC355" s="3" t="s">
        <v>10</v>
      </c>
      <c r="AD355">
        <v>0</v>
      </c>
      <c r="AE355">
        <v>0</v>
      </c>
      <c r="AF355" s="3" t="s">
        <v>640</v>
      </c>
    </row>
    <row r="356" spans="1:32" x14ac:dyDescent="0.35">
      <c r="A356" s="3" t="s">
        <v>608</v>
      </c>
      <c r="B356" s="3" t="s">
        <v>608</v>
      </c>
      <c r="C356" s="3" t="s">
        <v>608</v>
      </c>
      <c r="D356" s="3" t="s">
        <v>608</v>
      </c>
      <c r="E356" s="3" t="s">
        <v>608</v>
      </c>
      <c r="F356" s="3" t="s">
        <v>640</v>
      </c>
      <c r="G356" s="3" t="s">
        <v>487</v>
      </c>
      <c r="H356" s="3" t="s">
        <v>487</v>
      </c>
      <c r="I356" s="3" t="s">
        <v>640</v>
      </c>
      <c r="J356" s="3" t="s">
        <v>4</v>
      </c>
      <c r="K356" s="3" t="s">
        <v>640</v>
      </c>
      <c r="L356" s="3" t="s">
        <v>448</v>
      </c>
      <c r="M356" s="3" t="s">
        <v>14</v>
      </c>
      <c r="N356">
        <v>3000000</v>
      </c>
      <c r="O356">
        <v>98.866</v>
      </c>
      <c r="Q356">
        <v>0</v>
      </c>
      <c r="R356">
        <v>21</v>
      </c>
      <c r="S356" s="3" t="s">
        <v>640</v>
      </c>
      <c r="T356">
        <v>0</v>
      </c>
      <c r="U356">
        <v>0</v>
      </c>
      <c r="V356">
        <v>0</v>
      </c>
      <c r="W356">
        <v>0</v>
      </c>
      <c r="X356">
        <v>-2965984</v>
      </c>
      <c r="Y356" s="3" t="s">
        <v>640</v>
      </c>
      <c r="Z356">
        <v>98.866</v>
      </c>
      <c r="AA356">
        <v>3000000</v>
      </c>
      <c r="AB356" s="3" t="s">
        <v>449</v>
      </c>
      <c r="AC356" s="3" t="s">
        <v>10</v>
      </c>
      <c r="AD356">
        <v>0</v>
      </c>
      <c r="AE356">
        <v>0</v>
      </c>
      <c r="AF356" s="3" t="s">
        <v>640</v>
      </c>
    </row>
    <row r="357" spans="1:32" x14ac:dyDescent="0.35">
      <c r="A357" s="3" t="s">
        <v>608</v>
      </c>
      <c r="B357" s="3" t="s">
        <v>608</v>
      </c>
      <c r="C357" s="3" t="s">
        <v>608</v>
      </c>
      <c r="D357" s="3" t="s">
        <v>608</v>
      </c>
      <c r="E357" s="3" t="s">
        <v>608</v>
      </c>
      <c r="F357" s="3" t="s">
        <v>640</v>
      </c>
      <c r="G357" s="3" t="s">
        <v>488</v>
      </c>
      <c r="H357" s="3" t="s">
        <v>488</v>
      </c>
      <c r="I357" s="3" t="s">
        <v>640</v>
      </c>
      <c r="J357" s="3" t="s">
        <v>4</v>
      </c>
      <c r="K357" s="3" t="s">
        <v>640</v>
      </c>
      <c r="L357" s="3" t="s">
        <v>448</v>
      </c>
      <c r="M357" s="3" t="s">
        <v>14</v>
      </c>
      <c r="N357">
        <v>2000000</v>
      </c>
      <c r="O357">
        <v>93.37</v>
      </c>
      <c r="Q357">
        <v>0</v>
      </c>
      <c r="R357">
        <v>13</v>
      </c>
      <c r="S357" s="3" t="s">
        <v>640</v>
      </c>
      <c r="T357">
        <v>0</v>
      </c>
      <c r="U357">
        <v>0</v>
      </c>
      <c r="V357">
        <v>0</v>
      </c>
      <c r="W357">
        <v>0</v>
      </c>
      <c r="X357">
        <v>-1867403</v>
      </c>
      <c r="Y357" s="3" t="s">
        <v>640</v>
      </c>
      <c r="Z357">
        <v>93.37</v>
      </c>
      <c r="AA357">
        <v>2000000</v>
      </c>
      <c r="AB357" s="3" t="s">
        <v>449</v>
      </c>
      <c r="AC357" s="3" t="s">
        <v>10</v>
      </c>
      <c r="AD357">
        <v>0</v>
      </c>
      <c r="AE357">
        <v>0</v>
      </c>
      <c r="AF357" s="3" t="s">
        <v>640</v>
      </c>
    </row>
    <row r="358" spans="1:32" x14ac:dyDescent="0.35">
      <c r="A358" s="3" t="s">
        <v>608</v>
      </c>
      <c r="B358" s="3" t="s">
        <v>608</v>
      </c>
      <c r="C358" s="3" t="s">
        <v>608</v>
      </c>
      <c r="D358" s="3" t="s">
        <v>608</v>
      </c>
      <c r="E358" s="3" t="s">
        <v>608</v>
      </c>
      <c r="F358" s="3" t="s">
        <v>640</v>
      </c>
      <c r="G358" s="3" t="s">
        <v>489</v>
      </c>
      <c r="H358" s="3" t="s">
        <v>489</v>
      </c>
      <c r="I358" s="3" t="s">
        <v>640</v>
      </c>
      <c r="J358" s="3" t="s">
        <v>4</v>
      </c>
      <c r="K358" s="3" t="s">
        <v>640</v>
      </c>
      <c r="L358" s="3" t="s">
        <v>448</v>
      </c>
      <c r="M358" s="3" t="s">
        <v>14</v>
      </c>
      <c r="N358">
        <v>-4000000</v>
      </c>
      <c r="O358">
        <v>119.532</v>
      </c>
      <c r="Q358">
        <v>0</v>
      </c>
      <c r="R358">
        <v>-126</v>
      </c>
      <c r="S358" s="3" t="s">
        <v>640</v>
      </c>
      <c r="T358">
        <v>0</v>
      </c>
      <c r="U358">
        <v>0</v>
      </c>
      <c r="V358">
        <v>0</v>
      </c>
      <c r="W358">
        <v>0</v>
      </c>
      <c r="X358">
        <v>4773032</v>
      </c>
      <c r="Y358" s="3" t="s">
        <v>640</v>
      </c>
      <c r="Z358">
        <v>119.532</v>
      </c>
      <c r="AA358">
        <v>-4000000</v>
      </c>
      <c r="AB358" s="3" t="s">
        <v>449</v>
      </c>
      <c r="AC358" s="3" t="s">
        <v>10</v>
      </c>
      <c r="AD358">
        <v>0</v>
      </c>
      <c r="AE358">
        <v>0</v>
      </c>
      <c r="AF358" s="3" t="s">
        <v>640</v>
      </c>
    </row>
    <row r="359" spans="1:32" x14ac:dyDescent="0.35">
      <c r="A359" s="3" t="s">
        <v>608</v>
      </c>
      <c r="B359" s="3" t="s">
        <v>608</v>
      </c>
      <c r="C359" s="3" t="s">
        <v>608</v>
      </c>
      <c r="D359" s="3" t="s">
        <v>608</v>
      </c>
      <c r="E359" s="3" t="s">
        <v>608</v>
      </c>
      <c r="F359" s="3" t="s">
        <v>640</v>
      </c>
      <c r="G359" s="3" t="s">
        <v>522</v>
      </c>
      <c r="H359" s="3" t="s">
        <v>522</v>
      </c>
      <c r="I359" s="3" t="s">
        <v>640</v>
      </c>
      <c r="J359" s="3" t="s">
        <v>4</v>
      </c>
      <c r="K359" s="3" t="s">
        <v>640</v>
      </c>
      <c r="L359" s="3" t="s">
        <v>448</v>
      </c>
      <c r="M359" s="3" t="s">
        <v>14</v>
      </c>
      <c r="N359">
        <v>-3850000</v>
      </c>
      <c r="O359">
        <v>108.73099999999999</v>
      </c>
      <c r="Q359">
        <v>0</v>
      </c>
      <c r="R359">
        <v>-121</v>
      </c>
      <c r="S359" s="3" t="s">
        <v>640</v>
      </c>
      <c r="T359">
        <v>0</v>
      </c>
      <c r="U359">
        <v>0</v>
      </c>
      <c r="V359">
        <v>0</v>
      </c>
      <c r="W359">
        <v>0</v>
      </c>
      <c r="X359">
        <v>4186157</v>
      </c>
      <c r="Y359" s="3" t="s">
        <v>640</v>
      </c>
      <c r="Z359">
        <v>108.751</v>
      </c>
      <c r="AA359">
        <v>-4200000</v>
      </c>
      <c r="AB359" s="3" t="s">
        <v>449</v>
      </c>
      <c r="AC359" s="3" t="s">
        <v>10</v>
      </c>
      <c r="AD359">
        <v>0</v>
      </c>
      <c r="AE359">
        <v>0</v>
      </c>
      <c r="AF359" s="3" t="s">
        <v>640</v>
      </c>
    </row>
    <row r="360" spans="1:32" x14ac:dyDescent="0.35">
      <c r="A360" s="3" t="s">
        <v>608</v>
      </c>
      <c r="B360" s="3" t="s">
        <v>608</v>
      </c>
      <c r="C360" s="3" t="s">
        <v>608</v>
      </c>
      <c r="D360" s="3" t="s">
        <v>608</v>
      </c>
      <c r="E360" s="3" t="s">
        <v>608</v>
      </c>
      <c r="F360" s="3" t="s">
        <v>640</v>
      </c>
      <c r="G360" s="3" t="s">
        <v>523</v>
      </c>
      <c r="H360" s="3" t="s">
        <v>523</v>
      </c>
      <c r="I360" s="3" t="s">
        <v>640</v>
      </c>
      <c r="J360" s="3" t="s">
        <v>4</v>
      </c>
      <c r="K360" s="3" t="s">
        <v>640</v>
      </c>
      <c r="L360" s="3" t="s">
        <v>448</v>
      </c>
      <c r="M360" s="3" t="s">
        <v>14</v>
      </c>
      <c r="N360">
        <v>-2850000</v>
      </c>
      <c r="O360">
        <v>105.789</v>
      </c>
      <c r="Q360">
        <v>0</v>
      </c>
      <c r="R360">
        <v>-80</v>
      </c>
      <c r="S360" s="3" t="s">
        <v>640</v>
      </c>
      <c r="T360">
        <v>0</v>
      </c>
      <c r="U360">
        <v>0</v>
      </c>
      <c r="V360">
        <v>0</v>
      </c>
      <c r="W360">
        <v>0</v>
      </c>
      <c r="X360">
        <v>3016798</v>
      </c>
      <c r="Y360" s="3" t="s">
        <v>640</v>
      </c>
      <c r="Z360">
        <v>105.789</v>
      </c>
      <c r="AA360">
        <v>-2850000</v>
      </c>
      <c r="AB360" s="3" t="s">
        <v>449</v>
      </c>
      <c r="AC360" s="3" t="s">
        <v>10</v>
      </c>
      <c r="AD360">
        <v>0</v>
      </c>
      <c r="AE360">
        <v>0</v>
      </c>
      <c r="AF360" s="3" t="s">
        <v>640</v>
      </c>
    </row>
    <row r="361" spans="1:32" x14ac:dyDescent="0.35">
      <c r="A361" s="3" t="s">
        <v>608</v>
      </c>
      <c r="B361" s="3" t="s">
        <v>608</v>
      </c>
      <c r="C361" s="3" t="s">
        <v>608</v>
      </c>
      <c r="D361" s="3" t="s">
        <v>608</v>
      </c>
      <c r="E361" s="3" t="s">
        <v>608</v>
      </c>
      <c r="F361" s="3" t="s">
        <v>640</v>
      </c>
      <c r="G361" s="3" t="s">
        <v>536</v>
      </c>
      <c r="H361" s="3" t="s">
        <v>536</v>
      </c>
      <c r="I361" s="3" t="s">
        <v>640</v>
      </c>
      <c r="J361" s="3" t="s">
        <v>4</v>
      </c>
      <c r="K361" s="3" t="s">
        <v>640</v>
      </c>
      <c r="L361" s="3" t="s">
        <v>448</v>
      </c>
      <c r="M361" s="3" t="s">
        <v>14</v>
      </c>
      <c r="N361">
        <v>-2855000</v>
      </c>
      <c r="O361">
        <v>124.699</v>
      </c>
      <c r="Q361">
        <v>0</v>
      </c>
      <c r="R361">
        <v>-94</v>
      </c>
      <c r="S361" s="3" t="s">
        <v>640</v>
      </c>
      <c r="T361">
        <v>0</v>
      </c>
      <c r="U361">
        <v>0</v>
      </c>
      <c r="V361">
        <v>0</v>
      </c>
      <c r="W361">
        <v>0</v>
      </c>
      <c r="X361">
        <v>3560152</v>
      </c>
      <c r="Y361" s="3" t="s">
        <v>640</v>
      </c>
      <c r="Z361">
        <v>124.699</v>
      </c>
      <c r="AA361">
        <v>-2855000</v>
      </c>
      <c r="AB361" s="3" t="s">
        <v>449</v>
      </c>
      <c r="AC361" s="3" t="s">
        <v>10</v>
      </c>
      <c r="AD361">
        <v>0</v>
      </c>
      <c r="AE361">
        <v>0</v>
      </c>
      <c r="AF361" s="3" t="s">
        <v>640</v>
      </c>
    </row>
    <row r="362" spans="1:32" x14ac:dyDescent="0.35">
      <c r="A362" s="3" t="s">
        <v>608</v>
      </c>
      <c r="B362" s="3" t="s">
        <v>608</v>
      </c>
      <c r="C362" s="3" t="s">
        <v>608</v>
      </c>
      <c r="D362" s="3" t="s">
        <v>608</v>
      </c>
      <c r="E362" s="3" t="s">
        <v>608</v>
      </c>
      <c r="F362" s="3" t="s">
        <v>640</v>
      </c>
      <c r="G362" s="3" t="s">
        <v>875</v>
      </c>
      <c r="H362" s="3" t="s">
        <v>875</v>
      </c>
      <c r="I362" s="3" t="s">
        <v>640</v>
      </c>
      <c r="J362" s="3" t="s">
        <v>4</v>
      </c>
      <c r="K362" s="3" t="s">
        <v>640</v>
      </c>
      <c r="L362" s="3" t="s">
        <v>448</v>
      </c>
      <c r="M362" s="3" t="s">
        <v>14</v>
      </c>
      <c r="N362">
        <v>1000000</v>
      </c>
      <c r="O362">
        <v>84.078999999999994</v>
      </c>
      <c r="Q362">
        <v>0</v>
      </c>
      <c r="R362">
        <v>6</v>
      </c>
      <c r="S362" s="3" t="s">
        <v>640</v>
      </c>
      <c r="T362">
        <v>0</v>
      </c>
      <c r="U362">
        <v>0</v>
      </c>
      <c r="V362">
        <v>0</v>
      </c>
      <c r="W362">
        <v>0</v>
      </c>
      <c r="X362">
        <v>-840788</v>
      </c>
      <c r="Y362" s="3" t="s">
        <v>640</v>
      </c>
      <c r="Z362">
        <v>84.078999999999994</v>
      </c>
      <c r="AA362">
        <v>1000000</v>
      </c>
      <c r="AB362" s="3" t="s">
        <v>449</v>
      </c>
      <c r="AC362" s="3" t="s">
        <v>10</v>
      </c>
      <c r="AD362">
        <v>0</v>
      </c>
      <c r="AE362">
        <v>0</v>
      </c>
      <c r="AF362" s="3" t="s">
        <v>640</v>
      </c>
    </row>
    <row r="363" spans="1:32" x14ac:dyDescent="0.35">
      <c r="A363" s="3" t="s">
        <v>608</v>
      </c>
      <c r="B363" s="3" t="s">
        <v>608</v>
      </c>
      <c r="C363" s="3" t="s">
        <v>608</v>
      </c>
      <c r="D363" s="3" t="s">
        <v>608</v>
      </c>
      <c r="E363" s="3" t="s">
        <v>608</v>
      </c>
      <c r="F363" s="3" t="s">
        <v>640</v>
      </c>
      <c r="G363" s="3" t="s">
        <v>527</v>
      </c>
      <c r="H363" s="3" t="s">
        <v>527</v>
      </c>
      <c r="I363" s="3" t="s">
        <v>640</v>
      </c>
      <c r="J363" s="3" t="s">
        <v>4</v>
      </c>
      <c r="K363" s="3" t="s">
        <v>640</v>
      </c>
      <c r="L363" s="3" t="s">
        <v>448</v>
      </c>
      <c r="M363" s="3" t="s">
        <v>14</v>
      </c>
      <c r="N363">
        <v>3398000</v>
      </c>
      <c r="O363">
        <v>82.2</v>
      </c>
      <c r="Q363">
        <v>0</v>
      </c>
      <c r="R363">
        <v>19</v>
      </c>
      <c r="S363" s="3" t="s">
        <v>640</v>
      </c>
      <c r="T363">
        <v>0</v>
      </c>
      <c r="U363">
        <v>0</v>
      </c>
      <c r="V363">
        <v>0</v>
      </c>
      <c r="W363">
        <v>0</v>
      </c>
      <c r="X363">
        <v>-2793155</v>
      </c>
      <c r="Y363" s="3" t="s">
        <v>640</v>
      </c>
      <c r="Z363">
        <v>82.2</v>
      </c>
      <c r="AA363">
        <v>3398000</v>
      </c>
      <c r="AB363" s="3" t="s">
        <v>449</v>
      </c>
      <c r="AC363" s="3" t="s">
        <v>10</v>
      </c>
      <c r="AD363">
        <v>0</v>
      </c>
      <c r="AE363">
        <v>0</v>
      </c>
      <c r="AF363" s="3" t="s">
        <v>640</v>
      </c>
    </row>
    <row r="364" spans="1:32" x14ac:dyDescent="0.35">
      <c r="A364" s="3" t="s">
        <v>608</v>
      </c>
      <c r="B364" s="3" t="s">
        <v>608</v>
      </c>
      <c r="C364" s="3" t="s">
        <v>608</v>
      </c>
      <c r="D364" s="3" t="s">
        <v>608</v>
      </c>
      <c r="E364" s="3" t="s">
        <v>608</v>
      </c>
      <c r="F364" s="3" t="s">
        <v>640</v>
      </c>
      <c r="G364" s="3" t="s">
        <v>529</v>
      </c>
      <c r="H364" s="3" t="s">
        <v>529</v>
      </c>
      <c r="I364" s="3" t="s">
        <v>640</v>
      </c>
      <c r="J364" s="3" t="s">
        <v>4</v>
      </c>
      <c r="K364" s="3" t="s">
        <v>640</v>
      </c>
      <c r="L364" s="3" t="s">
        <v>448</v>
      </c>
      <c r="M364" s="3" t="s">
        <v>14</v>
      </c>
      <c r="N364">
        <v>14300000</v>
      </c>
      <c r="O364">
        <v>72.989000000000004</v>
      </c>
      <c r="Q364">
        <v>0</v>
      </c>
      <c r="R364">
        <v>73</v>
      </c>
      <c r="S364" s="3" t="s">
        <v>640</v>
      </c>
      <c r="T364">
        <v>0</v>
      </c>
      <c r="U364">
        <v>0</v>
      </c>
      <c r="V364">
        <v>0</v>
      </c>
      <c r="W364">
        <v>0</v>
      </c>
      <c r="X364">
        <v>-10474680</v>
      </c>
      <c r="Y364" s="3" t="s">
        <v>640</v>
      </c>
      <c r="Z364">
        <v>72.989000000000004</v>
      </c>
      <c r="AA364">
        <v>14300000</v>
      </c>
      <c r="AB364" s="3" t="s">
        <v>449</v>
      </c>
      <c r="AC364" s="3" t="s">
        <v>10</v>
      </c>
      <c r="AD364">
        <v>0</v>
      </c>
      <c r="AE364">
        <v>0</v>
      </c>
      <c r="AF364" s="3" t="s">
        <v>640</v>
      </c>
    </row>
    <row r="365" spans="1:32" x14ac:dyDescent="0.35">
      <c r="A365" s="3" t="s">
        <v>608</v>
      </c>
      <c r="B365" s="3" t="s">
        <v>608</v>
      </c>
      <c r="C365" s="3" t="s">
        <v>608</v>
      </c>
      <c r="D365" s="3" t="s">
        <v>608</v>
      </c>
      <c r="E365" s="3" t="s">
        <v>608</v>
      </c>
      <c r="F365" s="3" t="s">
        <v>640</v>
      </c>
      <c r="G365" s="3" t="s">
        <v>530</v>
      </c>
      <c r="H365" s="3" t="s">
        <v>530</v>
      </c>
      <c r="I365" s="3" t="s">
        <v>640</v>
      </c>
      <c r="J365" s="3" t="s">
        <v>4</v>
      </c>
      <c r="K365" s="3" t="s">
        <v>640</v>
      </c>
      <c r="L365" s="3" t="s">
        <v>448</v>
      </c>
      <c r="M365" s="3" t="s">
        <v>14</v>
      </c>
      <c r="N365">
        <v>-200000</v>
      </c>
      <c r="O365">
        <v>115.47</v>
      </c>
      <c r="Q365">
        <v>0</v>
      </c>
      <c r="R365">
        <v>-21</v>
      </c>
      <c r="S365" s="3" t="s">
        <v>640</v>
      </c>
      <c r="T365">
        <v>0</v>
      </c>
      <c r="U365">
        <v>0</v>
      </c>
      <c r="V365">
        <v>0</v>
      </c>
      <c r="W365">
        <v>0</v>
      </c>
      <c r="X365">
        <v>230940</v>
      </c>
      <c r="Y365" s="3" t="s">
        <v>640</v>
      </c>
      <c r="Z365">
        <v>115.642</v>
      </c>
      <c r="AA365">
        <v>-700000</v>
      </c>
      <c r="AB365" s="3" t="s">
        <v>449</v>
      </c>
      <c r="AC365" s="3" t="s">
        <v>10</v>
      </c>
      <c r="AD365">
        <v>0</v>
      </c>
      <c r="AE365">
        <v>0</v>
      </c>
      <c r="AF365" s="3" t="s">
        <v>640</v>
      </c>
    </row>
    <row r="366" spans="1:32" x14ac:dyDescent="0.35">
      <c r="A366" s="3" t="s">
        <v>608</v>
      </c>
      <c r="B366" s="3" t="s">
        <v>608</v>
      </c>
      <c r="C366" s="3" t="s">
        <v>608</v>
      </c>
      <c r="D366" s="3" t="s">
        <v>608</v>
      </c>
      <c r="E366" s="3" t="s">
        <v>608</v>
      </c>
      <c r="F366" s="3" t="s">
        <v>640</v>
      </c>
      <c r="G366" s="3" t="s">
        <v>532</v>
      </c>
      <c r="H366" s="3" t="s">
        <v>532</v>
      </c>
      <c r="I366" s="3" t="s">
        <v>640</v>
      </c>
      <c r="J366" s="3" t="s">
        <v>4</v>
      </c>
      <c r="K366" s="3" t="s">
        <v>640</v>
      </c>
      <c r="L366" s="3" t="s">
        <v>448</v>
      </c>
      <c r="M366" s="3" t="s">
        <v>14</v>
      </c>
      <c r="N366">
        <v>1000000</v>
      </c>
      <c r="O366">
        <v>90.463999999999999</v>
      </c>
      <c r="Q366">
        <v>0</v>
      </c>
      <c r="R366">
        <v>6</v>
      </c>
      <c r="S366" s="3" t="s">
        <v>640</v>
      </c>
      <c r="T366">
        <v>0</v>
      </c>
      <c r="U366">
        <v>0</v>
      </c>
      <c r="V366">
        <v>0</v>
      </c>
      <c r="W366">
        <v>0</v>
      </c>
      <c r="X366">
        <v>-904638</v>
      </c>
      <c r="Y366" s="3" t="s">
        <v>640</v>
      </c>
      <c r="Z366">
        <v>90.463999999999999</v>
      </c>
      <c r="AA366">
        <v>1000000</v>
      </c>
      <c r="AB366" s="3" t="s">
        <v>449</v>
      </c>
      <c r="AC366" s="3" t="s">
        <v>10</v>
      </c>
      <c r="AD366">
        <v>0</v>
      </c>
      <c r="AE366">
        <v>0</v>
      </c>
      <c r="AF366" s="3" t="s">
        <v>640</v>
      </c>
    </row>
    <row r="367" spans="1:32" x14ac:dyDescent="0.35">
      <c r="A367" s="3" t="s">
        <v>608</v>
      </c>
      <c r="B367" s="3" t="s">
        <v>608</v>
      </c>
      <c r="C367" s="3" t="s">
        <v>608</v>
      </c>
      <c r="D367" s="3" t="s">
        <v>608</v>
      </c>
      <c r="E367" s="3" t="s">
        <v>608</v>
      </c>
      <c r="F367" s="3" t="s">
        <v>640</v>
      </c>
      <c r="G367" s="3" t="s">
        <v>534</v>
      </c>
      <c r="H367" s="3" t="s">
        <v>534</v>
      </c>
      <c r="I367" s="3" t="s">
        <v>640</v>
      </c>
      <c r="J367" s="3" t="s">
        <v>266</v>
      </c>
      <c r="K367" s="3" t="s">
        <v>640</v>
      </c>
      <c r="L367" s="3" t="s">
        <v>448</v>
      </c>
      <c r="M367" s="3" t="s">
        <v>14</v>
      </c>
      <c r="N367">
        <v>500000</v>
      </c>
      <c r="O367">
        <v>80.766000000000005</v>
      </c>
      <c r="Q367">
        <v>0</v>
      </c>
      <c r="R367">
        <v>-4</v>
      </c>
      <c r="S367" s="3" t="s">
        <v>640</v>
      </c>
      <c r="T367">
        <v>0</v>
      </c>
      <c r="U367">
        <v>0</v>
      </c>
      <c r="V367">
        <v>0</v>
      </c>
      <c r="W367">
        <v>0</v>
      </c>
      <c r="X367">
        <v>-347230</v>
      </c>
      <c r="Y367" s="3" t="s">
        <v>640</v>
      </c>
      <c r="Z367">
        <v>80.766000000000005</v>
      </c>
      <c r="AA367">
        <v>500000</v>
      </c>
      <c r="AB367" s="3" t="s">
        <v>449</v>
      </c>
      <c r="AC367" s="3" t="s">
        <v>10</v>
      </c>
      <c r="AD367">
        <v>0</v>
      </c>
      <c r="AE367">
        <v>0</v>
      </c>
      <c r="AF367" s="3" t="s">
        <v>640</v>
      </c>
    </row>
    <row r="368" spans="1:32" x14ac:dyDescent="0.35">
      <c r="A368" s="3" t="s">
        <v>608</v>
      </c>
      <c r="B368" s="3" t="s">
        <v>608</v>
      </c>
      <c r="C368" s="3" t="s">
        <v>608</v>
      </c>
      <c r="D368" s="3" t="s">
        <v>608</v>
      </c>
      <c r="E368" s="3" t="s">
        <v>608</v>
      </c>
      <c r="F368" s="3" t="s">
        <v>640</v>
      </c>
      <c r="G368" s="3" t="s">
        <v>538</v>
      </c>
      <c r="H368" s="3" t="s">
        <v>538</v>
      </c>
      <c r="I368" s="3" t="s">
        <v>640</v>
      </c>
      <c r="J368" s="3" t="s">
        <v>4</v>
      </c>
      <c r="K368" s="3" t="s">
        <v>640</v>
      </c>
      <c r="L368" s="3" t="s">
        <v>448</v>
      </c>
      <c r="M368" s="3" t="s">
        <v>14</v>
      </c>
      <c r="N368">
        <v>-2000000</v>
      </c>
      <c r="O368">
        <v>101.062</v>
      </c>
      <c r="Q368">
        <v>0</v>
      </c>
      <c r="R368">
        <v>-53</v>
      </c>
      <c r="S368" s="3" t="s">
        <v>640</v>
      </c>
      <c r="T368">
        <v>0</v>
      </c>
      <c r="U368">
        <v>0</v>
      </c>
      <c r="V368">
        <v>0</v>
      </c>
      <c r="W368">
        <v>0</v>
      </c>
      <c r="X368">
        <v>2021235</v>
      </c>
      <c r="Y368" s="3" t="s">
        <v>640</v>
      </c>
      <c r="Z368">
        <v>101.062</v>
      </c>
      <c r="AA368">
        <v>-2000000</v>
      </c>
      <c r="AB368" s="3" t="s">
        <v>449</v>
      </c>
      <c r="AC368" s="3" t="s">
        <v>10</v>
      </c>
      <c r="AD368">
        <v>0</v>
      </c>
      <c r="AE368">
        <v>0</v>
      </c>
      <c r="AF368" s="3" t="s">
        <v>640</v>
      </c>
    </row>
    <row r="369" spans="1:32" x14ac:dyDescent="0.35">
      <c r="A369" s="3" t="s">
        <v>608</v>
      </c>
      <c r="B369" s="3" t="s">
        <v>608</v>
      </c>
      <c r="C369" s="3" t="s">
        <v>608</v>
      </c>
      <c r="D369" s="3" t="s">
        <v>608</v>
      </c>
      <c r="E369" s="3" t="s">
        <v>608</v>
      </c>
      <c r="F369" s="3" t="s">
        <v>640</v>
      </c>
      <c r="G369" s="3" t="s">
        <v>540</v>
      </c>
      <c r="H369" s="3" t="s">
        <v>540</v>
      </c>
      <c r="I369" s="3" t="s">
        <v>640</v>
      </c>
      <c r="J369" s="3" t="s">
        <v>4</v>
      </c>
      <c r="K369" s="3" t="s">
        <v>640</v>
      </c>
      <c r="L369" s="3" t="s">
        <v>448</v>
      </c>
      <c r="M369" s="3" t="s">
        <v>14</v>
      </c>
      <c r="N369">
        <v>2230000</v>
      </c>
      <c r="O369">
        <v>76.102999999999994</v>
      </c>
      <c r="Q369">
        <v>0</v>
      </c>
      <c r="R369">
        <v>12</v>
      </c>
      <c r="S369" s="3" t="s">
        <v>640</v>
      </c>
      <c r="T369">
        <v>0</v>
      </c>
      <c r="U369">
        <v>0</v>
      </c>
      <c r="V369">
        <v>0</v>
      </c>
      <c r="W369">
        <v>0</v>
      </c>
      <c r="X369">
        <v>-1697086</v>
      </c>
      <c r="Y369" s="3" t="s">
        <v>640</v>
      </c>
      <c r="Z369">
        <v>76.102999999999994</v>
      </c>
      <c r="AA369">
        <v>2230000</v>
      </c>
      <c r="AB369" s="3" t="s">
        <v>449</v>
      </c>
      <c r="AC369" s="3" t="s">
        <v>10</v>
      </c>
      <c r="AD369">
        <v>0</v>
      </c>
      <c r="AE369">
        <v>0</v>
      </c>
      <c r="AF369" s="3" t="s">
        <v>640</v>
      </c>
    </row>
    <row r="370" spans="1:32" x14ac:dyDescent="0.35">
      <c r="A370" s="3" t="s">
        <v>608</v>
      </c>
      <c r="B370" s="3" t="s">
        <v>608</v>
      </c>
      <c r="C370" s="3" t="s">
        <v>608</v>
      </c>
      <c r="D370" s="3" t="s">
        <v>608</v>
      </c>
      <c r="E370" s="3" t="s">
        <v>608</v>
      </c>
      <c r="F370" s="3" t="s">
        <v>640</v>
      </c>
      <c r="G370" s="3" t="s">
        <v>542</v>
      </c>
      <c r="H370" s="3" t="s">
        <v>542</v>
      </c>
      <c r="I370" s="3" t="s">
        <v>640</v>
      </c>
      <c r="J370" s="3" t="s">
        <v>4</v>
      </c>
      <c r="K370" s="3" t="s">
        <v>640</v>
      </c>
      <c r="L370" s="3" t="s">
        <v>448</v>
      </c>
      <c r="M370" s="3" t="s">
        <v>14</v>
      </c>
      <c r="N370">
        <v>4000000</v>
      </c>
      <c r="O370">
        <v>78.334999999999994</v>
      </c>
      <c r="Q370">
        <v>0</v>
      </c>
      <c r="R370">
        <v>22</v>
      </c>
      <c r="S370" s="3" t="s">
        <v>640</v>
      </c>
      <c r="T370">
        <v>0</v>
      </c>
      <c r="U370">
        <v>0</v>
      </c>
      <c r="V370">
        <v>0</v>
      </c>
      <c r="W370">
        <v>0</v>
      </c>
      <c r="X370">
        <v>-3133408</v>
      </c>
      <c r="Y370" s="3" t="s">
        <v>640</v>
      </c>
      <c r="Z370">
        <v>78.334999999999994</v>
      </c>
      <c r="AA370">
        <v>4000000</v>
      </c>
      <c r="AB370" s="3" t="s">
        <v>449</v>
      </c>
      <c r="AC370" s="3" t="s">
        <v>10</v>
      </c>
      <c r="AD370">
        <v>0</v>
      </c>
      <c r="AE370">
        <v>0</v>
      </c>
      <c r="AF370" s="3" t="s">
        <v>640</v>
      </c>
    </row>
    <row r="371" spans="1:32" x14ac:dyDescent="0.35">
      <c r="A371" s="3" t="s">
        <v>608</v>
      </c>
      <c r="B371" s="3" t="s">
        <v>608</v>
      </c>
      <c r="C371" s="3" t="s">
        <v>608</v>
      </c>
      <c r="D371" s="3" t="s">
        <v>608</v>
      </c>
      <c r="E371" s="3" t="s">
        <v>608</v>
      </c>
      <c r="F371" s="3" t="s">
        <v>640</v>
      </c>
      <c r="G371" s="3" t="s">
        <v>851</v>
      </c>
      <c r="H371" s="3" t="s">
        <v>851</v>
      </c>
      <c r="I371" s="3" t="s">
        <v>640</v>
      </c>
      <c r="J371" s="3" t="s">
        <v>4</v>
      </c>
      <c r="K371" s="3" t="s">
        <v>640</v>
      </c>
      <c r="L371" s="3" t="s">
        <v>448</v>
      </c>
      <c r="M371" s="3" t="s">
        <v>14</v>
      </c>
      <c r="N371">
        <v>-4000000</v>
      </c>
      <c r="O371">
        <v>114.501</v>
      </c>
      <c r="Q371">
        <v>0</v>
      </c>
      <c r="R371">
        <v>-121</v>
      </c>
      <c r="S371" s="3" t="s">
        <v>640</v>
      </c>
      <c r="T371">
        <v>0</v>
      </c>
      <c r="U371">
        <v>0</v>
      </c>
      <c r="V371">
        <v>0</v>
      </c>
      <c r="W371">
        <v>0</v>
      </c>
      <c r="X371">
        <v>4580033</v>
      </c>
      <c r="Y371" s="3" t="s">
        <v>640</v>
      </c>
      <c r="Z371">
        <v>114.501</v>
      </c>
      <c r="AA371">
        <v>-4000000</v>
      </c>
      <c r="AB371" s="3" t="s">
        <v>449</v>
      </c>
      <c r="AC371" s="3" t="s">
        <v>10</v>
      </c>
      <c r="AD371">
        <v>0</v>
      </c>
      <c r="AE371">
        <v>0</v>
      </c>
      <c r="AF371" s="3" t="s">
        <v>640</v>
      </c>
    </row>
    <row r="372" spans="1:32" x14ac:dyDescent="0.35">
      <c r="A372" s="3" t="s">
        <v>608</v>
      </c>
      <c r="B372" s="3" t="s">
        <v>608</v>
      </c>
      <c r="C372" s="3" t="s">
        <v>608</v>
      </c>
      <c r="D372" s="3" t="s">
        <v>608</v>
      </c>
      <c r="E372" s="3" t="s">
        <v>608</v>
      </c>
      <c r="F372" s="3" t="s">
        <v>640</v>
      </c>
      <c r="G372" s="3" t="s">
        <v>852</v>
      </c>
      <c r="H372" s="3" t="s">
        <v>852</v>
      </c>
      <c r="I372" s="3" t="s">
        <v>640</v>
      </c>
      <c r="J372" s="3" t="s">
        <v>4</v>
      </c>
      <c r="K372" s="3" t="s">
        <v>640</v>
      </c>
      <c r="L372" s="3" t="s">
        <v>448</v>
      </c>
      <c r="M372" s="3" t="s">
        <v>14</v>
      </c>
      <c r="N372">
        <v>-6000000</v>
      </c>
      <c r="O372">
        <v>108.80500000000001</v>
      </c>
      <c r="Q372">
        <v>0</v>
      </c>
      <c r="R372">
        <v>-172</v>
      </c>
      <c r="S372" s="3" t="s">
        <v>640</v>
      </c>
      <c r="T372">
        <v>0</v>
      </c>
      <c r="U372">
        <v>0</v>
      </c>
      <c r="V372">
        <v>0</v>
      </c>
      <c r="W372">
        <v>0</v>
      </c>
      <c r="X372">
        <v>6528309</v>
      </c>
      <c r="Y372" s="3" t="s">
        <v>640</v>
      </c>
      <c r="Z372">
        <v>108.80500000000001</v>
      </c>
      <c r="AA372">
        <v>-6000000</v>
      </c>
      <c r="AB372" s="3" t="s">
        <v>449</v>
      </c>
      <c r="AC372" s="3" t="s">
        <v>10</v>
      </c>
      <c r="AD372">
        <v>0</v>
      </c>
      <c r="AE372">
        <v>0</v>
      </c>
      <c r="AF372" s="3" t="s">
        <v>640</v>
      </c>
    </row>
    <row r="373" spans="1:32" x14ac:dyDescent="0.35">
      <c r="A373" s="3" t="s">
        <v>608</v>
      </c>
      <c r="B373" s="3" t="s">
        <v>608</v>
      </c>
      <c r="C373" s="3" t="s">
        <v>608</v>
      </c>
      <c r="D373" s="3" t="s">
        <v>608</v>
      </c>
      <c r="E373" s="3" t="s">
        <v>608</v>
      </c>
      <c r="F373" s="3" t="s">
        <v>640</v>
      </c>
      <c r="G373" s="3" t="s">
        <v>853</v>
      </c>
      <c r="H373" s="3" t="s">
        <v>853</v>
      </c>
      <c r="I373" s="3" t="s">
        <v>640</v>
      </c>
      <c r="J373" s="3" t="s">
        <v>4</v>
      </c>
      <c r="K373" s="3" t="s">
        <v>640</v>
      </c>
      <c r="L373" s="3" t="s">
        <v>448</v>
      </c>
      <c r="M373" s="3" t="s">
        <v>14</v>
      </c>
      <c r="N373">
        <v>-2700000</v>
      </c>
      <c r="O373">
        <v>101.98699999999999</v>
      </c>
      <c r="Q373">
        <v>0</v>
      </c>
      <c r="R373">
        <v>-73</v>
      </c>
      <c r="S373" s="3" t="s">
        <v>640</v>
      </c>
      <c r="T373">
        <v>0</v>
      </c>
      <c r="U373">
        <v>0</v>
      </c>
      <c r="V373">
        <v>0</v>
      </c>
      <c r="W373">
        <v>0</v>
      </c>
      <c r="X373">
        <v>2753651</v>
      </c>
      <c r="Y373" s="3" t="s">
        <v>640</v>
      </c>
      <c r="Z373">
        <v>101.98699999999999</v>
      </c>
      <c r="AA373">
        <v>-2700000</v>
      </c>
      <c r="AB373" s="3" t="s">
        <v>449</v>
      </c>
      <c r="AC373" s="3" t="s">
        <v>10</v>
      </c>
      <c r="AD373">
        <v>0</v>
      </c>
      <c r="AE373">
        <v>0</v>
      </c>
      <c r="AF373" s="3" t="s">
        <v>640</v>
      </c>
    </row>
    <row r="374" spans="1:32" x14ac:dyDescent="0.35">
      <c r="A374" s="3" t="s">
        <v>608</v>
      </c>
      <c r="B374" s="3" t="s">
        <v>608</v>
      </c>
      <c r="C374" s="3" t="s">
        <v>608</v>
      </c>
      <c r="D374" s="3" t="s">
        <v>608</v>
      </c>
      <c r="E374" s="3" t="s">
        <v>608</v>
      </c>
      <c r="F374" s="3" t="s">
        <v>640</v>
      </c>
      <c r="G374" s="3" t="s">
        <v>876</v>
      </c>
      <c r="H374" s="3" t="s">
        <v>876</v>
      </c>
      <c r="I374" s="3" t="s">
        <v>640</v>
      </c>
      <c r="J374" s="3" t="s">
        <v>4</v>
      </c>
      <c r="K374" s="3" t="s">
        <v>640</v>
      </c>
      <c r="L374" s="3" t="s">
        <v>448</v>
      </c>
      <c r="M374" s="3" t="s">
        <v>14</v>
      </c>
      <c r="N374">
        <v>15000000</v>
      </c>
      <c r="O374">
        <v>86.099000000000004</v>
      </c>
      <c r="Q374">
        <v>0</v>
      </c>
      <c r="R374">
        <v>90</v>
      </c>
      <c r="S374" s="3" t="s">
        <v>640</v>
      </c>
      <c r="T374">
        <v>0</v>
      </c>
      <c r="U374">
        <v>0</v>
      </c>
      <c r="V374">
        <v>0</v>
      </c>
      <c r="W374">
        <v>0</v>
      </c>
      <c r="X374">
        <v>-12914827</v>
      </c>
      <c r="Y374" s="3" t="s">
        <v>640</v>
      </c>
      <c r="Z374">
        <v>86.099000000000004</v>
      </c>
      <c r="AA374">
        <v>15000000</v>
      </c>
      <c r="AB374" s="3" t="s">
        <v>449</v>
      </c>
      <c r="AC374" s="3" t="s">
        <v>10</v>
      </c>
      <c r="AD374">
        <v>0</v>
      </c>
      <c r="AE374">
        <v>0</v>
      </c>
      <c r="AF374" s="3" t="s">
        <v>640</v>
      </c>
    </row>
    <row r="375" spans="1:32" x14ac:dyDescent="0.35">
      <c r="A375" s="3" t="s">
        <v>608</v>
      </c>
      <c r="B375" s="3" t="s">
        <v>608</v>
      </c>
      <c r="C375" s="3" t="s">
        <v>608</v>
      </c>
      <c r="D375" s="3" t="s">
        <v>608</v>
      </c>
      <c r="E375" s="3" t="s">
        <v>608</v>
      </c>
      <c r="F375" s="3" t="s">
        <v>640</v>
      </c>
      <c r="G375" s="3" t="s">
        <v>877</v>
      </c>
      <c r="H375" s="3" t="s">
        <v>877</v>
      </c>
      <c r="I375" s="3" t="s">
        <v>640</v>
      </c>
      <c r="J375" s="3" t="s">
        <v>4</v>
      </c>
      <c r="K375" s="3" t="s">
        <v>640</v>
      </c>
      <c r="L375" s="3" t="s">
        <v>448</v>
      </c>
      <c r="M375" s="3" t="s">
        <v>14</v>
      </c>
      <c r="N375">
        <v>3000000</v>
      </c>
      <c r="O375">
        <v>74.462000000000003</v>
      </c>
      <c r="Q375">
        <v>0</v>
      </c>
      <c r="R375">
        <v>16</v>
      </c>
      <c r="S375" s="3" t="s">
        <v>640</v>
      </c>
      <c r="T375">
        <v>0</v>
      </c>
      <c r="U375">
        <v>0</v>
      </c>
      <c r="V375">
        <v>0</v>
      </c>
      <c r="W375">
        <v>0</v>
      </c>
      <c r="X375">
        <v>-2233849</v>
      </c>
      <c r="Y375" s="3" t="s">
        <v>640</v>
      </c>
      <c r="Z375">
        <v>74.462000000000003</v>
      </c>
      <c r="AA375">
        <v>3000000</v>
      </c>
      <c r="AB375" s="3" t="s">
        <v>449</v>
      </c>
      <c r="AC375" s="3" t="s">
        <v>10</v>
      </c>
      <c r="AD375">
        <v>0</v>
      </c>
      <c r="AE375">
        <v>0</v>
      </c>
      <c r="AF375" s="3" t="s">
        <v>640</v>
      </c>
    </row>
    <row r="376" spans="1:32" x14ac:dyDescent="0.35">
      <c r="A376" s="3" t="s">
        <v>608</v>
      </c>
      <c r="B376" s="3" t="s">
        <v>608</v>
      </c>
      <c r="C376" s="3" t="s">
        <v>608</v>
      </c>
      <c r="D376" s="3" t="s">
        <v>608</v>
      </c>
      <c r="E376" s="3" t="s">
        <v>608</v>
      </c>
      <c r="F376" s="3" t="s">
        <v>640</v>
      </c>
      <c r="G376" s="3" t="s">
        <v>878</v>
      </c>
      <c r="H376" s="3" t="s">
        <v>878</v>
      </c>
      <c r="I376" s="3" t="s">
        <v>640</v>
      </c>
      <c r="J376" s="3" t="s">
        <v>4</v>
      </c>
      <c r="K376" s="3" t="s">
        <v>640</v>
      </c>
      <c r="L376" s="3" t="s">
        <v>448</v>
      </c>
      <c r="M376" s="3" t="s">
        <v>14</v>
      </c>
      <c r="N376">
        <v>0</v>
      </c>
      <c r="O376">
        <v>85.034000000000006</v>
      </c>
      <c r="Q376">
        <v>0</v>
      </c>
      <c r="R376">
        <v>7</v>
      </c>
      <c r="S376" s="3" t="s">
        <v>640</v>
      </c>
      <c r="T376">
        <v>0</v>
      </c>
      <c r="U376">
        <v>0</v>
      </c>
      <c r="V376">
        <v>0</v>
      </c>
      <c r="W376">
        <v>0</v>
      </c>
      <c r="X376">
        <v>0</v>
      </c>
      <c r="Y376" s="3" t="s">
        <v>640</v>
      </c>
      <c r="Z376">
        <v>85.034000000000006</v>
      </c>
      <c r="AA376">
        <v>1000000</v>
      </c>
      <c r="AB376" s="3" t="s">
        <v>449</v>
      </c>
      <c r="AC376" s="3" t="s">
        <v>10</v>
      </c>
      <c r="AD376">
        <v>0</v>
      </c>
      <c r="AE376">
        <v>0</v>
      </c>
      <c r="AF376" s="3" t="s">
        <v>640</v>
      </c>
    </row>
    <row r="377" spans="1:32" x14ac:dyDescent="0.35">
      <c r="A377" s="3" t="s">
        <v>608</v>
      </c>
      <c r="B377" s="3" t="s">
        <v>608</v>
      </c>
      <c r="C377" s="3" t="s">
        <v>608</v>
      </c>
      <c r="D377" s="3" t="s">
        <v>608</v>
      </c>
      <c r="E377" s="3" t="s">
        <v>608</v>
      </c>
      <c r="F377" s="3" t="s">
        <v>640</v>
      </c>
      <c r="G377" s="3" t="s">
        <v>879</v>
      </c>
      <c r="H377" s="3" t="s">
        <v>879</v>
      </c>
      <c r="I377" s="3" t="s">
        <v>640</v>
      </c>
      <c r="J377" s="3" t="s">
        <v>266</v>
      </c>
      <c r="K377" s="3" t="s">
        <v>640</v>
      </c>
      <c r="L377" s="3" t="s">
        <v>448</v>
      </c>
      <c r="M377" s="3" t="s">
        <v>14</v>
      </c>
      <c r="N377">
        <v>5520000</v>
      </c>
      <c r="O377">
        <v>79.402000000000001</v>
      </c>
      <c r="Q377">
        <v>0</v>
      </c>
      <c r="R377">
        <v>-40</v>
      </c>
      <c r="S377" s="3" t="s">
        <v>640</v>
      </c>
      <c r="T377">
        <v>0</v>
      </c>
      <c r="U377">
        <v>0</v>
      </c>
      <c r="V377">
        <v>0</v>
      </c>
      <c r="W377">
        <v>0</v>
      </c>
      <c r="X377">
        <v>-3858531</v>
      </c>
      <c r="Y377" s="3" t="s">
        <v>640</v>
      </c>
      <c r="Z377">
        <v>79.402000000000001</v>
      </c>
      <c r="AA377">
        <v>5520000</v>
      </c>
      <c r="AB377" s="3" t="s">
        <v>449</v>
      </c>
      <c r="AC377" s="3" t="s">
        <v>10</v>
      </c>
      <c r="AD377">
        <v>0</v>
      </c>
      <c r="AE377">
        <v>0</v>
      </c>
      <c r="AF377" s="3" t="s">
        <v>640</v>
      </c>
    </row>
    <row r="378" spans="1:32" x14ac:dyDescent="0.35">
      <c r="A378" s="3" t="s">
        <v>608</v>
      </c>
      <c r="B378" s="3" t="s">
        <v>608</v>
      </c>
      <c r="C378" s="3" t="s">
        <v>608</v>
      </c>
      <c r="D378" s="3" t="s">
        <v>608</v>
      </c>
      <c r="E378" s="3" t="s">
        <v>608</v>
      </c>
      <c r="F378" s="3" t="s">
        <v>640</v>
      </c>
      <c r="G378" s="3" t="s">
        <v>880</v>
      </c>
      <c r="H378" s="3" t="s">
        <v>880</v>
      </c>
      <c r="I378" s="3" t="s">
        <v>640</v>
      </c>
      <c r="J378" s="3" t="s">
        <v>4</v>
      </c>
      <c r="K378" s="3" t="s">
        <v>640</v>
      </c>
      <c r="L378" s="3" t="s">
        <v>448</v>
      </c>
      <c r="M378" s="3" t="s">
        <v>14</v>
      </c>
      <c r="N378">
        <v>3500000</v>
      </c>
      <c r="O378">
        <v>86.361000000000004</v>
      </c>
      <c r="Q378">
        <v>0</v>
      </c>
      <c r="R378">
        <v>21</v>
      </c>
      <c r="S378" s="3" t="s">
        <v>640</v>
      </c>
      <c r="T378">
        <v>0</v>
      </c>
      <c r="U378">
        <v>0</v>
      </c>
      <c r="V378">
        <v>0</v>
      </c>
      <c r="W378">
        <v>0</v>
      </c>
      <c r="X378">
        <v>-3022630</v>
      </c>
      <c r="Y378" s="3" t="s">
        <v>640</v>
      </c>
      <c r="Z378">
        <v>86.361000000000004</v>
      </c>
      <c r="AA378">
        <v>3500000</v>
      </c>
      <c r="AB378" s="3" t="s">
        <v>449</v>
      </c>
      <c r="AC378" s="3" t="s">
        <v>10</v>
      </c>
      <c r="AD378">
        <v>0</v>
      </c>
      <c r="AE378">
        <v>0</v>
      </c>
      <c r="AF378" s="3" t="s">
        <v>640</v>
      </c>
    </row>
    <row r="379" spans="1:32" x14ac:dyDescent="0.35">
      <c r="A379" s="3" t="s">
        <v>608</v>
      </c>
      <c r="B379" s="3" t="s">
        <v>608</v>
      </c>
      <c r="C379" s="3" t="s">
        <v>608</v>
      </c>
      <c r="D379" s="3" t="s">
        <v>608</v>
      </c>
      <c r="E379" s="3" t="s">
        <v>608</v>
      </c>
      <c r="F379" s="3" t="s">
        <v>640</v>
      </c>
      <c r="G379" s="3" t="s">
        <v>881</v>
      </c>
      <c r="H379" s="3" t="s">
        <v>881</v>
      </c>
      <c r="I379" s="3" t="s">
        <v>640</v>
      </c>
      <c r="J379" s="3" t="s">
        <v>4</v>
      </c>
      <c r="K379" s="3" t="s">
        <v>640</v>
      </c>
      <c r="L379" s="3" t="s">
        <v>448</v>
      </c>
      <c r="M379" s="3" t="s">
        <v>14</v>
      </c>
      <c r="N379">
        <v>0</v>
      </c>
      <c r="O379">
        <v>87.504000000000005</v>
      </c>
      <c r="Q379">
        <v>0</v>
      </c>
      <c r="R379">
        <v>0</v>
      </c>
      <c r="S379" s="3" t="s">
        <v>640</v>
      </c>
      <c r="T379">
        <v>0</v>
      </c>
      <c r="U379">
        <v>0</v>
      </c>
      <c r="V379">
        <v>0</v>
      </c>
      <c r="W379">
        <v>0</v>
      </c>
      <c r="X379">
        <v>0</v>
      </c>
      <c r="Y379" s="3" t="s">
        <v>640</v>
      </c>
      <c r="Z379">
        <v>87.504000000000005</v>
      </c>
      <c r="AA379">
        <v>0</v>
      </c>
      <c r="AB379" s="3" t="s">
        <v>449</v>
      </c>
      <c r="AC379" s="3" t="s">
        <v>10</v>
      </c>
      <c r="AD379">
        <v>0</v>
      </c>
      <c r="AE379">
        <v>0</v>
      </c>
      <c r="AF379" s="3" t="s">
        <v>640</v>
      </c>
    </row>
    <row r="380" spans="1:32" x14ac:dyDescent="0.35">
      <c r="A380" s="3" t="s">
        <v>608</v>
      </c>
      <c r="B380" s="3" t="s">
        <v>608</v>
      </c>
      <c r="C380" s="3" t="s">
        <v>608</v>
      </c>
      <c r="D380" s="3" t="s">
        <v>608</v>
      </c>
      <c r="E380" s="3" t="s">
        <v>608</v>
      </c>
      <c r="F380" s="3" t="s">
        <v>640</v>
      </c>
      <c r="G380" s="3" t="s">
        <v>905</v>
      </c>
      <c r="H380" s="3" t="s">
        <v>905</v>
      </c>
      <c r="I380" s="3" t="s">
        <v>640</v>
      </c>
      <c r="J380" s="3" t="s">
        <v>4</v>
      </c>
      <c r="K380" s="3" t="s">
        <v>640</v>
      </c>
      <c r="L380" s="3" t="s">
        <v>448</v>
      </c>
      <c r="M380" s="3" t="s">
        <v>14</v>
      </c>
      <c r="N380">
        <v>-3000000</v>
      </c>
      <c r="O380">
        <v>106.89</v>
      </c>
      <c r="Q380">
        <v>0</v>
      </c>
      <c r="R380">
        <v>-102</v>
      </c>
      <c r="S380" s="3" t="s">
        <v>640</v>
      </c>
      <c r="T380">
        <v>0</v>
      </c>
      <c r="U380">
        <v>0</v>
      </c>
      <c r="V380">
        <v>0</v>
      </c>
      <c r="W380">
        <v>0</v>
      </c>
      <c r="X380">
        <v>3206700</v>
      </c>
      <c r="Y380" s="3" t="s">
        <v>640</v>
      </c>
      <c r="Z380">
        <v>106.89</v>
      </c>
      <c r="AA380">
        <v>-3000000</v>
      </c>
      <c r="AB380" s="3" t="s">
        <v>449</v>
      </c>
      <c r="AC380" s="3" t="s">
        <v>10</v>
      </c>
      <c r="AD380">
        <v>0</v>
      </c>
      <c r="AE380">
        <v>0</v>
      </c>
      <c r="AF380" s="3" t="s">
        <v>640</v>
      </c>
    </row>
    <row r="381" spans="1:32" x14ac:dyDescent="0.35">
      <c r="A381" s="3" t="s">
        <v>608</v>
      </c>
      <c r="B381" s="3" t="s">
        <v>608</v>
      </c>
      <c r="C381" s="3" t="s">
        <v>608</v>
      </c>
      <c r="D381" s="3" t="s">
        <v>608</v>
      </c>
      <c r="E381" s="3" t="s">
        <v>608</v>
      </c>
      <c r="F381" s="3" t="s">
        <v>640</v>
      </c>
      <c r="G381" s="3" t="s">
        <v>906</v>
      </c>
      <c r="H381" s="3" t="s">
        <v>906</v>
      </c>
      <c r="I381" s="3" t="s">
        <v>640</v>
      </c>
      <c r="J381" s="3" t="s">
        <v>4</v>
      </c>
      <c r="K381" s="3" t="s">
        <v>640</v>
      </c>
      <c r="L381" s="3" t="s">
        <v>448</v>
      </c>
      <c r="M381" s="3" t="s">
        <v>14</v>
      </c>
      <c r="N381">
        <v>-7100000</v>
      </c>
      <c r="O381">
        <v>100.944</v>
      </c>
      <c r="Q381">
        <v>0</v>
      </c>
      <c r="R381">
        <v>-219</v>
      </c>
      <c r="S381" s="3" t="s">
        <v>640</v>
      </c>
      <c r="T381">
        <v>0</v>
      </c>
      <c r="U381">
        <v>0</v>
      </c>
      <c r="V381">
        <v>0</v>
      </c>
      <c r="W381">
        <v>0</v>
      </c>
      <c r="X381">
        <v>7167008</v>
      </c>
      <c r="Y381" s="3" t="s">
        <v>640</v>
      </c>
      <c r="Z381">
        <v>100.944</v>
      </c>
      <c r="AA381">
        <v>-7100000</v>
      </c>
      <c r="AB381" s="3" t="s">
        <v>449</v>
      </c>
      <c r="AC381" s="3" t="s">
        <v>10</v>
      </c>
      <c r="AD381">
        <v>0</v>
      </c>
      <c r="AE381">
        <v>0</v>
      </c>
      <c r="AF381" s="3" t="s">
        <v>640</v>
      </c>
    </row>
    <row r="382" spans="1:32" x14ac:dyDescent="0.35">
      <c r="A382" s="3" t="s">
        <v>608</v>
      </c>
      <c r="B382" s="3" t="s">
        <v>608</v>
      </c>
      <c r="C382" s="3" t="s">
        <v>608</v>
      </c>
      <c r="D382" s="3" t="s">
        <v>608</v>
      </c>
      <c r="E382" s="3" t="s">
        <v>608</v>
      </c>
      <c r="F382" s="3" t="s">
        <v>640</v>
      </c>
      <c r="G382" s="3" t="s">
        <v>922</v>
      </c>
      <c r="H382" s="3" t="s">
        <v>922</v>
      </c>
      <c r="I382" s="3" t="s">
        <v>640</v>
      </c>
      <c r="J382" s="3" t="s">
        <v>4</v>
      </c>
      <c r="K382" s="3" t="s">
        <v>640</v>
      </c>
      <c r="L382" s="3" t="s">
        <v>448</v>
      </c>
      <c r="M382" s="3" t="s">
        <v>14</v>
      </c>
      <c r="N382">
        <v>-200000</v>
      </c>
      <c r="O382">
        <v>101.167</v>
      </c>
      <c r="Q382">
        <v>0</v>
      </c>
      <c r="R382">
        <v>-6</v>
      </c>
      <c r="S382" s="3" t="s">
        <v>640</v>
      </c>
      <c r="T382">
        <v>0</v>
      </c>
      <c r="U382">
        <v>0</v>
      </c>
      <c r="V382">
        <v>0</v>
      </c>
      <c r="W382">
        <v>0</v>
      </c>
      <c r="X382">
        <v>202333</v>
      </c>
      <c r="Y382" s="3" t="s">
        <v>640</v>
      </c>
      <c r="Z382">
        <v>101.167</v>
      </c>
      <c r="AA382">
        <v>-200000</v>
      </c>
      <c r="AB382" s="3" t="s">
        <v>449</v>
      </c>
      <c r="AC382" s="3" t="s">
        <v>10</v>
      </c>
      <c r="AD382">
        <v>0</v>
      </c>
      <c r="AE382">
        <v>0</v>
      </c>
      <c r="AF382" s="3" t="s">
        <v>640</v>
      </c>
    </row>
    <row r="383" spans="1:32" x14ac:dyDescent="0.35">
      <c r="A383" s="3" t="s">
        <v>608</v>
      </c>
      <c r="B383" s="3" t="s">
        <v>608</v>
      </c>
      <c r="C383" s="3" t="s">
        <v>608</v>
      </c>
      <c r="D383" s="3" t="s">
        <v>608</v>
      </c>
      <c r="E383" s="3" t="s">
        <v>608</v>
      </c>
      <c r="F383" s="3" t="s">
        <v>640</v>
      </c>
      <c r="G383" s="3" t="s">
        <v>923</v>
      </c>
      <c r="H383" s="3" t="s">
        <v>923</v>
      </c>
      <c r="I383" s="3" t="s">
        <v>640</v>
      </c>
      <c r="J383" s="3" t="s">
        <v>4</v>
      </c>
      <c r="K383" s="3" t="s">
        <v>640</v>
      </c>
      <c r="L383" s="3" t="s">
        <v>448</v>
      </c>
      <c r="M383" s="3" t="s">
        <v>14</v>
      </c>
      <c r="N383">
        <v>-1000000</v>
      </c>
      <c r="O383">
        <v>108.58499999999999</v>
      </c>
      <c r="Q383">
        <v>0</v>
      </c>
      <c r="R383">
        <v>-29</v>
      </c>
      <c r="S383" s="3" t="s">
        <v>640</v>
      </c>
      <c r="T383">
        <v>0</v>
      </c>
      <c r="U383">
        <v>0</v>
      </c>
      <c r="V383">
        <v>0</v>
      </c>
      <c r="W383">
        <v>0</v>
      </c>
      <c r="X383">
        <v>1085849</v>
      </c>
      <c r="Y383" s="3" t="s">
        <v>640</v>
      </c>
      <c r="Z383">
        <v>108.58499999999999</v>
      </c>
      <c r="AA383">
        <v>-1000000</v>
      </c>
      <c r="AB383" s="3" t="s">
        <v>449</v>
      </c>
      <c r="AC383" s="3" t="s">
        <v>10</v>
      </c>
      <c r="AD383">
        <v>0</v>
      </c>
      <c r="AE383">
        <v>0</v>
      </c>
      <c r="AF383" s="3" t="s">
        <v>640</v>
      </c>
    </row>
    <row r="384" spans="1:32" x14ac:dyDescent="0.35">
      <c r="A384" s="3" t="s">
        <v>608</v>
      </c>
      <c r="B384" s="3" t="s">
        <v>608</v>
      </c>
      <c r="C384" s="3" t="s">
        <v>608</v>
      </c>
      <c r="D384" s="3" t="s">
        <v>608</v>
      </c>
      <c r="E384" s="3" t="s">
        <v>608</v>
      </c>
      <c r="F384" s="3" t="s">
        <v>640</v>
      </c>
      <c r="G384" s="3" t="s">
        <v>953</v>
      </c>
      <c r="H384" s="3" t="s">
        <v>953</v>
      </c>
      <c r="I384" s="3" t="s">
        <v>640</v>
      </c>
      <c r="J384" s="3" t="s">
        <v>4</v>
      </c>
      <c r="K384" s="3" t="s">
        <v>640</v>
      </c>
      <c r="L384" s="3" t="s">
        <v>448</v>
      </c>
      <c r="M384" s="3" t="s">
        <v>14</v>
      </c>
      <c r="N384">
        <v>5000000</v>
      </c>
      <c r="O384">
        <v>85.825000000000003</v>
      </c>
      <c r="Q384">
        <v>0</v>
      </c>
      <c r="R384">
        <v>30</v>
      </c>
      <c r="S384" s="3" t="s">
        <v>640</v>
      </c>
      <c r="T384">
        <v>0</v>
      </c>
      <c r="U384">
        <v>0</v>
      </c>
      <c r="V384">
        <v>0</v>
      </c>
      <c r="W384">
        <v>0</v>
      </c>
      <c r="X384">
        <v>-4291274</v>
      </c>
      <c r="Y384" s="3" t="s">
        <v>640</v>
      </c>
      <c r="Z384">
        <v>85.825000000000003</v>
      </c>
      <c r="AA384">
        <v>5000000</v>
      </c>
      <c r="AB384" s="3" t="s">
        <v>449</v>
      </c>
      <c r="AC384" s="3" t="s">
        <v>10</v>
      </c>
      <c r="AD384">
        <v>0</v>
      </c>
      <c r="AE384">
        <v>0</v>
      </c>
      <c r="AF384" s="3" t="s">
        <v>640</v>
      </c>
    </row>
    <row r="385" spans="1:32" x14ac:dyDescent="0.35">
      <c r="A385" s="3" t="s">
        <v>608</v>
      </c>
      <c r="B385" s="3" t="s">
        <v>608</v>
      </c>
      <c r="C385" s="3" t="s">
        <v>608</v>
      </c>
      <c r="D385" s="3" t="s">
        <v>608</v>
      </c>
      <c r="E385" s="3" t="s">
        <v>608</v>
      </c>
      <c r="F385" s="3" t="s">
        <v>640</v>
      </c>
      <c r="G385" s="3" t="s">
        <v>1002</v>
      </c>
      <c r="H385" s="3" t="s">
        <v>1002</v>
      </c>
      <c r="I385" s="3" t="s">
        <v>640</v>
      </c>
      <c r="J385" s="3" t="s">
        <v>4</v>
      </c>
      <c r="K385" s="3" t="s">
        <v>640</v>
      </c>
      <c r="L385" s="3" t="s">
        <v>448</v>
      </c>
      <c r="M385" s="3" t="s">
        <v>14</v>
      </c>
      <c r="N385">
        <v>-2500000</v>
      </c>
      <c r="O385">
        <v>136.35</v>
      </c>
      <c r="Q385">
        <v>0</v>
      </c>
      <c r="R385">
        <v>0</v>
      </c>
      <c r="S385" s="3" t="s">
        <v>640</v>
      </c>
      <c r="T385">
        <v>0</v>
      </c>
      <c r="U385">
        <v>0</v>
      </c>
      <c r="V385">
        <v>0</v>
      </c>
      <c r="W385">
        <v>0</v>
      </c>
      <c r="X385">
        <v>3408750</v>
      </c>
      <c r="Y385" s="3" t="s">
        <v>640</v>
      </c>
      <c r="Z385">
        <v>0</v>
      </c>
      <c r="AA385">
        <v>0</v>
      </c>
      <c r="AB385" s="3" t="s">
        <v>449</v>
      </c>
      <c r="AC385" s="3" t="s">
        <v>10</v>
      </c>
      <c r="AD385">
        <v>0</v>
      </c>
      <c r="AE385">
        <v>0</v>
      </c>
      <c r="AF385" s="3" t="s">
        <v>640</v>
      </c>
    </row>
    <row r="386" spans="1:32" x14ac:dyDescent="0.35">
      <c r="A386" s="3" t="s">
        <v>608</v>
      </c>
      <c r="B386" s="3" t="s">
        <v>608</v>
      </c>
      <c r="C386" s="3" t="s">
        <v>608</v>
      </c>
      <c r="D386" s="3" t="s">
        <v>608</v>
      </c>
      <c r="E386" s="3" t="s">
        <v>608</v>
      </c>
      <c r="F386" s="3" t="s">
        <v>560</v>
      </c>
      <c r="G386" s="3" t="s">
        <v>560</v>
      </c>
      <c r="H386" s="3" t="s">
        <v>561</v>
      </c>
      <c r="I386" s="3" t="s">
        <v>562</v>
      </c>
      <c r="J386" s="3" t="s">
        <v>4</v>
      </c>
      <c r="K386" s="3" t="s">
        <v>823</v>
      </c>
      <c r="L386" s="3" t="s">
        <v>30</v>
      </c>
      <c r="M386" s="3" t="s">
        <v>14</v>
      </c>
      <c r="N386">
        <v>-500000</v>
      </c>
      <c r="O386">
        <v>99.924000000000007</v>
      </c>
      <c r="P386">
        <v>519</v>
      </c>
      <c r="Q386">
        <v>0</v>
      </c>
      <c r="R386">
        <v>-66</v>
      </c>
      <c r="S386" s="3" t="s">
        <v>263</v>
      </c>
      <c r="T386">
        <v>-290</v>
      </c>
      <c r="U386">
        <v>-294</v>
      </c>
      <c r="V386">
        <v>-1525</v>
      </c>
      <c r="W386">
        <v>-4.92</v>
      </c>
      <c r="X386">
        <v>-499620</v>
      </c>
      <c r="Y386" s="3" t="s">
        <v>31</v>
      </c>
      <c r="Z386">
        <v>99.924000000000007</v>
      </c>
      <c r="AA386">
        <v>-500000</v>
      </c>
      <c r="AB386" s="3" t="s">
        <v>563</v>
      </c>
      <c r="AC386" s="3" t="s">
        <v>10</v>
      </c>
      <c r="AD386">
        <v>-502441</v>
      </c>
      <c r="AE386">
        <v>502441</v>
      </c>
      <c r="AF386" s="3" t="s">
        <v>640</v>
      </c>
    </row>
    <row r="387" spans="1:32" x14ac:dyDescent="0.35">
      <c r="A387" s="3" t="s">
        <v>608</v>
      </c>
      <c r="B387" s="3" t="s">
        <v>608</v>
      </c>
      <c r="C387" s="3" t="s">
        <v>608</v>
      </c>
      <c r="D387" s="3" t="s">
        <v>608</v>
      </c>
      <c r="E387" s="3" t="s">
        <v>608</v>
      </c>
      <c r="F387" s="3" t="s">
        <v>564</v>
      </c>
      <c r="G387" s="3" t="s">
        <v>564</v>
      </c>
      <c r="H387" s="3" t="s">
        <v>565</v>
      </c>
      <c r="I387" s="3" t="s">
        <v>566</v>
      </c>
      <c r="J387" s="3" t="s">
        <v>266</v>
      </c>
      <c r="K387" s="3" t="s">
        <v>824</v>
      </c>
      <c r="L387" s="3" t="s">
        <v>30</v>
      </c>
      <c r="M387" s="3" t="s">
        <v>14</v>
      </c>
      <c r="N387">
        <v>1000000</v>
      </c>
      <c r="O387">
        <v>107.511</v>
      </c>
      <c r="P387">
        <v>441</v>
      </c>
      <c r="Q387">
        <v>0</v>
      </c>
      <c r="R387">
        <v>164</v>
      </c>
      <c r="S387" s="3" t="s">
        <v>263</v>
      </c>
      <c r="T387">
        <v>315</v>
      </c>
      <c r="U387">
        <v>320</v>
      </c>
      <c r="V387">
        <v>1412</v>
      </c>
      <c r="W387">
        <v>4.55</v>
      </c>
      <c r="X387">
        <v>924428</v>
      </c>
      <c r="Y387" s="3" t="s">
        <v>31</v>
      </c>
      <c r="Z387">
        <v>107.511</v>
      </c>
      <c r="AA387">
        <v>1000000</v>
      </c>
      <c r="AB387" s="3" t="s">
        <v>563</v>
      </c>
      <c r="AC387" s="3" t="s">
        <v>10</v>
      </c>
      <c r="AD387">
        <v>932258</v>
      </c>
      <c r="AE387">
        <v>932258</v>
      </c>
      <c r="AF387" s="3" t="s">
        <v>640</v>
      </c>
    </row>
    <row r="388" spans="1:32" x14ac:dyDescent="0.35">
      <c r="A388" s="3" t="s">
        <v>608</v>
      </c>
      <c r="B388" s="3" t="s">
        <v>608</v>
      </c>
      <c r="C388" s="3" t="s">
        <v>608</v>
      </c>
      <c r="D388" s="3" t="s">
        <v>608</v>
      </c>
      <c r="E388" s="3" t="s">
        <v>608</v>
      </c>
      <c r="F388" s="3" t="s">
        <v>567</v>
      </c>
      <c r="G388" s="3" t="s">
        <v>567</v>
      </c>
      <c r="H388" s="3" t="s">
        <v>568</v>
      </c>
      <c r="I388" s="3" t="s">
        <v>569</v>
      </c>
      <c r="J388" s="3" t="s">
        <v>283</v>
      </c>
      <c r="K388" s="3" t="s">
        <v>825</v>
      </c>
      <c r="L388" s="3" t="s">
        <v>30</v>
      </c>
      <c r="M388" s="3" t="s">
        <v>14</v>
      </c>
      <c r="N388">
        <v>-200000</v>
      </c>
      <c r="O388">
        <v>97.149000000000001</v>
      </c>
      <c r="P388">
        <v>658</v>
      </c>
      <c r="Q388">
        <v>0</v>
      </c>
      <c r="R388">
        <v>-36</v>
      </c>
      <c r="S388" s="3" t="s">
        <v>263</v>
      </c>
      <c r="T388">
        <v>-74</v>
      </c>
      <c r="U388">
        <v>-75</v>
      </c>
      <c r="V388">
        <v>-492</v>
      </c>
      <c r="W388">
        <v>-1.59</v>
      </c>
      <c r="X388">
        <v>-215508</v>
      </c>
      <c r="Y388" s="3" t="s">
        <v>31</v>
      </c>
      <c r="Z388">
        <v>97.149000000000001</v>
      </c>
      <c r="AA388">
        <v>-200000</v>
      </c>
      <c r="AB388" s="3" t="s">
        <v>563</v>
      </c>
      <c r="AC388" s="3" t="s">
        <v>10</v>
      </c>
      <c r="AD388">
        <v>-217122</v>
      </c>
      <c r="AE388">
        <v>217122</v>
      </c>
      <c r="AF388" s="3" t="s">
        <v>640</v>
      </c>
    </row>
    <row r="389" spans="1:32" x14ac:dyDescent="0.35">
      <c r="A389" s="3" t="s">
        <v>608</v>
      </c>
      <c r="B389" s="3" t="s">
        <v>608</v>
      </c>
      <c r="C389" s="3" t="s">
        <v>608</v>
      </c>
      <c r="D389" s="3" t="s">
        <v>608</v>
      </c>
      <c r="E389" s="3" t="s">
        <v>608</v>
      </c>
      <c r="F389" s="3" t="s">
        <v>570</v>
      </c>
      <c r="G389" s="3" t="s">
        <v>570</v>
      </c>
      <c r="H389" s="3" t="s">
        <v>571</v>
      </c>
      <c r="I389" s="3" t="s">
        <v>569</v>
      </c>
      <c r="J389" s="3" t="s">
        <v>283</v>
      </c>
      <c r="K389" s="3" t="s">
        <v>826</v>
      </c>
      <c r="L389" s="3" t="s">
        <v>30</v>
      </c>
      <c r="M389" s="3" t="s">
        <v>14</v>
      </c>
      <c r="N389">
        <v>200000</v>
      </c>
      <c r="O389">
        <v>103.251</v>
      </c>
      <c r="P389">
        <v>570</v>
      </c>
      <c r="Q389">
        <v>0</v>
      </c>
      <c r="R389">
        <v>44</v>
      </c>
      <c r="S389" s="3" t="s">
        <v>263</v>
      </c>
      <c r="T389">
        <v>50</v>
      </c>
      <c r="U389">
        <v>50</v>
      </c>
      <c r="V389">
        <v>286</v>
      </c>
      <c r="W389">
        <v>0.92</v>
      </c>
      <c r="X389">
        <v>229045</v>
      </c>
      <c r="Y389" s="3" t="s">
        <v>31</v>
      </c>
      <c r="Z389">
        <v>103.251</v>
      </c>
      <c r="AA389">
        <v>200000</v>
      </c>
      <c r="AB389" s="3" t="s">
        <v>563</v>
      </c>
      <c r="AC389" s="3" t="s">
        <v>10</v>
      </c>
      <c r="AD389">
        <v>231036</v>
      </c>
      <c r="AE389">
        <v>231036</v>
      </c>
      <c r="AF389" s="3" t="s">
        <v>640</v>
      </c>
    </row>
    <row r="390" spans="1:32" x14ac:dyDescent="0.35">
      <c r="A390" s="3" t="s">
        <v>608</v>
      </c>
      <c r="B390" s="3" t="s">
        <v>608</v>
      </c>
      <c r="C390" s="3" t="s">
        <v>608</v>
      </c>
      <c r="D390" s="3" t="s">
        <v>608</v>
      </c>
      <c r="E390" s="3" t="s">
        <v>608</v>
      </c>
      <c r="F390" s="3" t="s">
        <v>572</v>
      </c>
      <c r="G390" s="3" t="s">
        <v>572</v>
      </c>
      <c r="H390" s="3" t="s">
        <v>573</v>
      </c>
      <c r="I390" s="3" t="s">
        <v>574</v>
      </c>
      <c r="J390" s="3" t="s">
        <v>266</v>
      </c>
      <c r="K390" s="3" t="s">
        <v>827</v>
      </c>
      <c r="L390" s="3" t="s">
        <v>30</v>
      </c>
      <c r="M390" s="3" t="s">
        <v>14</v>
      </c>
      <c r="N390">
        <v>250000</v>
      </c>
      <c r="O390">
        <v>106.447</v>
      </c>
      <c r="P390">
        <v>425</v>
      </c>
      <c r="Q390">
        <v>0</v>
      </c>
      <c r="R390">
        <v>40</v>
      </c>
      <c r="S390" s="3" t="s">
        <v>263</v>
      </c>
      <c r="T390">
        <v>69</v>
      </c>
      <c r="U390">
        <v>70</v>
      </c>
      <c r="V390">
        <v>299</v>
      </c>
      <c r="W390">
        <v>0.97</v>
      </c>
      <c r="X390">
        <v>228820</v>
      </c>
      <c r="Y390" s="3" t="s">
        <v>31</v>
      </c>
      <c r="Z390">
        <v>106.447</v>
      </c>
      <c r="AA390">
        <v>250000</v>
      </c>
      <c r="AB390" s="3" t="s">
        <v>563</v>
      </c>
      <c r="AC390" s="3" t="s">
        <v>10</v>
      </c>
      <c r="AD390">
        <v>230614</v>
      </c>
      <c r="AE390">
        <v>230614</v>
      </c>
      <c r="AF390" s="3" t="s">
        <v>640</v>
      </c>
    </row>
    <row r="391" spans="1:32" x14ac:dyDescent="0.35">
      <c r="A391" s="3" t="s">
        <v>608</v>
      </c>
      <c r="B391" s="3" t="s">
        <v>608</v>
      </c>
      <c r="C391" s="3" t="s">
        <v>608</v>
      </c>
      <c r="D391" s="3" t="s">
        <v>608</v>
      </c>
      <c r="E391" s="3" t="s">
        <v>608</v>
      </c>
      <c r="F391" s="3" t="s">
        <v>575</v>
      </c>
      <c r="G391" s="3" t="s">
        <v>575</v>
      </c>
      <c r="H391" s="3" t="s">
        <v>576</v>
      </c>
      <c r="I391" s="3" t="s">
        <v>577</v>
      </c>
      <c r="J391" s="3" t="s">
        <v>283</v>
      </c>
      <c r="K391" s="3" t="s">
        <v>828</v>
      </c>
      <c r="L391" s="3" t="s">
        <v>30</v>
      </c>
      <c r="M391" s="3" t="s">
        <v>14</v>
      </c>
      <c r="N391">
        <v>-300000</v>
      </c>
      <c r="O391">
        <v>93.897000000000006</v>
      </c>
      <c r="P391">
        <v>833</v>
      </c>
      <c r="Q391">
        <v>0</v>
      </c>
      <c r="R391">
        <v>-65</v>
      </c>
      <c r="S391" s="3" t="s">
        <v>263</v>
      </c>
      <c r="T391">
        <v>-136</v>
      </c>
      <c r="U391">
        <v>-138</v>
      </c>
      <c r="V391">
        <v>-1149</v>
      </c>
      <c r="W391">
        <v>-3.71</v>
      </c>
      <c r="X391">
        <v>-312441</v>
      </c>
      <c r="Y391" s="3" t="s">
        <v>31</v>
      </c>
      <c r="Z391">
        <v>93.897000000000006</v>
      </c>
      <c r="AA391">
        <v>-300000</v>
      </c>
      <c r="AB391" s="3" t="s">
        <v>563</v>
      </c>
      <c r="AC391" s="3" t="s">
        <v>10</v>
      </c>
      <c r="AD391">
        <v>-323451</v>
      </c>
      <c r="AE391">
        <v>323451</v>
      </c>
      <c r="AF391" s="3" t="s">
        <v>640</v>
      </c>
    </row>
    <row r="392" spans="1:32" x14ac:dyDescent="0.35">
      <c r="A392" s="3" t="s">
        <v>608</v>
      </c>
      <c r="B392" s="3" t="s">
        <v>608</v>
      </c>
      <c r="C392" s="3" t="s">
        <v>608</v>
      </c>
      <c r="D392" s="3" t="s">
        <v>608</v>
      </c>
      <c r="E392" s="3" t="s">
        <v>608</v>
      </c>
      <c r="F392" s="3" t="s">
        <v>578</v>
      </c>
      <c r="G392" s="3" t="s">
        <v>578</v>
      </c>
      <c r="H392" s="3" t="s">
        <v>579</v>
      </c>
      <c r="I392" s="3" t="s">
        <v>580</v>
      </c>
      <c r="J392" s="3" t="s">
        <v>266</v>
      </c>
      <c r="K392" s="3" t="s">
        <v>829</v>
      </c>
      <c r="L392" s="3" t="s">
        <v>30</v>
      </c>
      <c r="M392" s="3" t="s">
        <v>14</v>
      </c>
      <c r="N392">
        <v>50000</v>
      </c>
      <c r="O392">
        <v>104.611</v>
      </c>
      <c r="P392">
        <v>431</v>
      </c>
      <c r="Q392">
        <v>0</v>
      </c>
      <c r="R392">
        <v>7</v>
      </c>
      <c r="S392" s="3" t="s">
        <v>263</v>
      </c>
      <c r="T392">
        <v>23</v>
      </c>
      <c r="U392">
        <v>23</v>
      </c>
      <c r="V392">
        <v>100</v>
      </c>
      <c r="W392">
        <v>0.32</v>
      </c>
      <c r="X392">
        <v>44975</v>
      </c>
      <c r="Y392" s="3" t="s">
        <v>31</v>
      </c>
      <c r="Z392">
        <v>104.611</v>
      </c>
      <c r="AA392">
        <v>50000</v>
      </c>
      <c r="AB392" s="3" t="s">
        <v>563</v>
      </c>
      <c r="AC392" s="3" t="s">
        <v>10</v>
      </c>
      <c r="AD392">
        <v>46316</v>
      </c>
      <c r="AE392">
        <v>46316</v>
      </c>
      <c r="AF392" s="3" t="s">
        <v>640</v>
      </c>
    </row>
    <row r="393" spans="1:32" x14ac:dyDescent="0.35">
      <c r="A393" s="3" t="s">
        <v>608</v>
      </c>
      <c r="B393" s="3" t="s">
        <v>608</v>
      </c>
      <c r="C393" s="3" t="s">
        <v>608</v>
      </c>
      <c r="D393" s="3" t="s">
        <v>608</v>
      </c>
      <c r="E393" s="3" t="s">
        <v>608</v>
      </c>
      <c r="F393" s="3" t="s">
        <v>581</v>
      </c>
      <c r="G393" s="3" t="s">
        <v>581</v>
      </c>
      <c r="H393" s="3" t="s">
        <v>582</v>
      </c>
      <c r="I393" s="3" t="s">
        <v>580</v>
      </c>
      <c r="J393" s="3" t="s">
        <v>266</v>
      </c>
      <c r="K393" s="3" t="s">
        <v>830</v>
      </c>
      <c r="L393" s="3" t="s">
        <v>30</v>
      </c>
      <c r="M393" s="3" t="s">
        <v>14</v>
      </c>
      <c r="N393">
        <v>500000</v>
      </c>
      <c r="O393">
        <v>106.444</v>
      </c>
      <c r="P393">
        <v>440</v>
      </c>
      <c r="Q393">
        <v>0</v>
      </c>
      <c r="R393">
        <v>81</v>
      </c>
      <c r="S393" s="3" t="s">
        <v>263</v>
      </c>
      <c r="T393">
        <v>141</v>
      </c>
      <c r="U393">
        <v>143</v>
      </c>
      <c r="V393">
        <v>628</v>
      </c>
      <c r="W393">
        <v>2.0299999999999998</v>
      </c>
      <c r="X393">
        <v>457627</v>
      </c>
      <c r="Y393" s="3" t="s">
        <v>31</v>
      </c>
      <c r="Z393">
        <v>106.444</v>
      </c>
      <c r="AA393">
        <v>500000</v>
      </c>
      <c r="AB393" s="3" t="s">
        <v>563</v>
      </c>
      <c r="AC393" s="3" t="s">
        <v>10</v>
      </c>
      <c r="AD393">
        <v>459314</v>
      </c>
      <c r="AE393">
        <v>459314</v>
      </c>
      <c r="AF393" s="3" t="s">
        <v>640</v>
      </c>
    </row>
    <row r="394" spans="1:32" x14ac:dyDescent="0.35">
      <c r="A394" s="3" t="s">
        <v>608</v>
      </c>
      <c r="B394" s="3" t="s">
        <v>608</v>
      </c>
      <c r="C394" s="3" t="s">
        <v>608</v>
      </c>
      <c r="D394" s="3" t="s">
        <v>608</v>
      </c>
      <c r="E394" s="3" t="s">
        <v>608</v>
      </c>
      <c r="F394" s="3" t="s">
        <v>882</v>
      </c>
      <c r="G394" s="3" t="s">
        <v>882</v>
      </c>
      <c r="H394" s="3" t="s">
        <v>883</v>
      </c>
      <c r="I394" s="3" t="s">
        <v>884</v>
      </c>
      <c r="J394" s="3" t="s">
        <v>4</v>
      </c>
      <c r="K394" s="3" t="s">
        <v>913</v>
      </c>
      <c r="L394" s="3" t="s">
        <v>30</v>
      </c>
      <c r="M394" s="3" t="s">
        <v>14</v>
      </c>
      <c r="N394">
        <v>200000</v>
      </c>
      <c r="O394">
        <v>112.21599999999999</v>
      </c>
      <c r="P394">
        <v>585</v>
      </c>
      <c r="Q394">
        <v>0</v>
      </c>
      <c r="R394">
        <v>42</v>
      </c>
      <c r="S394" s="3" t="s">
        <v>263</v>
      </c>
      <c r="T394">
        <v>112</v>
      </c>
      <c r="U394">
        <v>113</v>
      </c>
      <c r="V394">
        <v>661</v>
      </c>
      <c r="W394">
        <v>2.13</v>
      </c>
      <c r="X394">
        <v>224432</v>
      </c>
      <c r="Y394" s="3" t="s">
        <v>31</v>
      </c>
      <c r="Z394">
        <v>112.21599999999999</v>
      </c>
      <c r="AA394">
        <v>200000</v>
      </c>
      <c r="AB394" s="3" t="s">
        <v>563</v>
      </c>
      <c r="AC394" s="3" t="s">
        <v>10</v>
      </c>
      <c r="AD394">
        <v>229318</v>
      </c>
      <c r="AE394">
        <v>229318</v>
      </c>
      <c r="AF394" s="3" t="s">
        <v>640</v>
      </c>
    </row>
    <row r="395" spans="1:32" x14ac:dyDescent="0.35">
      <c r="A395" s="3" t="s">
        <v>608</v>
      </c>
      <c r="B395" s="3" t="s">
        <v>608</v>
      </c>
      <c r="C395" s="3" t="s">
        <v>608</v>
      </c>
      <c r="D395" s="3" t="s">
        <v>608</v>
      </c>
      <c r="E395" s="3" t="s">
        <v>608</v>
      </c>
      <c r="F395" s="3" t="s">
        <v>885</v>
      </c>
      <c r="G395" s="3" t="s">
        <v>885</v>
      </c>
      <c r="H395" s="3" t="s">
        <v>886</v>
      </c>
      <c r="I395" s="3" t="s">
        <v>887</v>
      </c>
      <c r="J395" s="3" t="s">
        <v>4</v>
      </c>
      <c r="K395" s="3" t="s">
        <v>914</v>
      </c>
      <c r="L395" s="3" t="s">
        <v>30</v>
      </c>
      <c r="M395" s="3" t="s">
        <v>14</v>
      </c>
      <c r="N395">
        <v>-200000</v>
      </c>
      <c r="O395">
        <v>97.152000000000001</v>
      </c>
      <c r="P395">
        <v>717</v>
      </c>
      <c r="Q395">
        <v>0</v>
      </c>
      <c r="R395">
        <v>-32</v>
      </c>
      <c r="S395" s="3" t="s">
        <v>263</v>
      </c>
      <c r="T395">
        <v>-71</v>
      </c>
      <c r="U395">
        <v>-72</v>
      </c>
      <c r="V395">
        <v>-516</v>
      </c>
      <c r="W395">
        <v>-1.67</v>
      </c>
      <c r="X395">
        <v>-194304</v>
      </c>
      <c r="Y395" s="3" t="s">
        <v>31</v>
      </c>
      <c r="Z395">
        <v>97.152000000000001</v>
      </c>
      <c r="AA395">
        <v>-200000</v>
      </c>
      <c r="AB395" s="3" t="s">
        <v>563</v>
      </c>
      <c r="AC395" s="3" t="s">
        <v>10</v>
      </c>
      <c r="AD395">
        <v>-198702</v>
      </c>
      <c r="AE395">
        <v>198702</v>
      </c>
      <c r="AF395" s="3" t="s">
        <v>640</v>
      </c>
    </row>
    <row r="396" spans="1:32" x14ac:dyDescent="0.35">
      <c r="A396" s="3" t="s">
        <v>608</v>
      </c>
      <c r="B396" s="3" t="s">
        <v>608</v>
      </c>
      <c r="C396" s="3" t="s">
        <v>608</v>
      </c>
      <c r="D396" s="3" t="s">
        <v>608</v>
      </c>
      <c r="E396" s="3" t="s">
        <v>608</v>
      </c>
      <c r="F396" s="3" t="s">
        <v>831</v>
      </c>
      <c r="G396" s="3" t="s">
        <v>831</v>
      </c>
      <c r="H396" s="3" t="s">
        <v>640</v>
      </c>
      <c r="I396" s="3" t="s">
        <v>640</v>
      </c>
      <c r="J396" s="3" t="s">
        <v>4</v>
      </c>
      <c r="K396" s="3" t="s">
        <v>640</v>
      </c>
      <c r="L396" s="3" t="s">
        <v>832</v>
      </c>
      <c r="M396" s="3" t="s">
        <v>14</v>
      </c>
      <c r="N396">
        <v>2348</v>
      </c>
      <c r="O396">
        <v>106.49</v>
      </c>
      <c r="Q396">
        <v>0</v>
      </c>
      <c r="R396">
        <v>0</v>
      </c>
      <c r="S396" s="3" t="s">
        <v>640</v>
      </c>
      <c r="T396">
        <v>0</v>
      </c>
      <c r="U396">
        <v>0</v>
      </c>
      <c r="V396">
        <v>0</v>
      </c>
      <c r="W396">
        <v>0</v>
      </c>
      <c r="X396">
        <v>250000</v>
      </c>
      <c r="Y396" s="3" t="s">
        <v>640</v>
      </c>
      <c r="Z396">
        <v>106.49</v>
      </c>
      <c r="AA396">
        <v>2348</v>
      </c>
      <c r="AB396" s="3" t="s">
        <v>449</v>
      </c>
      <c r="AC396" s="3" t="s">
        <v>833</v>
      </c>
      <c r="AD396">
        <v>0</v>
      </c>
      <c r="AE396">
        <v>0</v>
      </c>
      <c r="AF396" s="3" t="s">
        <v>640</v>
      </c>
    </row>
    <row r="397" spans="1:32" x14ac:dyDescent="0.35">
      <c r="A397" s="3" t="s">
        <v>608</v>
      </c>
      <c r="B397" s="3" t="s">
        <v>608</v>
      </c>
      <c r="C397" s="3" t="s">
        <v>608</v>
      </c>
      <c r="D397" s="3" t="s">
        <v>608</v>
      </c>
      <c r="E397" s="3" t="s">
        <v>608</v>
      </c>
      <c r="F397" s="3" t="s">
        <v>834</v>
      </c>
      <c r="G397" s="3" t="s">
        <v>835</v>
      </c>
      <c r="H397" s="3" t="s">
        <v>640</v>
      </c>
      <c r="I397" s="3" t="s">
        <v>640</v>
      </c>
      <c r="J397" s="3" t="s">
        <v>4</v>
      </c>
      <c r="K397" s="3" t="s">
        <v>640</v>
      </c>
      <c r="L397" s="3" t="s">
        <v>832</v>
      </c>
      <c r="M397" s="3" t="s">
        <v>14</v>
      </c>
      <c r="N397">
        <v>21028</v>
      </c>
      <c r="O397">
        <v>118.89100000000001</v>
      </c>
      <c r="Q397">
        <v>0</v>
      </c>
      <c r="R397">
        <v>0</v>
      </c>
      <c r="S397" s="3" t="s">
        <v>640</v>
      </c>
      <c r="T397">
        <v>0</v>
      </c>
      <c r="U397">
        <v>0</v>
      </c>
      <c r="V397">
        <v>0</v>
      </c>
      <c r="W397">
        <v>0</v>
      </c>
      <c r="X397">
        <v>2500004</v>
      </c>
      <c r="Y397" s="3" t="s">
        <v>836</v>
      </c>
      <c r="Z397">
        <v>118.89100000000001</v>
      </c>
      <c r="AA397">
        <v>21028</v>
      </c>
      <c r="AB397" s="3" t="s">
        <v>449</v>
      </c>
      <c r="AC397" s="3" t="s">
        <v>833</v>
      </c>
      <c r="AD397">
        <v>0</v>
      </c>
      <c r="AE397">
        <v>0</v>
      </c>
      <c r="AF397" s="3" t="s">
        <v>640</v>
      </c>
    </row>
    <row r="398" spans="1:32" x14ac:dyDescent="0.3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S398" s="3"/>
      <c r="Y398" s="3"/>
      <c r="AB398" s="3"/>
      <c r="AC398" s="3"/>
      <c r="AF398" s="3"/>
    </row>
    <row r="399" spans="1:32" x14ac:dyDescent="0.3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S399" s="3"/>
      <c r="Y399" s="3"/>
      <c r="AB399" s="3"/>
      <c r="AC399" s="3"/>
      <c r="AF399" s="3"/>
    </row>
    <row r="400" spans="1:32" x14ac:dyDescent="0.3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S400" s="3"/>
      <c r="Y400" s="3"/>
      <c r="AB400" s="3"/>
      <c r="AC400" s="3"/>
      <c r="AF400" s="3"/>
    </row>
    <row r="401" spans="1:32" x14ac:dyDescent="0.3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S401" s="3"/>
      <c r="Y401" s="3"/>
      <c r="AB401" s="3"/>
      <c r="AC401" s="3"/>
      <c r="AF401" s="3"/>
    </row>
    <row r="402" spans="1:32" x14ac:dyDescent="0.3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S402" s="3"/>
      <c r="Y402" s="3"/>
      <c r="AB402" s="3"/>
      <c r="AC402" s="3"/>
      <c r="AF402" s="3"/>
    </row>
    <row r="403" spans="1:32" x14ac:dyDescent="0.3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S403" s="3"/>
      <c r="Y403" s="3"/>
      <c r="AB403" s="3"/>
      <c r="AC403" s="3"/>
      <c r="AF403" s="3"/>
    </row>
    <row r="404" spans="1:32" x14ac:dyDescent="0.3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S404" s="3"/>
      <c r="Y404" s="3"/>
      <c r="AB404" s="3"/>
      <c r="AC404" s="3"/>
      <c r="AF404" s="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42E0F-CECB-4C9C-853A-2FDCEA06C192}">
  <sheetPr codeName="Sheet12"/>
  <dimension ref="E6:Y150"/>
  <sheetViews>
    <sheetView workbookViewId="0">
      <selection activeCell="J29" sqref="J29"/>
    </sheetView>
  </sheetViews>
  <sheetFormatPr defaultRowHeight="14.5" x14ac:dyDescent="0.35"/>
  <sheetData>
    <row r="6" spans="5:25" ht="15" thickBot="1" x14ac:dyDescent="0.4"/>
    <row r="7" spans="5:25" x14ac:dyDescent="0.35"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11"/>
    </row>
    <row r="8" spans="5:25" x14ac:dyDescent="0.35">
      <c r="E8" s="12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14"/>
    </row>
    <row r="9" spans="5:25" x14ac:dyDescent="0.35">
      <c r="E9" s="12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14"/>
    </row>
    <row r="10" spans="5:25" x14ac:dyDescent="0.35">
      <c r="E10" s="12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14"/>
    </row>
    <row r="11" spans="5:25" x14ac:dyDescent="0.35">
      <c r="E11" s="12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14"/>
    </row>
    <row r="12" spans="5:25" x14ac:dyDescent="0.35">
      <c r="E12" s="12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14"/>
    </row>
    <row r="13" spans="5:25" x14ac:dyDescent="0.35">
      <c r="E13" s="12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14"/>
    </row>
    <row r="14" spans="5:25" x14ac:dyDescent="0.35">
      <c r="E14" s="12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14"/>
    </row>
    <row r="15" spans="5:25" x14ac:dyDescent="0.35">
      <c r="E15" s="12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14"/>
    </row>
    <row r="16" spans="5:25" x14ac:dyDescent="0.35">
      <c r="E16" s="12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14"/>
    </row>
    <row r="17" spans="5:25" x14ac:dyDescent="0.35">
      <c r="E17" s="12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14"/>
    </row>
    <row r="18" spans="5:25" x14ac:dyDescent="0.35">
      <c r="E18" s="12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14"/>
    </row>
    <row r="19" spans="5:25" x14ac:dyDescent="0.35">
      <c r="E19" s="12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14"/>
    </row>
    <row r="20" spans="5:25" x14ac:dyDescent="0.35">
      <c r="E20" s="12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14"/>
    </row>
    <row r="21" spans="5:25" x14ac:dyDescent="0.35">
      <c r="E21" s="12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14"/>
    </row>
    <row r="22" spans="5:25" x14ac:dyDescent="0.35">
      <c r="E22" s="12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14"/>
    </row>
    <row r="23" spans="5:25" x14ac:dyDescent="0.35">
      <c r="E23" s="12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14"/>
    </row>
    <row r="24" spans="5:25" x14ac:dyDescent="0.35">
      <c r="E24" s="12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14"/>
    </row>
    <row r="25" spans="5:25" x14ac:dyDescent="0.35">
      <c r="E25" s="12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14"/>
    </row>
    <row r="26" spans="5:25" x14ac:dyDescent="0.35">
      <c r="E26" s="1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14"/>
    </row>
    <row r="27" spans="5:25" x14ac:dyDescent="0.35">
      <c r="E27" s="12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14"/>
    </row>
    <row r="28" spans="5:25" x14ac:dyDescent="0.35">
      <c r="E28" s="12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14"/>
    </row>
    <row r="29" spans="5:25" x14ac:dyDescent="0.35">
      <c r="E29" s="12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14"/>
    </row>
    <row r="30" spans="5:25" x14ac:dyDescent="0.35">
      <c r="E30" s="12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14"/>
    </row>
    <row r="31" spans="5:25" x14ac:dyDescent="0.35">
      <c r="E31" s="12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14"/>
    </row>
    <row r="32" spans="5:25" x14ac:dyDescent="0.35"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14"/>
    </row>
    <row r="33" spans="5:25" x14ac:dyDescent="0.35">
      <c r="E33" s="12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14"/>
    </row>
    <row r="34" spans="5:25" x14ac:dyDescent="0.35">
      <c r="E34" s="12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4"/>
    </row>
    <row r="35" spans="5:25" x14ac:dyDescent="0.35">
      <c r="E35" s="12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14"/>
    </row>
    <row r="36" spans="5:25" x14ac:dyDescent="0.35">
      <c r="E36" s="12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14"/>
    </row>
    <row r="37" spans="5:25" x14ac:dyDescent="0.35">
      <c r="E37" s="12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14"/>
    </row>
    <row r="38" spans="5:25" x14ac:dyDescent="0.35">
      <c r="E38" s="12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14"/>
    </row>
    <row r="39" spans="5:25" x14ac:dyDescent="0.35">
      <c r="E39" s="12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14"/>
    </row>
    <row r="40" spans="5:25" x14ac:dyDescent="0.35">
      <c r="E40" s="12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14"/>
    </row>
    <row r="41" spans="5:25" x14ac:dyDescent="0.35">
      <c r="E41" s="12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14"/>
    </row>
    <row r="42" spans="5:25" x14ac:dyDescent="0.35">
      <c r="E42" s="12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14"/>
    </row>
    <row r="43" spans="5:25" x14ac:dyDescent="0.35">
      <c r="E43" s="12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14"/>
    </row>
    <row r="44" spans="5:25" x14ac:dyDescent="0.35">
      <c r="E44" s="12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14"/>
    </row>
    <row r="45" spans="5:25" x14ac:dyDescent="0.35">
      <c r="E45" s="12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14"/>
    </row>
    <row r="46" spans="5:25" x14ac:dyDescent="0.35">
      <c r="E46" s="12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14"/>
    </row>
    <row r="47" spans="5:25" x14ac:dyDescent="0.35">
      <c r="E47" s="12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14"/>
    </row>
    <row r="48" spans="5:25" x14ac:dyDescent="0.35">
      <c r="E48" s="12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14"/>
    </row>
    <row r="49" spans="5:25" x14ac:dyDescent="0.35">
      <c r="E49" s="12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14"/>
    </row>
    <row r="50" spans="5:25" x14ac:dyDescent="0.35">
      <c r="E50" s="12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14"/>
    </row>
    <row r="51" spans="5:25" x14ac:dyDescent="0.35">
      <c r="E51" s="12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14"/>
    </row>
    <row r="52" spans="5:25" x14ac:dyDescent="0.35">
      <c r="E52" s="12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14"/>
    </row>
    <row r="53" spans="5:25" x14ac:dyDescent="0.35">
      <c r="E53" s="12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14"/>
    </row>
    <row r="54" spans="5:25" x14ac:dyDescent="0.35">
      <c r="E54" s="12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14"/>
    </row>
    <row r="55" spans="5:25" x14ac:dyDescent="0.35">
      <c r="E55" s="12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14"/>
    </row>
    <row r="56" spans="5:25" x14ac:dyDescent="0.35">
      <c r="E56" s="12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14"/>
    </row>
    <row r="57" spans="5:25" x14ac:dyDescent="0.35">
      <c r="E57" s="12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14"/>
    </row>
    <row r="58" spans="5:25" x14ac:dyDescent="0.35">
      <c r="E58" s="12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14"/>
    </row>
    <row r="59" spans="5:25" x14ac:dyDescent="0.35">
      <c r="E59" s="12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14"/>
    </row>
    <row r="60" spans="5:25" x14ac:dyDescent="0.35">
      <c r="E60" s="12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14"/>
    </row>
    <row r="61" spans="5:25" x14ac:dyDescent="0.35">
      <c r="E61" s="12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14"/>
    </row>
    <row r="62" spans="5:25" x14ac:dyDescent="0.35">
      <c r="E62" s="12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14"/>
    </row>
    <row r="63" spans="5:25" x14ac:dyDescent="0.35">
      <c r="E63" s="12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14"/>
    </row>
    <row r="64" spans="5:25" x14ac:dyDescent="0.35">
      <c r="E64" s="12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14"/>
    </row>
    <row r="65" spans="5:25" x14ac:dyDescent="0.35">
      <c r="E65" s="12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14"/>
    </row>
    <row r="66" spans="5:25" x14ac:dyDescent="0.35">
      <c r="E66" s="12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14"/>
    </row>
    <row r="67" spans="5:25" x14ac:dyDescent="0.35">
      <c r="E67" s="12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14"/>
    </row>
    <row r="68" spans="5:25" x14ac:dyDescent="0.35">
      <c r="E68" s="12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14"/>
    </row>
    <row r="69" spans="5:25" x14ac:dyDescent="0.35">
      <c r="E69" s="12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14"/>
    </row>
    <row r="70" spans="5:25" x14ac:dyDescent="0.35">
      <c r="E70" s="12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14"/>
    </row>
    <row r="71" spans="5:25" x14ac:dyDescent="0.35">
      <c r="E71" s="12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14"/>
    </row>
    <row r="72" spans="5:25" x14ac:dyDescent="0.35">
      <c r="E72" s="12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14"/>
    </row>
    <row r="73" spans="5:25" x14ac:dyDescent="0.35">
      <c r="E73" s="12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14"/>
    </row>
    <row r="74" spans="5:25" x14ac:dyDescent="0.35">
      <c r="E74" s="12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14"/>
    </row>
    <row r="75" spans="5:25" x14ac:dyDescent="0.35">
      <c r="E75" s="12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14"/>
    </row>
    <row r="76" spans="5:25" x14ac:dyDescent="0.35">
      <c r="E76" s="12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14"/>
    </row>
    <row r="77" spans="5:25" x14ac:dyDescent="0.35">
      <c r="E77" s="12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14"/>
    </row>
    <row r="78" spans="5:25" x14ac:dyDescent="0.35">
      <c r="E78" s="12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14"/>
    </row>
    <row r="79" spans="5:25" x14ac:dyDescent="0.35">
      <c r="E79" s="12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14"/>
    </row>
    <row r="80" spans="5:25" x14ac:dyDescent="0.35">
      <c r="E80" s="12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14"/>
    </row>
    <row r="81" spans="5:25" x14ac:dyDescent="0.35">
      <c r="E81" s="12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14"/>
    </row>
    <row r="82" spans="5:25" x14ac:dyDescent="0.35">
      <c r="E82" s="12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14"/>
    </row>
    <row r="83" spans="5:25" x14ac:dyDescent="0.35">
      <c r="E83" s="12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14"/>
    </row>
    <row r="84" spans="5:25" x14ac:dyDescent="0.35">
      <c r="E84" s="12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14"/>
    </row>
    <row r="85" spans="5:25" x14ac:dyDescent="0.35">
      <c r="E85" s="12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14"/>
    </row>
    <row r="86" spans="5:25" x14ac:dyDescent="0.35">
      <c r="E86" s="12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14"/>
    </row>
    <row r="87" spans="5:25" x14ac:dyDescent="0.35">
      <c r="E87" s="12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14"/>
    </row>
    <row r="88" spans="5:25" x14ac:dyDescent="0.35">
      <c r="E88" s="12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14"/>
    </row>
    <row r="89" spans="5:25" x14ac:dyDescent="0.35">
      <c r="E89" s="12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14"/>
    </row>
    <row r="90" spans="5:25" x14ac:dyDescent="0.35">
      <c r="E90" s="12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14"/>
    </row>
    <row r="91" spans="5:25" x14ac:dyDescent="0.35">
      <c r="E91" s="12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14"/>
    </row>
    <row r="92" spans="5:25" x14ac:dyDescent="0.35">
      <c r="E92" s="12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14"/>
    </row>
    <row r="93" spans="5:25" x14ac:dyDescent="0.35">
      <c r="E93" s="12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14"/>
    </row>
    <row r="94" spans="5:25" x14ac:dyDescent="0.35">
      <c r="E94" s="12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14"/>
    </row>
    <row r="95" spans="5:25" x14ac:dyDescent="0.35">
      <c r="E95" s="12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14"/>
    </row>
    <row r="96" spans="5:25" x14ac:dyDescent="0.35">
      <c r="E96" s="12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14"/>
    </row>
    <row r="97" spans="5:25" x14ac:dyDescent="0.35">
      <c r="E97" s="12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14"/>
    </row>
    <row r="98" spans="5:25" x14ac:dyDescent="0.35">
      <c r="E98" s="12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14"/>
    </row>
    <row r="99" spans="5:25" x14ac:dyDescent="0.35">
      <c r="E99" s="12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14"/>
    </row>
    <row r="100" spans="5:25" x14ac:dyDescent="0.35">
      <c r="E100" s="12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14"/>
    </row>
    <row r="101" spans="5:25" x14ac:dyDescent="0.35">
      <c r="E101" s="12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14"/>
    </row>
    <row r="102" spans="5:25" x14ac:dyDescent="0.35">
      <c r="E102" s="12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14"/>
    </row>
    <row r="103" spans="5:25" x14ac:dyDescent="0.35">
      <c r="E103" s="12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14"/>
    </row>
    <row r="104" spans="5:25" x14ac:dyDescent="0.35">
      <c r="E104" s="12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14"/>
    </row>
    <row r="105" spans="5:25" x14ac:dyDescent="0.35">
      <c r="E105" s="12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14"/>
    </row>
    <row r="106" spans="5:25" x14ac:dyDescent="0.35">
      <c r="E106" s="12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14"/>
    </row>
    <row r="107" spans="5:25" x14ac:dyDescent="0.35">
      <c r="E107" s="12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14"/>
    </row>
    <row r="108" spans="5:25" x14ac:dyDescent="0.35">
      <c r="E108" s="12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14"/>
    </row>
    <row r="109" spans="5:25" x14ac:dyDescent="0.35">
      <c r="E109" s="12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14"/>
    </row>
    <row r="110" spans="5:25" x14ac:dyDescent="0.35">
      <c r="E110" s="12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14"/>
    </row>
    <row r="111" spans="5:25" x14ac:dyDescent="0.35">
      <c r="E111" s="12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14"/>
    </row>
    <row r="112" spans="5:25" x14ac:dyDescent="0.35">
      <c r="E112" s="12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14"/>
    </row>
    <row r="113" spans="5:25" x14ac:dyDescent="0.35">
      <c r="E113" s="12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14"/>
    </row>
    <row r="114" spans="5:25" x14ac:dyDescent="0.35">
      <c r="E114" s="12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14"/>
    </row>
    <row r="115" spans="5:25" x14ac:dyDescent="0.35">
      <c r="E115" s="12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14"/>
    </row>
    <row r="116" spans="5:25" x14ac:dyDescent="0.35">
      <c r="E116" s="12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14"/>
    </row>
    <row r="117" spans="5:25" x14ac:dyDescent="0.35">
      <c r="E117" s="12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14"/>
    </row>
    <row r="118" spans="5:25" x14ac:dyDescent="0.35">
      <c r="E118" s="12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14"/>
    </row>
    <row r="119" spans="5:25" x14ac:dyDescent="0.35">
      <c r="E119" s="12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14"/>
    </row>
    <row r="120" spans="5:25" x14ac:dyDescent="0.35">
      <c r="E120" s="12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14"/>
    </row>
    <row r="121" spans="5:25" x14ac:dyDescent="0.35">
      <c r="E121" s="12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14"/>
    </row>
    <row r="122" spans="5:25" x14ac:dyDescent="0.35">
      <c r="E122" s="12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14"/>
    </row>
    <row r="123" spans="5:25" x14ac:dyDescent="0.35">
      <c r="E123" s="12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14"/>
    </row>
    <row r="124" spans="5:25" x14ac:dyDescent="0.35">
      <c r="E124" s="12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14"/>
    </row>
    <row r="125" spans="5:25" x14ac:dyDescent="0.35">
      <c r="E125" s="12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14"/>
    </row>
    <row r="126" spans="5:25" x14ac:dyDescent="0.35">
      <c r="E126" s="12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14"/>
    </row>
    <row r="127" spans="5:25" x14ac:dyDescent="0.35">
      <c r="E127" s="12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14"/>
    </row>
    <row r="128" spans="5:25" x14ac:dyDescent="0.35">
      <c r="E128" s="12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14"/>
    </row>
    <row r="129" spans="5:25" x14ac:dyDescent="0.35">
      <c r="E129" s="12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14"/>
    </row>
    <row r="130" spans="5:25" x14ac:dyDescent="0.35">
      <c r="E130" s="12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14"/>
    </row>
    <row r="131" spans="5:25" x14ac:dyDescent="0.35">
      <c r="E131" s="12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14"/>
    </row>
    <row r="132" spans="5:25" x14ac:dyDescent="0.35">
      <c r="E132" s="12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14"/>
    </row>
    <row r="133" spans="5:25" x14ac:dyDescent="0.35">
      <c r="E133" s="12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14"/>
    </row>
    <row r="134" spans="5:25" x14ac:dyDescent="0.35">
      <c r="E134" s="12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14"/>
    </row>
    <row r="135" spans="5:25" x14ac:dyDescent="0.35">
      <c r="E135" s="12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14"/>
    </row>
    <row r="136" spans="5:25" x14ac:dyDescent="0.35">
      <c r="E136" s="12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14"/>
    </row>
    <row r="137" spans="5:25" x14ac:dyDescent="0.35">
      <c r="E137" s="12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14"/>
    </row>
    <row r="138" spans="5:25" x14ac:dyDescent="0.35">
      <c r="E138" s="12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14"/>
    </row>
    <row r="139" spans="5:25" x14ac:dyDescent="0.35">
      <c r="E139" s="12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14"/>
    </row>
    <row r="140" spans="5:25" x14ac:dyDescent="0.35">
      <c r="E140" s="12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14"/>
    </row>
    <row r="141" spans="5:25" x14ac:dyDescent="0.35">
      <c r="E141" s="12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14"/>
    </row>
    <row r="142" spans="5:25" x14ac:dyDescent="0.35">
      <c r="E142" s="12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14"/>
    </row>
    <row r="143" spans="5:25" x14ac:dyDescent="0.35">
      <c r="E143" s="12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14"/>
    </row>
    <row r="144" spans="5:25" x14ac:dyDescent="0.35">
      <c r="E144" s="12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14"/>
    </row>
    <row r="145" spans="5:25" x14ac:dyDescent="0.35">
      <c r="E145" s="12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14"/>
    </row>
    <row r="146" spans="5:25" x14ac:dyDescent="0.35">
      <c r="E146" s="12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14"/>
    </row>
    <row r="147" spans="5:25" x14ac:dyDescent="0.35">
      <c r="E147" s="12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14"/>
    </row>
    <row r="148" spans="5:25" x14ac:dyDescent="0.35">
      <c r="E148" s="12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14"/>
    </row>
    <row r="149" spans="5:25" x14ac:dyDescent="0.35">
      <c r="E149" s="12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14"/>
    </row>
    <row r="150" spans="5:25" ht="15" thickBot="1" x14ac:dyDescent="0.4">
      <c r="E150" s="15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D4757-548A-408F-AEA1-7440887FB672}">
  <sheetPr codeName="Sheet13"/>
  <dimension ref="A1:AD385"/>
  <sheetViews>
    <sheetView workbookViewId="0"/>
  </sheetViews>
  <sheetFormatPr defaultRowHeight="14.5" x14ac:dyDescent="0.35"/>
  <cols>
    <col min="12" max="12" width="15.36328125" bestFit="1" customWidth="1"/>
    <col min="13" max="13" width="17.26953125" bestFit="1" customWidth="1"/>
  </cols>
  <sheetData>
    <row r="1" spans="1:30" x14ac:dyDescent="0.35">
      <c r="A1" t="s">
        <v>1277</v>
      </c>
      <c r="B1" t="s">
        <v>1278</v>
      </c>
      <c r="C1" t="s">
        <v>1279</v>
      </c>
      <c r="D1" t="s">
        <v>1280</v>
      </c>
      <c r="E1" t="s">
        <v>1281</v>
      </c>
      <c r="F1" t="s">
        <v>1282</v>
      </c>
      <c r="G1" t="s">
        <v>1283</v>
      </c>
      <c r="H1" t="s">
        <v>1284</v>
      </c>
      <c r="I1" t="s">
        <v>1285</v>
      </c>
      <c r="J1" t="s">
        <v>1286</v>
      </c>
      <c r="K1" t="s">
        <v>1287</v>
      </c>
      <c r="L1" t="s">
        <v>0</v>
      </c>
      <c r="M1" t="s">
        <v>1288</v>
      </c>
      <c r="N1" t="s">
        <v>1289</v>
      </c>
      <c r="O1" t="s">
        <v>1290</v>
      </c>
      <c r="P1" t="s">
        <v>1291</v>
      </c>
      <c r="Q1" t="s">
        <v>1292</v>
      </c>
      <c r="R1" t="s">
        <v>1293</v>
      </c>
      <c r="S1" t="s">
        <v>1</v>
      </c>
      <c r="T1" t="s">
        <v>1294</v>
      </c>
      <c r="U1" t="s">
        <v>1295</v>
      </c>
      <c r="V1" t="s">
        <v>1296</v>
      </c>
      <c r="W1" t="s">
        <v>1297</v>
      </c>
      <c r="X1" t="s">
        <v>1298</v>
      </c>
      <c r="Y1" t="s">
        <v>1299</v>
      </c>
      <c r="Z1" t="s">
        <v>1300</v>
      </c>
      <c r="AA1" t="s">
        <v>1301</v>
      </c>
      <c r="AD1">
        <f>SUM(L:L)</f>
        <v>16233</v>
      </c>
    </row>
    <row r="2" spans="1:30" x14ac:dyDescent="0.35">
      <c r="A2" t="s">
        <v>2</v>
      </c>
      <c r="B2" t="s">
        <v>3</v>
      </c>
      <c r="C2" t="s">
        <v>3</v>
      </c>
      <c r="E2" t="s">
        <v>4</v>
      </c>
      <c r="F2" s="99">
        <v>46011</v>
      </c>
      <c r="G2" t="s">
        <v>5</v>
      </c>
      <c r="H2" t="s">
        <v>6</v>
      </c>
      <c r="I2" s="98">
        <v>5000000</v>
      </c>
      <c r="J2">
        <v>-2.528</v>
      </c>
      <c r="K2">
        <v>51</v>
      </c>
      <c r="L2" s="98">
        <v>-5602</v>
      </c>
      <c r="M2">
        <v>-139</v>
      </c>
      <c r="N2" t="s">
        <v>7</v>
      </c>
      <c r="O2">
        <v>34</v>
      </c>
      <c r="P2" s="98">
        <v>-2625</v>
      </c>
      <c r="Q2" s="98">
        <v>-1335</v>
      </c>
      <c r="R2">
        <v>-4.3099999999999996</v>
      </c>
      <c r="S2" s="98">
        <v>-126389</v>
      </c>
      <c r="T2" t="s">
        <v>8</v>
      </c>
      <c r="U2">
        <v>-2.4159999999999999</v>
      </c>
      <c r="V2" s="98">
        <v>5000000</v>
      </c>
      <c r="W2" t="s">
        <v>9</v>
      </c>
      <c r="X2" t="s">
        <v>10</v>
      </c>
      <c r="Y2" s="98">
        <v>-5000000</v>
      </c>
      <c r="Z2" s="98">
        <v>5000000</v>
      </c>
      <c r="AA2" t="b">
        <v>0</v>
      </c>
    </row>
    <row r="3" spans="1:30" x14ac:dyDescent="0.35">
      <c r="A3" t="s">
        <v>11</v>
      </c>
      <c r="B3" t="s">
        <v>12</v>
      </c>
      <c r="C3" t="s">
        <v>12</v>
      </c>
      <c r="E3" t="s">
        <v>4</v>
      </c>
      <c r="G3" t="s">
        <v>13</v>
      </c>
      <c r="H3" t="s">
        <v>14</v>
      </c>
      <c r="I3">
        <v>9</v>
      </c>
      <c r="J3">
        <v>176.35</v>
      </c>
      <c r="K3">
        <v>-88</v>
      </c>
      <c r="L3" s="98">
        <v>-1870</v>
      </c>
      <c r="M3">
        <v>0</v>
      </c>
      <c r="O3" s="98">
        <v>1347</v>
      </c>
      <c r="P3">
        <v>0</v>
      </c>
      <c r="Q3">
        <v>0</v>
      </c>
      <c r="R3">
        <v>0</v>
      </c>
      <c r="S3">
        <v>-480</v>
      </c>
      <c r="T3" t="s">
        <v>15</v>
      </c>
      <c r="U3">
        <v>176.07</v>
      </c>
      <c r="V3">
        <v>-5</v>
      </c>
      <c r="W3" t="s">
        <v>9</v>
      </c>
      <c r="X3" t="s">
        <v>10</v>
      </c>
      <c r="Y3">
        <v>0</v>
      </c>
      <c r="Z3">
        <v>0</v>
      </c>
      <c r="AA3" t="b">
        <v>0</v>
      </c>
    </row>
    <row r="4" spans="1:30" x14ac:dyDescent="0.35">
      <c r="A4" t="s">
        <v>25</v>
      </c>
      <c r="B4" t="s">
        <v>26</v>
      </c>
      <c r="C4" t="s">
        <v>26</v>
      </c>
      <c r="E4" t="s">
        <v>4</v>
      </c>
      <c r="G4" t="s">
        <v>13</v>
      </c>
      <c r="H4" t="s">
        <v>14</v>
      </c>
      <c r="I4">
        <v>-25</v>
      </c>
      <c r="J4">
        <v>228.62</v>
      </c>
      <c r="K4">
        <v>-14</v>
      </c>
      <c r="L4" s="98">
        <v>-19620</v>
      </c>
      <c r="M4">
        <v>0</v>
      </c>
      <c r="O4" s="98">
        <v>-12734</v>
      </c>
      <c r="P4">
        <v>0</v>
      </c>
      <c r="Q4">
        <v>0</v>
      </c>
      <c r="R4">
        <v>0</v>
      </c>
      <c r="S4" s="98">
        <v>-17080</v>
      </c>
      <c r="T4" t="s">
        <v>15</v>
      </c>
      <c r="U4">
        <v>227.8</v>
      </c>
      <c r="V4">
        <v>-24</v>
      </c>
      <c r="W4" t="s">
        <v>9</v>
      </c>
      <c r="X4" t="s">
        <v>10</v>
      </c>
      <c r="Y4">
        <v>0</v>
      </c>
      <c r="Z4">
        <v>0</v>
      </c>
      <c r="AA4" t="b">
        <v>0</v>
      </c>
    </row>
    <row r="5" spans="1:30" x14ac:dyDescent="0.35">
      <c r="A5" t="s">
        <v>16</v>
      </c>
      <c r="B5" t="s">
        <v>17</v>
      </c>
      <c r="C5" t="s">
        <v>17</v>
      </c>
      <c r="E5" t="s">
        <v>4</v>
      </c>
      <c r="G5" t="s">
        <v>13</v>
      </c>
      <c r="H5" t="s">
        <v>14</v>
      </c>
      <c r="I5">
        <v>-25</v>
      </c>
      <c r="J5">
        <v>135.83000000000001</v>
      </c>
      <c r="K5">
        <v>-50</v>
      </c>
      <c r="L5" s="98">
        <v>-1500</v>
      </c>
      <c r="M5">
        <v>0</v>
      </c>
      <c r="O5" s="98">
        <v>-1555</v>
      </c>
      <c r="P5">
        <v>0</v>
      </c>
      <c r="Q5">
        <v>0</v>
      </c>
      <c r="R5">
        <v>0</v>
      </c>
      <c r="S5">
        <v>10</v>
      </c>
      <c r="T5" t="s">
        <v>15</v>
      </c>
      <c r="U5">
        <v>135.77000000000001</v>
      </c>
      <c r="V5">
        <v>-25</v>
      </c>
      <c r="W5" t="s">
        <v>9</v>
      </c>
      <c r="X5" t="s">
        <v>10</v>
      </c>
      <c r="Y5">
        <v>0</v>
      </c>
      <c r="Z5">
        <v>0</v>
      </c>
      <c r="AA5" t="b">
        <v>0</v>
      </c>
    </row>
    <row r="6" spans="1:30" x14ac:dyDescent="0.35">
      <c r="A6" t="s">
        <v>21</v>
      </c>
      <c r="B6" t="s">
        <v>22</v>
      </c>
      <c r="C6" t="s">
        <v>22</v>
      </c>
      <c r="E6" t="s">
        <v>4</v>
      </c>
      <c r="G6" t="s">
        <v>20</v>
      </c>
      <c r="H6" t="s">
        <v>14</v>
      </c>
      <c r="I6" s="98">
        <v>50500</v>
      </c>
      <c r="J6">
        <v>101.87</v>
      </c>
      <c r="L6">
        <v>0</v>
      </c>
      <c r="M6">
        <v>0</v>
      </c>
      <c r="N6" t="s">
        <v>7</v>
      </c>
      <c r="O6" s="98">
        <v>2456</v>
      </c>
      <c r="P6" s="98">
        <v>2456</v>
      </c>
      <c r="Q6" s="98">
        <v>1134</v>
      </c>
      <c r="R6">
        <v>3.66</v>
      </c>
      <c r="S6" s="98">
        <v>5144435</v>
      </c>
      <c r="T6" t="s">
        <v>1344</v>
      </c>
      <c r="U6">
        <v>101.87</v>
      </c>
      <c r="V6" s="98">
        <v>50500</v>
      </c>
      <c r="W6" t="s">
        <v>9</v>
      </c>
      <c r="X6" t="s">
        <v>10</v>
      </c>
      <c r="Y6" s="98">
        <v>5144435</v>
      </c>
      <c r="Z6" s="98">
        <v>5144435</v>
      </c>
      <c r="AA6" t="b">
        <v>1</v>
      </c>
    </row>
    <row r="7" spans="1:30" x14ac:dyDescent="0.35">
      <c r="A7" t="s">
        <v>23</v>
      </c>
      <c r="B7" t="s">
        <v>24</v>
      </c>
      <c r="C7" t="s">
        <v>24</v>
      </c>
      <c r="E7" t="s">
        <v>4</v>
      </c>
      <c r="G7" t="s">
        <v>13</v>
      </c>
      <c r="H7" t="s">
        <v>14</v>
      </c>
      <c r="I7">
        <v>-50</v>
      </c>
      <c r="J7">
        <v>112.44</v>
      </c>
      <c r="K7">
        <v>28</v>
      </c>
      <c r="L7">
        <v>-500</v>
      </c>
      <c r="M7">
        <v>0</v>
      </c>
      <c r="O7" s="98">
        <v>-1087</v>
      </c>
      <c r="P7">
        <v>0</v>
      </c>
      <c r="Q7">
        <v>0</v>
      </c>
      <c r="R7">
        <v>0</v>
      </c>
      <c r="S7">
        <v>0</v>
      </c>
      <c r="T7" t="s">
        <v>15</v>
      </c>
      <c r="U7">
        <v>112.43</v>
      </c>
      <c r="V7">
        <v>-50</v>
      </c>
      <c r="W7" t="s">
        <v>9</v>
      </c>
      <c r="X7" t="s">
        <v>10</v>
      </c>
      <c r="Y7">
        <v>0</v>
      </c>
      <c r="Z7">
        <v>0</v>
      </c>
      <c r="AA7" t="b">
        <v>0</v>
      </c>
    </row>
    <row r="8" spans="1:30" x14ac:dyDescent="0.35">
      <c r="A8" t="s">
        <v>27</v>
      </c>
      <c r="B8" t="s">
        <v>27</v>
      </c>
      <c r="C8" t="s">
        <v>28</v>
      </c>
      <c r="D8" t="s">
        <v>29</v>
      </c>
      <c r="E8" t="s">
        <v>4</v>
      </c>
      <c r="F8" s="99">
        <v>51045</v>
      </c>
      <c r="G8" t="s">
        <v>30</v>
      </c>
      <c r="H8" t="s">
        <v>14</v>
      </c>
      <c r="I8" s="98">
        <v>1000000</v>
      </c>
      <c r="J8">
        <v>136.45500000000001</v>
      </c>
      <c r="K8">
        <v>156</v>
      </c>
      <c r="L8" s="98">
        <v>10140</v>
      </c>
      <c r="M8">
        <v>101</v>
      </c>
      <c r="N8" t="s">
        <v>7</v>
      </c>
      <c r="O8" s="98">
        <v>2019</v>
      </c>
      <c r="P8" s="98">
        <v>2040</v>
      </c>
      <c r="Q8" s="98">
        <v>3188</v>
      </c>
      <c r="R8">
        <v>10.28</v>
      </c>
      <c r="S8" s="98">
        <v>1364550</v>
      </c>
      <c r="T8" t="s">
        <v>1302</v>
      </c>
      <c r="U8">
        <v>135.441</v>
      </c>
      <c r="V8" s="98">
        <v>1000000</v>
      </c>
      <c r="W8" t="s">
        <v>9</v>
      </c>
      <c r="X8" t="s">
        <v>10</v>
      </c>
      <c r="Y8" s="98">
        <v>1387054</v>
      </c>
      <c r="Z8" s="98">
        <v>1387054</v>
      </c>
      <c r="AA8" t="b">
        <v>0</v>
      </c>
    </row>
    <row r="9" spans="1:30" x14ac:dyDescent="0.35">
      <c r="A9" t="s">
        <v>32</v>
      </c>
      <c r="B9" t="s">
        <v>32</v>
      </c>
      <c r="C9" t="s">
        <v>33</v>
      </c>
      <c r="D9" t="s">
        <v>29</v>
      </c>
      <c r="E9" t="s">
        <v>4</v>
      </c>
      <c r="F9" s="99">
        <v>48215</v>
      </c>
      <c r="G9" t="s">
        <v>30</v>
      </c>
      <c r="H9" t="s">
        <v>14</v>
      </c>
      <c r="I9" s="98">
        <v>-1500000</v>
      </c>
      <c r="J9">
        <v>124.136</v>
      </c>
      <c r="K9">
        <v>89</v>
      </c>
      <c r="L9" s="98">
        <v>-8625</v>
      </c>
      <c r="M9">
        <v>-118</v>
      </c>
      <c r="N9" t="s">
        <v>7</v>
      </c>
      <c r="O9" s="98">
        <v>-1861</v>
      </c>
      <c r="P9" s="98">
        <v>-1882</v>
      </c>
      <c r="Q9" s="98">
        <v>-1674</v>
      </c>
      <c r="R9">
        <v>-5.4</v>
      </c>
      <c r="S9" s="98">
        <v>-1862040</v>
      </c>
      <c r="T9" t="s">
        <v>1302</v>
      </c>
      <c r="U9">
        <v>123.56100000000001</v>
      </c>
      <c r="V9" s="98">
        <v>-1500000</v>
      </c>
      <c r="W9" t="s">
        <v>9</v>
      </c>
      <c r="X9" t="s">
        <v>10</v>
      </c>
      <c r="Y9" s="98">
        <v>-1888269</v>
      </c>
      <c r="Z9" s="98">
        <v>1888269</v>
      </c>
      <c r="AA9" t="b">
        <v>0</v>
      </c>
    </row>
    <row r="10" spans="1:30" x14ac:dyDescent="0.35">
      <c r="A10" t="s">
        <v>35</v>
      </c>
      <c r="B10" t="s">
        <v>35</v>
      </c>
      <c r="C10" t="s">
        <v>36</v>
      </c>
      <c r="D10" t="s">
        <v>34</v>
      </c>
      <c r="E10" t="s">
        <v>4</v>
      </c>
      <c r="F10" s="99">
        <v>46454</v>
      </c>
      <c r="G10" t="s">
        <v>30</v>
      </c>
      <c r="H10" t="s">
        <v>14</v>
      </c>
      <c r="I10">
        <v>0</v>
      </c>
      <c r="J10">
        <v>107.63800000000001</v>
      </c>
      <c r="K10">
        <v>72</v>
      </c>
      <c r="L10">
        <v>0</v>
      </c>
      <c r="M10">
        <v>0</v>
      </c>
      <c r="N10" t="s">
        <v>7</v>
      </c>
      <c r="O10">
        <v>0</v>
      </c>
      <c r="P10">
        <v>0</v>
      </c>
      <c r="Q10">
        <v>0</v>
      </c>
      <c r="R10">
        <v>0</v>
      </c>
      <c r="S10">
        <v>0</v>
      </c>
      <c r="T10" t="s">
        <v>1302</v>
      </c>
      <c r="U10">
        <v>107.63800000000001</v>
      </c>
      <c r="V10">
        <v>0</v>
      </c>
      <c r="W10" t="s">
        <v>9</v>
      </c>
      <c r="X10" t="s">
        <v>10</v>
      </c>
      <c r="Y10">
        <v>0</v>
      </c>
      <c r="Z10">
        <v>0</v>
      </c>
      <c r="AA10" t="b">
        <v>0</v>
      </c>
    </row>
    <row r="11" spans="1:30" x14ac:dyDescent="0.35">
      <c r="A11" t="s">
        <v>37</v>
      </c>
      <c r="B11" t="s">
        <v>37</v>
      </c>
      <c r="C11" t="s">
        <v>38</v>
      </c>
      <c r="D11" t="s">
        <v>39</v>
      </c>
      <c r="E11" t="s">
        <v>4</v>
      </c>
      <c r="F11" s="99">
        <v>48423</v>
      </c>
      <c r="G11" t="s">
        <v>30</v>
      </c>
      <c r="H11" t="s">
        <v>14</v>
      </c>
      <c r="I11">
        <v>0</v>
      </c>
      <c r="J11">
        <v>102.392</v>
      </c>
      <c r="K11">
        <v>60</v>
      </c>
      <c r="L11" s="98">
        <v>-27320</v>
      </c>
      <c r="M11">
        <v>34</v>
      </c>
      <c r="N11" t="s">
        <v>7</v>
      </c>
      <c r="O11">
        <v>0</v>
      </c>
      <c r="P11">
        <v>0</v>
      </c>
      <c r="Q11">
        <v>0</v>
      </c>
      <c r="R11">
        <v>0</v>
      </c>
      <c r="S11">
        <v>0</v>
      </c>
      <c r="T11" t="s">
        <v>1302</v>
      </c>
      <c r="U11">
        <v>101.968</v>
      </c>
      <c r="V11" s="98">
        <v>2000000</v>
      </c>
      <c r="W11" t="s">
        <v>9</v>
      </c>
      <c r="X11" t="s">
        <v>10</v>
      </c>
      <c r="Y11">
        <v>-34</v>
      </c>
      <c r="Z11">
        <v>34</v>
      </c>
      <c r="AA11" t="b">
        <v>0</v>
      </c>
    </row>
    <row r="12" spans="1:30" x14ac:dyDescent="0.35">
      <c r="A12" t="s">
        <v>37</v>
      </c>
      <c r="B12" t="s">
        <v>37</v>
      </c>
      <c r="C12" t="s">
        <v>38</v>
      </c>
      <c r="D12" t="s">
        <v>39</v>
      </c>
      <c r="E12" t="s">
        <v>4</v>
      </c>
      <c r="F12" s="99">
        <v>48423</v>
      </c>
      <c r="G12" t="s">
        <v>30</v>
      </c>
      <c r="H12" t="s">
        <v>14</v>
      </c>
      <c r="I12">
        <v>0</v>
      </c>
      <c r="J12">
        <v>102.392</v>
      </c>
      <c r="K12">
        <v>60</v>
      </c>
      <c r="L12" s="98">
        <v>37860</v>
      </c>
      <c r="M12">
        <v>0</v>
      </c>
      <c r="N12" t="s">
        <v>7</v>
      </c>
      <c r="O12">
        <v>0</v>
      </c>
      <c r="P12">
        <v>0</v>
      </c>
      <c r="Q12">
        <v>0</v>
      </c>
      <c r="R12">
        <v>0</v>
      </c>
      <c r="S12">
        <v>0</v>
      </c>
      <c r="T12" t="s">
        <v>1302</v>
      </c>
      <c r="U12">
        <v>101.968</v>
      </c>
      <c r="V12">
        <v>0</v>
      </c>
      <c r="W12" t="s">
        <v>9</v>
      </c>
      <c r="X12" t="s">
        <v>10</v>
      </c>
      <c r="Y12">
        <v>0</v>
      </c>
      <c r="Z12">
        <v>0</v>
      </c>
      <c r="AA12" t="b">
        <v>0</v>
      </c>
    </row>
    <row r="13" spans="1:30" x14ac:dyDescent="0.35">
      <c r="A13" t="s">
        <v>975</v>
      </c>
      <c r="B13" t="s">
        <v>975</v>
      </c>
      <c r="C13" t="s">
        <v>976</v>
      </c>
      <c r="D13" t="s">
        <v>977</v>
      </c>
      <c r="E13" t="s">
        <v>4</v>
      </c>
      <c r="F13" s="99">
        <v>47416</v>
      </c>
      <c r="G13" t="s">
        <v>30</v>
      </c>
      <c r="H13" t="s">
        <v>14</v>
      </c>
      <c r="I13" s="98">
        <v>-600000</v>
      </c>
      <c r="J13">
        <v>113.378</v>
      </c>
      <c r="K13">
        <v>35</v>
      </c>
      <c r="L13" s="98">
        <v>-1626</v>
      </c>
      <c r="M13">
        <v>-25</v>
      </c>
      <c r="N13" t="s">
        <v>7</v>
      </c>
      <c r="O13">
        <v>-592</v>
      </c>
      <c r="P13">
        <v>-599</v>
      </c>
      <c r="Q13">
        <v>-210</v>
      </c>
      <c r="R13">
        <v>-0.68</v>
      </c>
      <c r="S13" s="98">
        <v>-680268</v>
      </c>
      <c r="T13" t="s">
        <v>1302</v>
      </c>
      <c r="U13">
        <v>113.107</v>
      </c>
      <c r="V13" s="98">
        <v>-600000</v>
      </c>
      <c r="W13" t="s">
        <v>9</v>
      </c>
      <c r="X13" t="s">
        <v>10</v>
      </c>
      <c r="Y13" s="98">
        <v>-687399</v>
      </c>
      <c r="Z13" s="98">
        <v>687399</v>
      </c>
      <c r="AA13" t="b">
        <v>0</v>
      </c>
    </row>
    <row r="14" spans="1:30" x14ac:dyDescent="0.35">
      <c r="A14" t="s">
        <v>40</v>
      </c>
      <c r="B14" t="s">
        <v>40</v>
      </c>
      <c r="C14" t="s">
        <v>41</v>
      </c>
      <c r="D14" t="s">
        <v>42</v>
      </c>
      <c r="E14" t="s">
        <v>4</v>
      </c>
      <c r="F14" s="99">
        <v>44794</v>
      </c>
      <c r="G14" t="s">
        <v>30</v>
      </c>
      <c r="H14" t="s">
        <v>14</v>
      </c>
      <c r="I14" s="98">
        <v>-2850000</v>
      </c>
      <c r="J14">
        <v>102.529</v>
      </c>
      <c r="K14">
        <v>54</v>
      </c>
      <c r="L14">
        <v>-941</v>
      </c>
      <c r="M14">
        <v>-97</v>
      </c>
      <c r="N14" t="s">
        <v>7</v>
      </c>
      <c r="O14">
        <v>-589</v>
      </c>
      <c r="P14">
        <v>-594</v>
      </c>
      <c r="Q14">
        <v>-321</v>
      </c>
      <c r="R14">
        <v>-1.04</v>
      </c>
      <c r="S14" s="98">
        <v>-2922077</v>
      </c>
      <c r="T14" t="s">
        <v>1302</v>
      </c>
      <c r="U14">
        <v>102.496</v>
      </c>
      <c r="V14" s="98">
        <v>-2850000</v>
      </c>
      <c r="W14" t="s">
        <v>9</v>
      </c>
      <c r="X14" t="s">
        <v>10</v>
      </c>
      <c r="Y14" s="98">
        <v>-2956631</v>
      </c>
      <c r="Z14" s="98">
        <v>2956631</v>
      </c>
      <c r="AA14" t="b">
        <v>0</v>
      </c>
    </row>
    <row r="15" spans="1:30" x14ac:dyDescent="0.35">
      <c r="A15" t="s">
        <v>956</v>
      </c>
      <c r="B15" t="s">
        <v>956</v>
      </c>
      <c r="C15" t="s">
        <v>957</v>
      </c>
      <c r="D15" t="s">
        <v>958</v>
      </c>
      <c r="E15" t="s">
        <v>4</v>
      </c>
      <c r="F15" s="99">
        <v>45030</v>
      </c>
      <c r="G15" t="s">
        <v>30</v>
      </c>
      <c r="H15" t="s">
        <v>14</v>
      </c>
      <c r="I15" s="98">
        <v>-4560000</v>
      </c>
      <c r="J15">
        <v>100.515</v>
      </c>
      <c r="K15">
        <v>32</v>
      </c>
      <c r="L15" s="98">
        <v>-2599</v>
      </c>
      <c r="M15">
        <v>0</v>
      </c>
      <c r="N15" t="s">
        <v>7</v>
      </c>
      <c r="O15" s="98">
        <v>-1112</v>
      </c>
      <c r="P15" s="98">
        <v>-1122</v>
      </c>
      <c r="Q15">
        <v>-364</v>
      </c>
      <c r="R15">
        <v>-1.17</v>
      </c>
      <c r="S15" s="98">
        <v>-4583484</v>
      </c>
      <c r="T15" t="s">
        <v>1302</v>
      </c>
      <c r="U15">
        <v>100.458</v>
      </c>
      <c r="V15" s="98">
        <v>-4560000</v>
      </c>
      <c r="W15" t="s">
        <v>9</v>
      </c>
      <c r="X15" t="s">
        <v>10</v>
      </c>
      <c r="Y15" s="98">
        <v>-4583484</v>
      </c>
      <c r="Z15" s="98">
        <v>4583484</v>
      </c>
      <c r="AA15" t="b">
        <v>0</v>
      </c>
    </row>
    <row r="16" spans="1:30" x14ac:dyDescent="0.35">
      <c r="A16" t="s">
        <v>43</v>
      </c>
      <c r="B16" t="s">
        <v>43</v>
      </c>
      <c r="C16" t="s">
        <v>44</v>
      </c>
      <c r="D16" t="s">
        <v>45</v>
      </c>
      <c r="E16" t="s">
        <v>4</v>
      </c>
      <c r="F16" s="99">
        <v>47976</v>
      </c>
      <c r="G16" t="s">
        <v>30</v>
      </c>
      <c r="H16" t="s">
        <v>14</v>
      </c>
      <c r="I16" s="98">
        <v>-3850000</v>
      </c>
      <c r="J16">
        <v>107.21299999999999</v>
      </c>
      <c r="K16">
        <v>77</v>
      </c>
      <c r="L16" s="98">
        <v>-17402</v>
      </c>
      <c r="M16">
        <v>-130</v>
      </c>
      <c r="N16" t="s">
        <v>7</v>
      </c>
      <c r="O16" s="98">
        <v>-4077</v>
      </c>
      <c r="P16" s="98">
        <v>-4126</v>
      </c>
      <c r="Q16" s="98">
        <v>-3177</v>
      </c>
      <c r="R16">
        <v>-10.25</v>
      </c>
      <c r="S16" s="98">
        <v>-4127701</v>
      </c>
      <c r="T16" t="s">
        <v>1302</v>
      </c>
      <c r="U16">
        <v>106.761</v>
      </c>
      <c r="V16" s="98">
        <v>-3850000</v>
      </c>
      <c r="W16" t="s">
        <v>9</v>
      </c>
      <c r="X16" t="s">
        <v>10</v>
      </c>
      <c r="Y16" s="98">
        <v>-4151852</v>
      </c>
      <c r="Z16" s="98">
        <v>4151852</v>
      </c>
      <c r="AA16" t="b">
        <v>0</v>
      </c>
    </row>
    <row r="17" spans="1:27" x14ac:dyDescent="0.35">
      <c r="A17" t="s">
        <v>46</v>
      </c>
      <c r="B17" t="s">
        <v>46</v>
      </c>
      <c r="C17" t="s">
        <v>47</v>
      </c>
      <c r="D17" t="s">
        <v>45</v>
      </c>
      <c r="E17" t="s">
        <v>4</v>
      </c>
      <c r="F17" s="99">
        <v>46850</v>
      </c>
      <c r="G17" t="s">
        <v>30</v>
      </c>
      <c r="H17" t="s">
        <v>14</v>
      </c>
      <c r="I17" s="98">
        <v>-3000000</v>
      </c>
      <c r="J17">
        <v>116.265</v>
      </c>
      <c r="K17">
        <v>68</v>
      </c>
      <c r="L17" s="98">
        <v>-7620</v>
      </c>
      <c r="M17">
        <v>-207</v>
      </c>
      <c r="N17" t="s">
        <v>7</v>
      </c>
      <c r="O17" s="98">
        <v>-2398</v>
      </c>
      <c r="P17" s="98">
        <v>-2424</v>
      </c>
      <c r="Q17" s="98">
        <v>-1659</v>
      </c>
      <c r="R17">
        <v>-5.35</v>
      </c>
      <c r="S17" s="98">
        <v>-3487950</v>
      </c>
      <c r="T17" t="s">
        <v>1302</v>
      </c>
      <c r="U17">
        <v>116.011</v>
      </c>
      <c r="V17" s="98">
        <v>-3000000</v>
      </c>
      <c r="W17" t="s">
        <v>9</v>
      </c>
      <c r="X17" t="s">
        <v>10</v>
      </c>
      <c r="Y17" s="98">
        <v>-3532878</v>
      </c>
      <c r="Z17" s="98">
        <v>3532878</v>
      </c>
      <c r="AA17" t="b">
        <v>0</v>
      </c>
    </row>
    <row r="18" spans="1:27" x14ac:dyDescent="0.35">
      <c r="A18" t="s">
        <v>959</v>
      </c>
      <c r="B18" t="s">
        <v>959</v>
      </c>
      <c r="C18" t="s">
        <v>960</v>
      </c>
      <c r="D18" t="s">
        <v>961</v>
      </c>
      <c r="E18" t="s">
        <v>4</v>
      </c>
      <c r="F18" s="99">
        <v>47565</v>
      </c>
      <c r="G18" t="s">
        <v>30</v>
      </c>
      <c r="H18" t="s">
        <v>14</v>
      </c>
      <c r="I18" s="98">
        <v>-1000000</v>
      </c>
      <c r="J18">
        <v>105.66200000000001</v>
      </c>
      <c r="K18">
        <v>81</v>
      </c>
      <c r="L18" s="98">
        <v>-4370</v>
      </c>
      <c r="M18">
        <v>-31</v>
      </c>
      <c r="N18" t="s">
        <v>7</v>
      </c>
      <c r="O18">
        <v>-965</v>
      </c>
      <c r="P18">
        <v>-977</v>
      </c>
      <c r="Q18">
        <v>-788</v>
      </c>
      <c r="R18">
        <v>-2.54</v>
      </c>
      <c r="S18" s="98">
        <v>-1056620</v>
      </c>
      <c r="T18" t="s">
        <v>1302</v>
      </c>
      <c r="U18">
        <v>105.22499999999999</v>
      </c>
      <c r="V18" s="98">
        <v>-1000000</v>
      </c>
      <c r="W18" t="s">
        <v>9</v>
      </c>
      <c r="X18" t="s">
        <v>10</v>
      </c>
      <c r="Y18" s="98">
        <v>-1060935</v>
      </c>
      <c r="Z18" s="98">
        <v>1060935</v>
      </c>
      <c r="AA18" t="b">
        <v>0</v>
      </c>
    </row>
    <row r="19" spans="1:27" x14ac:dyDescent="0.35">
      <c r="A19" t="s">
        <v>978</v>
      </c>
      <c r="B19" t="s">
        <v>978</v>
      </c>
      <c r="C19" t="s">
        <v>979</v>
      </c>
      <c r="D19" t="s">
        <v>980</v>
      </c>
      <c r="E19" t="s">
        <v>4</v>
      </c>
      <c r="F19" s="99">
        <v>45607</v>
      </c>
      <c r="G19" t="s">
        <v>30</v>
      </c>
      <c r="H19" t="s">
        <v>14</v>
      </c>
      <c r="I19" s="98">
        <v>600000</v>
      </c>
      <c r="J19">
        <v>108.611</v>
      </c>
      <c r="K19">
        <v>25</v>
      </c>
      <c r="L19">
        <v>636</v>
      </c>
      <c r="M19">
        <v>31</v>
      </c>
      <c r="N19" t="s">
        <v>7</v>
      </c>
      <c r="O19">
        <v>255</v>
      </c>
      <c r="P19">
        <v>257</v>
      </c>
      <c r="Q19">
        <v>64</v>
      </c>
      <c r="R19">
        <v>0.21</v>
      </c>
      <c r="S19" s="98">
        <v>651666</v>
      </c>
      <c r="T19" t="s">
        <v>1302</v>
      </c>
      <c r="U19">
        <v>108.505</v>
      </c>
      <c r="V19" s="98">
        <v>600000</v>
      </c>
      <c r="W19" t="s">
        <v>9</v>
      </c>
      <c r="X19" t="s">
        <v>10</v>
      </c>
      <c r="Y19" s="98">
        <v>662885</v>
      </c>
      <c r="Z19" s="98">
        <v>662885</v>
      </c>
      <c r="AA19" t="b">
        <v>0</v>
      </c>
    </row>
    <row r="20" spans="1:27" x14ac:dyDescent="0.35">
      <c r="A20" t="s">
        <v>48</v>
      </c>
      <c r="B20" t="s">
        <v>48</v>
      </c>
      <c r="C20" t="s">
        <v>49</v>
      </c>
      <c r="D20" t="s">
        <v>50</v>
      </c>
      <c r="E20" t="s">
        <v>4</v>
      </c>
      <c r="F20" s="99">
        <v>45557</v>
      </c>
      <c r="G20" t="s">
        <v>30</v>
      </c>
      <c r="H20" t="s">
        <v>14</v>
      </c>
      <c r="I20" s="98">
        <v>-1600000</v>
      </c>
      <c r="J20">
        <v>102.883</v>
      </c>
      <c r="K20">
        <v>40</v>
      </c>
      <c r="L20" s="98">
        <v>-2400</v>
      </c>
      <c r="M20">
        <v>-27</v>
      </c>
      <c r="N20" t="s">
        <v>7</v>
      </c>
      <c r="O20">
        <v>-631</v>
      </c>
      <c r="P20">
        <v>-638</v>
      </c>
      <c r="Q20">
        <v>-253</v>
      </c>
      <c r="R20">
        <v>-0.81</v>
      </c>
      <c r="S20" s="98">
        <v>-1646128</v>
      </c>
      <c r="T20" t="s">
        <v>1302</v>
      </c>
      <c r="U20">
        <v>102.733</v>
      </c>
      <c r="V20" s="98">
        <v>-1600000</v>
      </c>
      <c r="W20" t="s">
        <v>9</v>
      </c>
      <c r="X20" t="s">
        <v>10</v>
      </c>
      <c r="Y20" s="98">
        <v>-1647470</v>
      </c>
      <c r="Z20" s="98">
        <v>1647470</v>
      </c>
      <c r="AA20" t="b">
        <v>0</v>
      </c>
    </row>
    <row r="21" spans="1:27" x14ac:dyDescent="0.35">
      <c r="A21" t="s">
        <v>891</v>
      </c>
      <c r="B21" t="s">
        <v>891</v>
      </c>
      <c r="C21" t="s">
        <v>892</v>
      </c>
      <c r="D21" t="s">
        <v>893</v>
      </c>
      <c r="E21" t="s">
        <v>4</v>
      </c>
      <c r="G21" t="s">
        <v>894</v>
      </c>
      <c r="H21" t="s">
        <v>14</v>
      </c>
      <c r="I21">
        <v>0</v>
      </c>
      <c r="J21">
        <v>106.458</v>
      </c>
      <c r="K21">
        <v>-34</v>
      </c>
      <c r="L21">
        <v>0</v>
      </c>
      <c r="M21">
        <v>0</v>
      </c>
      <c r="N21" t="s">
        <v>895</v>
      </c>
      <c r="O21">
        <v>0</v>
      </c>
      <c r="P21">
        <v>0</v>
      </c>
      <c r="Q21">
        <v>0</v>
      </c>
      <c r="R21">
        <v>0</v>
      </c>
      <c r="S21">
        <v>0</v>
      </c>
      <c r="T21" t="s">
        <v>31</v>
      </c>
      <c r="U21">
        <v>106.458</v>
      </c>
      <c r="V21">
        <v>0</v>
      </c>
      <c r="W21" t="s">
        <v>9</v>
      </c>
      <c r="X21" t="s">
        <v>10</v>
      </c>
      <c r="Y21">
        <v>0</v>
      </c>
      <c r="Z21">
        <v>0</v>
      </c>
    </row>
    <row r="22" spans="1:27" x14ac:dyDescent="0.35">
      <c r="A22" t="s">
        <v>1273</v>
      </c>
      <c r="B22" t="s">
        <v>1273</v>
      </c>
      <c r="C22" t="s">
        <v>1274</v>
      </c>
      <c r="D22" t="s">
        <v>893</v>
      </c>
      <c r="E22" t="s">
        <v>4</v>
      </c>
      <c r="G22" t="s">
        <v>894</v>
      </c>
      <c r="H22" t="s">
        <v>14</v>
      </c>
      <c r="I22">
        <v>0</v>
      </c>
      <c r="J22">
        <v>106.877</v>
      </c>
      <c r="K22">
        <v>-23</v>
      </c>
      <c r="L22">
        <v>0</v>
      </c>
      <c r="M22">
        <v>0</v>
      </c>
      <c r="N22" t="s">
        <v>895</v>
      </c>
      <c r="O22">
        <v>0</v>
      </c>
      <c r="P22">
        <v>0</v>
      </c>
      <c r="Q22">
        <v>0</v>
      </c>
      <c r="R22">
        <v>0</v>
      </c>
      <c r="S22">
        <v>0</v>
      </c>
      <c r="T22" t="s">
        <v>31</v>
      </c>
      <c r="U22">
        <v>106.877</v>
      </c>
      <c r="V22">
        <v>0</v>
      </c>
      <c r="W22" t="s">
        <v>9</v>
      </c>
      <c r="X22" t="s">
        <v>10</v>
      </c>
      <c r="Y22">
        <v>0</v>
      </c>
      <c r="Z22">
        <v>0</v>
      </c>
    </row>
    <row r="23" spans="1:27" x14ac:dyDescent="0.35">
      <c r="A23" t="s">
        <v>51</v>
      </c>
      <c r="B23" t="s">
        <v>51</v>
      </c>
      <c r="C23" t="s">
        <v>52</v>
      </c>
      <c r="D23" t="s">
        <v>53</v>
      </c>
      <c r="E23" t="s">
        <v>4</v>
      </c>
      <c r="F23" s="99">
        <v>45769</v>
      </c>
      <c r="G23" t="s">
        <v>30</v>
      </c>
      <c r="H23" t="s">
        <v>14</v>
      </c>
      <c r="I23" s="98">
        <v>4484000</v>
      </c>
      <c r="J23">
        <v>109.4</v>
      </c>
      <c r="K23">
        <v>39</v>
      </c>
      <c r="L23" s="98">
        <v>4843</v>
      </c>
      <c r="M23">
        <v>246</v>
      </c>
      <c r="N23" t="s">
        <v>7</v>
      </c>
      <c r="O23" s="98">
        <v>2115</v>
      </c>
      <c r="P23" s="98">
        <v>2135</v>
      </c>
      <c r="Q23">
        <v>829</v>
      </c>
      <c r="R23">
        <v>2.68</v>
      </c>
      <c r="S23" s="98">
        <v>4905496</v>
      </c>
      <c r="T23" t="s">
        <v>1302</v>
      </c>
      <c r="U23">
        <v>109.292</v>
      </c>
      <c r="V23" s="98">
        <v>4484000</v>
      </c>
      <c r="W23" t="s">
        <v>9</v>
      </c>
      <c r="X23" t="s">
        <v>10</v>
      </c>
      <c r="Y23" s="98">
        <v>4955127</v>
      </c>
      <c r="Z23" s="98">
        <v>4955127</v>
      </c>
      <c r="AA23" t="b">
        <v>0</v>
      </c>
    </row>
    <row r="24" spans="1:27" x14ac:dyDescent="0.35">
      <c r="A24" t="s">
        <v>665</v>
      </c>
      <c r="B24" t="s">
        <v>665</v>
      </c>
      <c r="C24" t="s">
        <v>666</v>
      </c>
      <c r="D24" t="s">
        <v>60</v>
      </c>
      <c r="E24" t="s">
        <v>4</v>
      </c>
      <c r="F24" s="99">
        <v>47511</v>
      </c>
      <c r="G24" t="s">
        <v>30</v>
      </c>
      <c r="H24" t="s">
        <v>14</v>
      </c>
      <c r="I24" s="98">
        <v>-3000000</v>
      </c>
      <c r="J24">
        <v>106.01900000000001</v>
      </c>
      <c r="K24">
        <v>52</v>
      </c>
      <c r="L24" s="98">
        <v>-8430</v>
      </c>
      <c r="M24">
        <v>-72</v>
      </c>
      <c r="N24" t="s">
        <v>7</v>
      </c>
      <c r="O24" s="98">
        <v>-2898</v>
      </c>
      <c r="P24" s="98">
        <v>-2933</v>
      </c>
      <c r="Q24" s="98">
        <v>-1536</v>
      </c>
      <c r="R24">
        <v>-4.95</v>
      </c>
      <c r="S24" s="98">
        <v>-3180570</v>
      </c>
      <c r="T24" t="s">
        <v>1302</v>
      </c>
      <c r="U24">
        <v>105.738</v>
      </c>
      <c r="V24" s="98">
        <v>-3000000</v>
      </c>
      <c r="W24" t="s">
        <v>9</v>
      </c>
      <c r="X24" t="s">
        <v>10</v>
      </c>
      <c r="Y24" s="98">
        <v>-3194666</v>
      </c>
      <c r="Z24" s="98">
        <v>3194666</v>
      </c>
      <c r="AA24" t="b">
        <v>0</v>
      </c>
    </row>
    <row r="25" spans="1:27" x14ac:dyDescent="0.35">
      <c r="A25" t="s">
        <v>58</v>
      </c>
      <c r="B25" t="s">
        <v>58</v>
      </c>
      <c r="C25" t="s">
        <v>59</v>
      </c>
      <c r="D25" t="s">
        <v>60</v>
      </c>
      <c r="E25" t="s">
        <v>4</v>
      </c>
      <c r="F25" s="99">
        <v>47215</v>
      </c>
      <c r="G25" t="s">
        <v>30</v>
      </c>
      <c r="H25" t="s">
        <v>14</v>
      </c>
      <c r="I25" s="98">
        <v>2000000</v>
      </c>
      <c r="J25">
        <v>123.958</v>
      </c>
      <c r="K25">
        <v>47</v>
      </c>
      <c r="L25" s="98">
        <v>5220</v>
      </c>
      <c r="M25">
        <v>164</v>
      </c>
      <c r="N25" t="s">
        <v>7</v>
      </c>
      <c r="O25" s="98">
        <v>1897</v>
      </c>
      <c r="P25" s="98">
        <v>1919</v>
      </c>
      <c r="Q25">
        <v>906</v>
      </c>
      <c r="R25">
        <v>2.92</v>
      </c>
      <c r="S25" s="98">
        <v>2479160</v>
      </c>
      <c r="T25" t="s">
        <v>1302</v>
      </c>
      <c r="U25">
        <v>123.697</v>
      </c>
      <c r="V25" s="98">
        <v>2000000</v>
      </c>
      <c r="W25" t="s">
        <v>9</v>
      </c>
      <c r="X25" t="s">
        <v>10</v>
      </c>
      <c r="Y25" s="98">
        <v>2514831</v>
      </c>
      <c r="Z25" s="98">
        <v>2514831</v>
      </c>
      <c r="AA25" t="b">
        <v>0</v>
      </c>
    </row>
    <row r="26" spans="1:27" x14ac:dyDescent="0.35">
      <c r="A26" t="s">
        <v>61</v>
      </c>
      <c r="B26" t="s">
        <v>61</v>
      </c>
      <c r="C26" t="s">
        <v>62</v>
      </c>
      <c r="D26" t="s">
        <v>63</v>
      </c>
      <c r="E26" t="s">
        <v>4</v>
      </c>
      <c r="F26" s="99">
        <v>48791</v>
      </c>
      <c r="G26" t="s">
        <v>30</v>
      </c>
      <c r="H26" t="s">
        <v>14</v>
      </c>
      <c r="I26" s="98">
        <v>-2847000</v>
      </c>
      <c r="J26">
        <v>122.08</v>
      </c>
      <c r="K26">
        <v>31</v>
      </c>
      <c r="L26" s="98">
        <v>-10107</v>
      </c>
      <c r="M26">
        <v>-146</v>
      </c>
      <c r="N26" t="s">
        <v>7</v>
      </c>
      <c r="O26" s="98">
        <v>-4090</v>
      </c>
      <c r="P26" s="98">
        <v>-4141</v>
      </c>
      <c r="Q26" s="98">
        <v>-1281</v>
      </c>
      <c r="R26">
        <v>-4.13</v>
      </c>
      <c r="S26" s="98">
        <v>-3475618</v>
      </c>
      <c r="T26" t="s">
        <v>1302</v>
      </c>
      <c r="U26">
        <v>121.72499999999999</v>
      </c>
      <c r="V26" s="98">
        <v>-2847000</v>
      </c>
      <c r="W26" t="s">
        <v>9</v>
      </c>
      <c r="X26" t="s">
        <v>10</v>
      </c>
      <c r="Y26" s="98">
        <v>-3477080</v>
      </c>
      <c r="Z26" s="98">
        <v>3477080</v>
      </c>
      <c r="AA26" t="b">
        <v>0</v>
      </c>
    </row>
    <row r="27" spans="1:27" x14ac:dyDescent="0.35">
      <c r="A27" t="s">
        <v>64</v>
      </c>
      <c r="B27" t="s">
        <v>64</v>
      </c>
      <c r="C27" t="s">
        <v>65</v>
      </c>
      <c r="D27" t="s">
        <v>63</v>
      </c>
      <c r="E27" t="s">
        <v>4</v>
      </c>
      <c r="F27" s="99">
        <v>47683</v>
      </c>
      <c r="G27" t="s">
        <v>30</v>
      </c>
      <c r="H27" t="s">
        <v>14</v>
      </c>
      <c r="I27" s="98">
        <v>15000000</v>
      </c>
      <c r="J27">
        <v>101.69199999999999</v>
      </c>
      <c r="K27">
        <v>35</v>
      </c>
      <c r="L27" s="98">
        <v>39000</v>
      </c>
      <c r="M27">
        <v>103</v>
      </c>
      <c r="N27" t="s">
        <v>7</v>
      </c>
      <c r="O27" s="98">
        <v>14980</v>
      </c>
      <c r="P27" s="98">
        <v>15171</v>
      </c>
      <c r="Q27" s="98">
        <v>5247</v>
      </c>
      <c r="R27">
        <v>16.93</v>
      </c>
      <c r="S27" s="98">
        <v>15253800</v>
      </c>
      <c r="T27" t="s">
        <v>1302</v>
      </c>
      <c r="U27">
        <v>101.432</v>
      </c>
      <c r="V27" s="98">
        <v>15000000</v>
      </c>
      <c r="W27" t="s">
        <v>9</v>
      </c>
      <c r="X27" t="s">
        <v>10</v>
      </c>
      <c r="Y27" s="98">
        <v>15256060</v>
      </c>
      <c r="Z27" s="98">
        <v>15256060</v>
      </c>
      <c r="AA27" t="b">
        <v>0</v>
      </c>
    </row>
    <row r="28" spans="1:27" x14ac:dyDescent="0.35">
      <c r="A28" t="s">
        <v>66</v>
      </c>
      <c r="B28" t="s">
        <v>66</v>
      </c>
      <c r="C28" t="s">
        <v>67</v>
      </c>
      <c r="D28" t="s">
        <v>68</v>
      </c>
      <c r="E28" t="s">
        <v>4</v>
      </c>
      <c r="F28" s="99">
        <v>44389</v>
      </c>
      <c r="G28" t="s">
        <v>30</v>
      </c>
      <c r="H28" t="s">
        <v>14</v>
      </c>
      <c r="I28" s="98">
        <v>-1200000</v>
      </c>
      <c r="J28">
        <v>103.593</v>
      </c>
      <c r="K28">
        <v>12</v>
      </c>
      <c r="L28">
        <v>180</v>
      </c>
      <c r="M28">
        <v>-164</v>
      </c>
      <c r="N28" t="s">
        <v>7</v>
      </c>
      <c r="O28">
        <v>-84</v>
      </c>
      <c r="P28">
        <v>-85</v>
      </c>
      <c r="Q28">
        <v>-10</v>
      </c>
      <c r="R28">
        <v>-0.03</v>
      </c>
      <c r="S28" s="98">
        <v>-1243116</v>
      </c>
      <c r="T28" t="s">
        <v>1302</v>
      </c>
      <c r="U28">
        <v>103.608</v>
      </c>
      <c r="V28" s="98">
        <v>-1200000</v>
      </c>
      <c r="W28" t="s">
        <v>9</v>
      </c>
      <c r="X28" t="s">
        <v>10</v>
      </c>
      <c r="Y28" s="98">
        <v>-1263006</v>
      </c>
      <c r="Z28" s="98">
        <v>1263006</v>
      </c>
      <c r="AA28" t="b">
        <v>0</v>
      </c>
    </row>
    <row r="29" spans="1:27" x14ac:dyDescent="0.35">
      <c r="A29" t="s">
        <v>69</v>
      </c>
      <c r="B29" t="s">
        <v>69</v>
      </c>
      <c r="C29" t="s">
        <v>70</v>
      </c>
      <c r="D29" t="s">
        <v>71</v>
      </c>
      <c r="E29" t="s">
        <v>4</v>
      </c>
      <c r="F29" s="99">
        <v>46050</v>
      </c>
      <c r="G29" t="s">
        <v>30</v>
      </c>
      <c r="H29" t="s">
        <v>14</v>
      </c>
      <c r="I29" s="98">
        <v>1300000</v>
      </c>
      <c r="J29">
        <v>105.758</v>
      </c>
      <c r="K29">
        <v>29</v>
      </c>
      <c r="L29" s="98">
        <v>1690</v>
      </c>
      <c r="M29">
        <v>43</v>
      </c>
      <c r="N29" t="s">
        <v>7</v>
      </c>
      <c r="O29">
        <v>738</v>
      </c>
      <c r="P29">
        <v>746</v>
      </c>
      <c r="Q29">
        <v>216</v>
      </c>
      <c r="R29">
        <v>0.7</v>
      </c>
      <c r="S29" s="98">
        <v>1374854</v>
      </c>
      <c r="T29" t="s">
        <v>1302</v>
      </c>
      <c r="U29">
        <v>105.628</v>
      </c>
      <c r="V29" s="98">
        <v>1300000</v>
      </c>
      <c r="W29" t="s">
        <v>9</v>
      </c>
      <c r="X29" t="s">
        <v>10</v>
      </c>
      <c r="Y29" s="98">
        <v>1380962</v>
      </c>
      <c r="Z29" s="98">
        <v>1380962</v>
      </c>
      <c r="AA29" t="b">
        <v>0</v>
      </c>
    </row>
    <row r="30" spans="1:27" x14ac:dyDescent="0.35">
      <c r="A30" t="s">
        <v>75</v>
      </c>
      <c r="B30" t="s">
        <v>75</v>
      </c>
      <c r="C30" t="s">
        <v>76</v>
      </c>
      <c r="D30" t="s">
        <v>74</v>
      </c>
      <c r="E30" t="s">
        <v>4</v>
      </c>
      <c r="F30" s="99">
        <v>46748</v>
      </c>
      <c r="G30" t="s">
        <v>30</v>
      </c>
      <c r="H30" t="s">
        <v>14</v>
      </c>
      <c r="I30" s="98">
        <v>-200000</v>
      </c>
      <c r="J30">
        <v>112.804</v>
      </c>
      <c r="K30">
        <v>40</v>
      </c>
      <c r="L30">
        <v>-434</v>
      </c>
      <c r="M30">
        <v>-10</v>
      </c>
      <c r="N30" t="s">
        <v>7</v>
      </c>
      <c r="O30">
        <v>-158</v>
      </c>
      <c r="P30">
        <v>-160</v>
      </c>
      <c r="Q30">
        <v>-64</v>
      </c>
      <c r="R30">
        <v>-0.21</v>
      </c>
      <c r="S30" s="98">
        <v>-225608</v>
      </c>
      <c r="T30" t="s">
        <v>1302</v>
      </c>
      <c r="U30">
        <v>112.587</v>
      </c>
      <c r="V30" s="98">
        <v>-200000</v>
      </c>
      <c r="W30" t="s">
        <v>9</v>
      </c>
      <c r="X30" t="s">
        <v>10</v>
      </c>
      <c r="Y30" s="98">
        <v>-227794</v>
      </c>
      <c r="Z30" s="98">
        <v>227794</v>
      </c>
      <c r="AA30" t="b">
        <v>0</v>
      </c>
    </row>
    <row r="31" spans="1:27" x14ac:dyDescent="0.35">
      <c r="A31" t="s">
        <v>77</v>
      </c>
      <c r="B31" t="s">
        <v>77</v>
      </c>
      <c r="C31" t="s">
        <v>78</v>
      </c>
      <c r="D31" t="s">
        <v>74</v>
      </c>
      <c r="E31" t="s">
        <v>4</v>
      </c>
      <c r="F31" s="99">
        <v>46004</v>
      </c>
      <c r="G31" t="s">
        <v>30</v>
      </c>
      <c r="H31" t="s">
        <v>14</v>
      </c>
      <c r="I31" s="98">
        <v>1000000</v>
      </c>
      <c r="J31">
        <v>106.114</v>
      </c>
      <c r="K31">
        <v>33</v>
      </c>
      <c r="L31" s="98">
        <v>1390</v>
      </c>
      <c r="M31">
        <v>27</v>
      </c>
      <c r="N31" t="s">
        <v>7</v>
      </c>
      <c r="O31">
        <v>555</v>
      </c>
      <c r="P31">
        <v>561</v>
      </c>
      <c r="Q31">
        <v>184</v>
      </c>
      <c r="R31">
        <v>0.59</v>
      </c>
      <c r="S31" s="98">
        <v>1061140</v>
      </c>
      <c r="T31" t="s">
        <v>1302</v>
      </c>
      <c r="U31">
        <v>105.97499999999999</v>
      </c>
      <c r="V31" s="98">
        <v>1000000</v>
      </c>
      <c r="W31" t="s">
        <v>9</v>
      </c>
      <c r="X31" t="s">
        <v>10</v>
      </c>
      <c r="Y31" s="98">
        <v>1067770</v>
      </c>
      <c r="Z31" s="98">
        <v>1067770</v>
      </c>
      <c r="AA31" t="b">
        <v>0</v>
      </c>
    </row>
    <row r="32" spans="1:27" x14ac:dyDescent="0.35">
      <c r="A32" t="s">
        <v>79</v>
      </c>
      <c r="B32" t="s">
        <v>79</v>
      </c>
      <c r="C32" t="s">
        <v>80</v>
      </c>
      <c r="D32" t="s">
        <v>74</v>
      </c>
      <c r="E32" t="s">
        <v>4</v>
      </c>
      <c r="F32" s="99">
        <v>45827</v>
      </c>
      <c r="G32" t="s">
        <v>30</v>
      </c>
      <c r="H32" t="s">
        <v>14</v>
      </c>
      <c r="I32">
        <v>0</v>
      </c>
      <c r="J32">
        <v>104.932</v>
      </c>
      <c r="K32">
        <v>32</v>
      </c>
      <c r="L32">
        <v>0</v>
      </c>
      <c r="M32">
        <v>77</v>
      </c>
      <c r="N32" t="s">
        <v>7</v>
      </c>
      <c r="O32">
        <v>0</v>
      </c>
      <c r="P32">
        <v>0</v>
      </c>
      <c r="Q32">
        <v>0</v>
      </c>
      <c r="R32">
        <v>0</v>
      </c>
      <c r="S32">
        <v>0</v>
      </c>
      <c r="T32" t="s">
        <v>1302</v>
      </c>
      <c r="U32">
        <v>104.932</v>
      </c>
      <c r="V32">
        <v>0</v>
      </c>
      <c r="W32" t="s">
        <v>9</v>
      </c>
      <c r="X32" t="s">
        <v>10</v>
      </c>
      <c r="Y32">
        <v>0</v>
      </c>
      <c r="Z32">
        <v>0</v>
      </c>
      <c r="AA32" t="b">
        <v>0</v>
      </c>
    </row>
    <row r="33" spans="1:27" x14ac:dyDescent="0.35">
      <c r="A33" t="s">
        <v>86</v>
      </c>
      <c r="B33" t="s">
        <v>86</v>
      </c>
      <c r="C33" t="s">
        <v>87</v>
      </c>
      <c r="D33" t="s">
        <v>83</v>
      </c>
      <c r="E33" t="s">
        <v>4</v>
      </c>
      <c r="F33" s="99">
        <v>48431</v>
      </c>
      <c r="G33" t="s">
        <v>30</v>
      </c>
      <c r="H33" t="s">
        <v>14</v>
      </c>
      <c r="I33" s="98">
        <v>2000000</v>
      </c>
      <c r="J33">
        <v>100.905</v>
      </c>
      <c r="K33">
        <v>48</v>
      </c>
      <c r="L33" s="98">
        <v>7480</v>
      </c>
      <c r="M33">
        <v>0</v>
      </c>
      <c r="N33" t="s">
        <v>7</v>
      </c>
      <c r="O33" s="98">
        <v>2363</v>
      </c>
      <c r="P33" s="98">
        <v>2394</v>
      </c>
      <c r="Q33" s="98">
        <v>1142</v>
      </c>
      <c r="R33">
        <v>3.68</v>
      </c>
      <c r="S33" s="98">
        <v>2018100</v>
      </c>
      <c r="T33" t="s">
        <v>1302</v>
      </c>
      <c r="U33">
        <v>100.53100000000001</v>
      </c>
      <c r="V33" s="98">
        <v>2000000</v>
      </c>
      <c r="W33" t="s">
        <v>9</v>
      </c>
      <c r="X33" t="s">
        <v>10</v>
      </c>
      <c r="Y33" s="98">
        <v>2018203</v>
      </c>
      <c r="Z33" s="98">
        <v>2018203</v>
      </c>
      <c r="AA33" t="b">
        <v>0</v>
      </c>
    </row>
    <row r="34" spans="1:27" x14ac:dyDescent="0.35">
      <c r="A34" t="s">
        <v>81</v>
      </c>
      <c r="B34" t="s">
        <v>81</v>
      </c>
      <c r="C34" t="s">
        <v>82</v>
      </c>
      <c r="D34" t="s">
        <v>83</v>
      </c>
      <c r="E34" t="s">
        <v>4</v>
      </c>
      <c r="F34" s="99">
        <v>46878</v>
      </c>
      <c r="G34" t="s">
        <v>30</v>
      </c>
      <c r="H34" t="s">
        <v>14</v>
      </c>
      <c r="I34" s="98">
        <v>-2300000</v>
      </c>
      <c r="J34">
        <v>111.169</v>
      </c>
      <c r="K34">
        <v>27</v>
      </c>
      <c r="L34" s="98">
        <v>-3864</v>
      </c>
      <c r="M34">
        <v>-87</v>
      </c>
      <c r="N34" t="s">
        <v>7</v>
      </c>
      <c r="O34" s="98">
        <v>-1838</v>
      </c>
      <c r="P34" s="98">
        <v>-1858</v>
      </c>
      <c r="Q34">
        <v>-507</v>
      </c>
      <c r="R34">
        <v>-1.63</v>
      </c>
      <c r="S34" s="98">
        <v>-2556887</v>
      </c>
      <c r="T34" t="s">
        <v>1302</v>
      </c>
      <c r="U34">
        <v>111.001</v>
      </c>
      <c r="V34" s="98">
        <v>-2300000</v>
      </c>
      <c r="W34" t="s">
        <v>9</v>
      </c>
      <c r="X34" t="s">
        <v>10</v>
      </c>
      <c r="Y34" s="98">
        <v>-2573263</v>
      </c>
      <c r="Z34" s="98">
        <v>2573263</v>
      </c>
      <c r="AA34" t="b">
        <v>0</v>
      </c>
    </row>
    <row r="35" spans="1:27" x14ac:dyDescent="0.35">
      <c r="A35" t="s">
        <v>84</v>
      </c>
      <c r="B35" t="s">
        <v>84</v>
      </c>
      <c r="C35" t="s">
        <v>85</v>
      </c>
      <c r="D35" t="s">
        <v>83</v>
      </c>
      <c r="E35" t="s">
        <v>4</v>
      </c>
      <c r="F35" s="99">
        <v>45694</v>
      </c>
      <c r="G35" t="s">
        <v>30</v>
      </c>
      <c r="H35" t="s">
        <v>14</v>
      </c>
      <c r="I35" s="98">
        <v>1800000</v>
      </c>
      <c r="J35">
        <v>106.355</v>
      </c>
      <c r="K35">
        <v>26</v>
      </c>
      <c r="L35" s="98">
        <v>1350</v>
      </c>
      <c r="M35">
        <v>61</v>
      </c>
      <c r="N35" t="s">
        <v>7</v>
      </c>
      <c r="O35">
        <v>798</v>
      </c>
      <c r="P35">
        <v>806</v>
      </c>
      <c r="Q35">
        <v>213</v>
      </c>
      <c r="R35">
        <v>0.69</v>
      </c>
      <c r="S35" s="98">
        <v>1914390</v>
      </c>
      <c r="T35" t="s">
        <v>1302</v>
      </c>
      <c r="U35">
        <v>106.28</v>
      </c>
      <c r="V35" s="98">
        <v>1800000</v>
      </c>
      <c r="W35" t="s">
        <v>9</v>
      </c>
      <c r="X35" t="s">
        <v>10</v>
      </c>
      <c r="Y35" s="98">
        <v>1931480</v>
      </c>
      <c r="Z35" s="98">
        <v>1931480</v>
      </c>
      <c r="AA35" t="b">
        <v>0</v>
      </c>
    </row>
    <row r="36" spans="1:27" x14ac:dyDescent="0.35">
      <c r="A36" t="s">
        <v>896</v>
      </c>
      <c r="B36" t="s">
        <v>896</v>
      </c>
      <c r="C36" t="s">
        <v>897</v>
      </c>
      <c r="D36" t="s">
        <v>90</v>
      </c>
      <c r="E36" t="s">
        <v>4</v>
      </c>
      <c r="F36" s="99">
        <v>47506</v>
      </c>
      <c r="G36" t="s">
        <v>30</v>
      </c>
      <c r="H36" t="s">
        <v>14</v>
      </c>
      <c r="I36" s="98">
        <v>-6000000</v>
      </c>
      <c r="J36">
        <v>103.372</v>
      </c>
      <c r="K36">
        <v>56</v>
      </c>
      <c r="L36" s="98">
        <v>-21300</v>
      </c>
      <c r="M36">
        <v>-102</v>
      </c>
      <c r="N36" t="s">
        <v>7</v>
      </c>
      <c r="O36" s="98">
        <v>-5552</v>
      </c>
      <c r="P36" s="98">
        <v>-5617</v>
      </c>
      <c r="Q36" s="98">
        <v>-3131</v>
      </c>
      <c r="R36">
        <v>-10.1</v>
      </c>
      <c r="S36" s="98">
        <v>-6202320</v>
      </c>
      <c r="T36" t="s">
        <v>1302</v>
      </c>
      <c r="U36">
        <v>103.017</v>
      </c>
      <c r="V36" s="98">
        <v>-6000000</v>
      </c>
      <c r="W36" t="s">
        <v>9</v>
      </c>
      <c r="X36" t="s">
        <v>10</v>
      </c>
      <c r="Y36" s="98">
        <v>-6232238</v>
      </c>
      <c r="Z36" s="98">
        <v>6232238</v>
      </c>
      <c r="AA36" t="b">
        <v>0</v>
      </c>
    </row>
    <row r="37" spans="1:27" x14ac:dyDescent="0.35">
      <c r="A37" t="s">
        <v>88</v>
      </c>
      <c r="B37" t="s">
        <v>88</v>
      </c>
      <c r="C37" t="s">
        <v>89</v>
      </c>
      <c r="D37" t="s">
        <v>90</v>
      </c>
      <c r="E37" t="s">
        <v>4</v>
      </c>
      <c r="F37" s="99">
        <v>47015</v>
      </c>
      <c r="G37" t="s">
        <v>30</v>
      </c>
      <c r="H37" t="s">
        <v>14</v>
      </c>
      <c r="I37" s="98">
        <v>-1380000</v>
      </c>
      <c r="J37">
        <v>107.489</v>
      </c>
      <c r="K37">
        <v>53</v>
      </c>
      <c r="L37" s="98">
        <v>-3767</v>
      </c>
      <c r="M37">
        <v>-43</v>
      </c>
      <c r="N37" t="s">
        <v>7</v>
      </c>
      <c r="O37" s="98">
        <v>-1122</v>
      </c>
      <c r="P37" s="98">
        <v>-1134</v>
      </c>
      <c r="Q37">
        <v>-603</v>
      </c>
      <c r="R37">
        <v>-1.95</v>
      </c>
      <c r="S37" s="98">
        <v>-1483348</v>
      </c>
      <c r="T37" t="s">
        <v>1302</v>
      </c>
      <c r="U37">
        <v>107.21599999999999</v>
      </c>
      <c r="V37" s="98">
        <v>-1380000</v>
      </c>
      <c r="W37" t="s">
        <v>9</v>
      </c>
      <c r="X37" t="s">
        <v>10</v>
      </c>
      <c r="Y37" s="98">
        <v>-1485560</v>
      </c>
      <c r="Z37" s="98">
        <v>1485560</v>
      </c>
      <c r="AA37" t="b">
        <v>0</v>
      </c>
    </row>
    <row r="38" spans="1:27" x14ac:dyDescent="0.35">
      <c r="A38" t="s">
        <v>91</v>
      </c>
      <c r="B38" t="s">
        <v>91</v>
      </c>
      <c r="C38" t="s">
        <v>92</v>
      </c>
      <c r="D38" t="s">
        <v>90</v>
      </c>
      <c r="E38" t="s">
        <v>4</v>
      </c>
      <c r="F38" s="99">
        <v>46404</v>
      </c>
      <c r="G38" t="s">
        <v>30</v>
      </c>
      <c r="H38" t="s">
        <v>14</v>
      </c>
      <c r="I38" s="98">
        <v>575000</v>
      </c>
      <c r="J38">
        <v>108.688</v>
      </c>
      <c r="K38">
        <v>53</v>
      </c>
      <c r="L38" s="98">
        <v>1265</v>
      </c>
      <c r="M38">
        <v>24</v>
      </c>
      <c r="N38" t="s">
        <v>7</v>
      </c>
      <c r="O38">
        <v>372</v>
      </c>
      <c r="P38">
        <v>376</v>
      </c>
      <c r="Q38">
        <v>199</v>
      </c>
      <c r="R38">
        <v>0.64</v>
      </c>
      <c r="S38" s="98">
        <v>624956</v>
      </c>
      <c r="T38" t="s">
        <v>1302</v>
      </c>
      <c r="U38">
        <v>108.468</v>
      </c>
      <c r="V38" s="98">
        <v>575000</v>
      </c>
      <c r="W38" t="s">
        <v>9</v>
      </c>
      <c r="X38" t="s">
        <v>10</v>
      </c>
      <c r="Y38" s="98">
        <v>631979</v>
      </c>
      <c r="Z38" s="98">
        <v>631979</v>
      </c>
      <c r="AA38" t="b">
        <v>0</v>
      </c>
    </row>
    <row r="39" spans="1:27" x14ac:dyDescent="0.35">
      <c r="A39" t="s">
        <v>96</v>
      </c>
      <c r="B39" t="s">
        <v>96</v>
      </c>
      <c r="C39" t="s">
        <v>97</v>
      </c>
      <c r="D39" t="s">
        <v>95</v>
      </c>
      <c r="E39" t="s">
        <v>4</v>
      </c>
      <c r="F39" s="99">
        <v>47988</v>
      </c>
      <c r="G39" t="s">
        <v>30</v>
      </c>
      <c r="H39" t="s">
        <v>14</v>
      </c>
      <c r="I39" s="98">
        <v>-2000000</v>
      </c>
      <c r="J39">
        <v>106.73</v>
      </c>
      <c r="K39">
        <v>47</v>
      </c>
      <c r="L39" s="98">
        <v>-8540</v>
      </c>
      <c r="M39">
        <v>-48</v>
      </c>
      <c r="N39" t="s">
        <v>7</v>
      </c>
      <c r="O39" s="98">
        <v>-2203</v>
      </c>
      <c r="P39" s="98">
        <v>-2230</v>
      </c>
      <c r="Q39" s="98">
        <v>-1056</v>
      </c>
      <c r="R39">
        <v>-3.41</v>
      </c>
      <c r="S39" s="98">
        <v>-2134600</v>
      </c>
      <c r="T39" t="s">
        <v>1302</v>
      </c>
      <c r="U39">
        <v>106.303</v>
      </c>
      <c r="V39" s="98">
        <v>-2000000</v>
      </c>
      <c r="W39" t="s">
        <v>9</v>
      </c>
      <c r="X39" t="s">
        <v>10</v>
      </c>
      <c r="Y39" s="98">
        <v>-2138532</v>
      </c>
      <c r="Z39" s="98">
        <v>2138532</v>
      </c>
      <c r="AA39" t="b">
        <v>0</v>
      </c>
    </row>
    <row r="40" spans="1:27" x14ac:dyDescent="0.35">
      <c r="A40" t="s">
        <v>583</v>
      </c>
      <c r="B40" t="s">
        <v>583</v>
      </c>
      <c r="C40" t="s">
        <v>584</v>
      </c>
      <c r="D40" t="s">
        <v>95</v>
      </c>
      <c r="E40" t="s">
        <v>4</v>
      </c>
      <c r="F40" s="99">
        <v>45440</v>
      </c>
      <c r="G40" t="s">
        <v>30</v>
      </c>
      <c r="H40" t="s">
        <v>14</v>
      </c>
      <c r="I40" s="98">
        <v>1000000</v>
      </c>
      <c r="J40">
        <v>100.76900000000001</v>
      </c>
      <c r="K40">
        <v>31</v>
      </c>
      <c r="L40">
        <v>790</v>
      </c>
      <c r="M40">
        <v>0</v>
      </c>
      <c r="N40" t="s">
        <v>7</v>
      </c>
      <c r="O40">
        <v>383</v>
      </c>
      <c r="P40">
        <v>387</v>
      </c>
      <c r="Q40">
        <v>121</v>
      </c>
      <c r="R40">
        <v>0.39</v>
      </c>
      <c r="S40" s="98">
        <v>1007690</v>
      </c>
      <c r="T40" t="s">
        <v>1302</v>
      </c>
      <c r="U40">
        <v>100.69</v>
      </c>
      <c r="V40" s="98">
        <v>1000000</v>
      </c>
      <c r="W40" t="s">
        <v>9</v>
      </c>
      <c r="X40" t="s">
        <v>10</v>
      </c>
      <c r="Y40" s="98">
        <v>1007690</v>
      </c>
      <c r="Z40" s="98">
        <v>1007690</v>
      </c>
      <c r="AA40" t="b">
        <v>0</v>
      </c>
    </row>
    <row r="41" spans="1:27" x14ac:dyDescent="0.35">
      <c r="A41" t="s">
        <v>98</v>
      </c>
      <c r="B41" t="s">
        <v>98</v>
      </c>
      <c r="C41" t="s">
        <v>99</v>
      </c>
      <c r="D41" t="s">
        <v>100</v>
      </c>
      <c r="E41" t="s">
        <v>4</v>
      </c>
      <c r="F41" s="99">
        <v>46343</v>
      </c>
      <c r="G41" t="s">
        <v>30</v>
      </c>
      <c r="H41" t="s">
        <v>14</v>
      </c>
      <c r="I41" s="98">
        <v>-1400000</v>
      </c>
      <c r="J41">
        <v>108.309</v>
      </c>
      <c r="K41">
        <v>36</v>
      </c>
      <c r="L41" s="98">
        <v>-2240</v>
      </c>
      <c r="M41">
        <v>-48</v>
      </c>
      <c r="N41" t="s">
        <v>7</v>
      </c>
      <c r="O41">
        <v>-922</v>
      </c>
      <c r="P41">
        <v>-932</v>
      </c>
      <c r="Q41">
        <v>-337</v>
      </c>
      <c r="R41">
        <v>-1.0900000000000001</v>
      </c>
      <c r="S41" s="98">
        <v>-1516326</v>
      </c>
      <c r="T41" t="s">
        <v>1302</v>
      </c>
      <c r="U41">
        <v>108.149</v>
      </c>
      <c r="V41" s="98">
        <v>-1400000</v>
      </c>
      <c r="W41" t="s">
        <v>9</v>
      </c>
      <c r="X41" t="s">
        <v>10</v>
      </c>
      <c r="Y41" s="98">
        <v>-1529092</v>
      </c>
      <c r="Z41" s="98">
        <v>1529092</v>
      </c>
      <c r="AA41" t="b">
        <v>0</v>
      </c>
    </row>
    <row r="42" spans="1:27" x14ac:dyDescent="0.35">
      <c r="A42" t="s">
        <v>101</v>
      </c>
      <c r="B42" t="s">
        <v>101</v>
      </c>
      <c r="C42" t="s">
        <v>102</v>
      </c>
      <c r="D42" t="s">
        <v>100</v>
      </c>
      <c r="E42" t="s">
        <v>4</v>
      </c>
      <c r="F42" s="99">
        <v>45910</v>
      </c>
      <c r="G42" t="s">
        <v>30</v>
      </c>
      <c r="H42" t="s">
        <v>14</v>
      </c>
      <c r="I42" s="98">
        <v>-1515000</v>
      </c>
      <c r="J42">
        <v>115.371</v>
      </c>
      <c r="K42">
        <v>21</v>
      </c>
      <c r="L42" s="98">
        <v>-1712</v>
      </c>
      <c r="M42">
        <v>-119</v>
      </c>
      <c r="N42" t="s">
        <v>7</v>
      </c>
      <c r="O42">
        <v>-806</v>
      </c>
      <c r="P42">
        <v>-814</v>
      </c>
      <c r="Q42">
        <v>-168</v>
      </c>
      <c r="R42">
        <v>-0.54</v>
      </c>
      <c r="S42" s="98">
        <v>-1747871</v>
      </c>
      <c r="T42" t="s">
        <v>1302</v>
      </c>
      <c r="U42">
        <v>115.258</v>
      </c>
      <c r="V42" s="98">
        <v>-1515000</v>
      </c>
      <c r="W42" t="s">
        <v>9</v>
      </c>
      <c r="X42" t="s">
        <v>10</v>
      </c>
      <c r="Y42" s="98">
        <v>-1755150</v>
      </c>
      <c r="Z42" s="98">
        <v>1755150</v>
      </c>
      <c r="AA42" t="b">
        <v>0</v>
      </c>
    </row>
    <row r="43" spans="1:27" x14ac:dyDescent="0.35">
      <c r="A43" t="s">
        <v>103</v>
      </c>
      <c r="B43" t="s">
        <v>103</v>
      </c>
      <c r="C43" t="s">
        <v>104</v>
      </c>
      <c r="D43" t="s">
        <v>105</v>
      </c>
      <c r="E43" t="s">
        <v>4</v>
      </c>
      <c r="F43" s="99">
        <v>46549</v>
      </c>
      <c r="G43" t="s">
        <v>30</v>
      </c>
      <c r="H43" t="s">
        <v>14</v>
      </c>
      <c r="I43">
        <v>0</v>
      </c>
      <c r="J43">
        <v>101.321</v>
      </c>
      <c r="K43">
        <v>71</v>
      </c>
      <c r="L43" s="98">
        <v>-47614</v>
      </c>
      <c r="M43">
        <v>150</v>
      </c>
      <c r="N43" t="s">
        <v>7</v>
      </c>
      <c r="O43">
        <v>0</v>
      </c>
      <c r="P43">
        <v>0</v>
      </c>
      <c r="Q43">
        <v>0</v>
      </c>
      <c r="R43">
        <v>0</v>
      </c>
      <c r="S43">
        <v>0</v>
      </c>
      <c r="T43" t="s">
        <v>1302</v>
      </c>
      <c r="U43">
        <v>101.14400000000001</v>
      </c>
      <c r="V43" s="98">
        <v>10950000</v>
      </c>
      <c r="W43" t="s">
        <v>9</v>
      </c>
      <c r="X43" t="s">
        <v>10</v>
      </c>
      <c r="Y43">
        <v>-150</v>
      </c>
      <c r="Z43">
        <v>150</v>
      </c>
      <c r="AA43" t="b">
        <v>0</v>
      </c>
    </row>
    <row r="44" spans="1:27" x14ac:dyDescent="0.35">
      <c r="A44" t="s">
        <v>103</v>
      </c>
      <c r="B44" t="s">
        <v>103</v>
      </c>
      <c r="C44" t="s">
        <v>104</v>
      </c>
      <c r="D44" t="s">
        <v>105</v>
      </c>
      <c r="E44" t="s">
        <v>4</v>
      </c>
      <c r="F44" s="99">
        <v>46549</v>
      </c>
      <c r="G44" t="s">
        <v>30</v>
      </c>
      <c r="H44" t="s">
        <v>14</v>
      </c>
      <c r="I44" s="98">
        <v>9950000</v>
      </c>
      <c r="J44">
        <v>101.327</v>
      </c>
      <c r="K44">
        <v>71</v>
      </c>
      <c r="L44" s="98">
        <v>68833</v>
      </c>
      <c r="M44">
        <v>0</v>
      </c>
      <c r="N44" t="s">
        <v>7</v>
      </c>
      <c r="O44" s="98">
        <v>6770</v>
      </c>
      <c r="P44" s="98">
        <v>6847</v>
      </c>
      <c r="Q44" s="98">
        <v>4878</v>
      </c>
      <c r="R44">
        <v>15.73</v>
      </c>
      <c r="S44" s="98">
        <v>10082037</v>
      </c>
      <c r="T44" t="s">
        <v>1302</v>
      </c>
      <c r="U44">
        <v>101.14400000000001</v>
      </c>
      <c r="V44">
        <v>0</v>
      </c>
      <c r="W44" t="s">
        <v>9</v>
      </c>
      <c r="X44" t="s">
        <v>10</v>
      </c>
      <c r="Y44" s="98">
        <v>10090351</v>
      </c>
      <c r="Z44" s="98">
        <v>10090351</v>
      </c>
      <c r="AA44" t="b">
        <v>0</v>
      </c>
    </row>
    <row r="45" spans="1:27" x14ac:dyDescent="0.35">
      <c r="A45" t="s">
        <v>106</v>
      </c>
      <c r="B45" t="s">
        <v>106</v>
      </c>
      <c r="C45" t="s">
        <v>107</v>
      </c>
      <c r="D45" t="s">
        <v>105</v>
      </c>
      <c r="E45" t="s">
        <v>4</v>
      </c>
      <c r="F45" s="99">
        <v>45668</v>
      </c>
      <c r="G45" t="s">
        <v>30</v>
      </c>
      <c r="H45" t="s">
        <v>14</v>
      </c>
      <c r="I45" s="98">
        <v>-6181000</v>
      </c>
      <c r="J45">
        <v>108.048</v>
      </c>
      <c r="K45">
        <v>55</v>
      </c>
      <c r="L45" s="98">
        <v>-7232</v>
      </c>
      <c r="M45">
        <v>-318</v>
      </c>
      <c r="N45" t="s">
        <v>7</v>
      </c>
      <c r="O45" s="98">
        <v>-2860</v>
      </c>
      <c r="P45" s="98">
        <v>-2888</v>
      </c>
      <c r="Q45" s="98">
        <v>-1582</v>
      </c>
      <c r="R45">
        <v>-5.0999999999999996</v>
      </c>
      <c r="S45" s="98">
        <v>-6678447</v>
      </c>
      <c r="T45" t="s">
        <v>1302</v>
      </c>
      <c r="U45">
        <v>107.931</v>
      </c>
      <c r="V45" s="98">
        <v>-6181000</v>
      </c>
      <c r="W45" t="s">
        <v>9</v>
      </c>
      <c r="X45" t="s">
        <v>10</v>
      </c>
      <c r="Y45" s="98">
        <v>-6746078</v>
      </c>
      <c r="Z45" s="98">
        <v>6746078</v>
      </c>
      <c r="AA45" t="b">
        <v>0</v>
      </c>
    </row>
    <row r="46" spans="1:27" x14ac:dyDescent="0.35">
      <c r="A46" t="s">
        <v>108</v>
      </c>
      <c r="B46" t="s">
        <v>108</v>
      </c>
      <c r="C46" t="s">
        <v>109</v>
      </c>
      <c r="D46" t="s">
        <v>110</v>
      </c>
      <c r="E46" t="s">
        <v>4</v>
      </c>
      <c r="F46" s="99">
        <v>45726</v>
      </c>
      <c r="G46" t="s">
        <v>30</v>
      </c>
      <c r="H46" t="s">
        <v>14</v>
      </c>
      <c r="I46" s="98">
        <v>2000000</v>
      </c>
      <c r="J46">
        <v>109.14100000000001</v>
      </c>
      <c r="K46">
        <v>38</v>
      </c>
      <c r="L46" s="98">
        <v>2580</v>
      </c>
      <c r="M46">
        <v>103</v>
      </c>
      <c r="N46" t="s">
        <v>7</v>
      </c>
      <c r="O46">
        <v>970</v>
      </c>
      <c r="P46">
        <v>980</v>
      </c>
      <c r="Q46">
        <v>371</v>
      </c>
      <c r="R46">
        <v>1.2</v>
      </c>
      <c r="S46" s="98">
        <v>2182820</v>
      </c>
      <c r="T46" t="s">
        <v>1302</v>
      </c>
      <c r="U46">
        <v>109.012</v>
      </c>
      <c r="V46" s="98">
        <v>2000000</v>
      </c>
      <c r="W46" t="s">
        <v>9</v>
      </c>
      <c r="X46" t="s">
        <v>10</v>
      </c>
      <c r="Y46" s="98">
        <v>2198539</v>
      </c>
      <c r="Z46" s="98">
        <v>2198539</v>
      </c>
      <c r="AA46" t="b">
        <v>0</v>
      </c>
    </row>
    <row r="47" spans="1:27" x14ac:dyDescent="0.35">
      <c r="A47" t="s">
        <v>1303</v>
      </c>
      <c r="B47" t="s">
        <v>1303</v>
      </c>
      <c r="C47" t="s">
        <v>1304</v>
      </c>
      <c r="D47" t="s">
        <v>1305</v>
      </c>
      <c r="E47" t="s">
        <v>4</v>
      </c>
      <c r="F47" s="99">
        <v>46850</v>
      </c>
      <c r="G47" t="s">
        <v>30</v>
      </c>
      <c r="H47" t="s">
        <v>14</v>
      </c>
      <c r="I47" s="98">
        <v>1000000</v>
      </c>
      <c r="J47">
        <v>119.812</v>
      </c>
      <c r="K47">
        <v>210</v>
      </c>
      <c r="L47" s="98">
        <v>1860</v>
      </c>
      <c r="M47">
        <v>123</v>
      </c>
      <c r="N47" t="s">
        <v>7</v>
      </c>
      <c r="O47">
        <v>795</v>
      </c>
      <c r="P47">
        <v>803</v>
      </c>
      <c r="Q47" s="98">
        <v>1686</v>
      </c>
      <c r="R47">
        <v>5.44</v>
      </c>
      <c r="S47" s="98">
        <v>1198120</v>
      </c>
      <c r="T47" t="s">
        <v>1302</v>
      </c>
      <c r="U47">
        <v>119.626</v>
      </c>
      <c r="V47" s="98">
        <v>1000000</v>
      </c>
      <c r="W47" t="s">
        <v>9</v>
      </c>
      <c r="X47" t="s">
        <v>10</v>
      </c>
      <c r="Y47" s="98">
        <v>1213654</v>
      </c>
      <c r="Z47" s="98">
        <v>1213654</v>
      </c>
      <c r="AA47" t="b">
        <v>0</v>
      </c>
    </row>
    <row r="48" spans="1:27" x14ac:dyDescent="0.35">
      <c r="A48" t="s">
        <v>1310</v>
      </c>
      <c r="B48" t="s">
        <v>1310</v>
      </c>
      <c r="C48" t="s">
        <v>1311</v>
      </c>
      <c r="D48" t="s">
        <v>1305</v>
      </c>
      <c r="E48" t="s">
        <v>4</v>
      </c>
      <c r="F48" s="99">
        <v>45023</v>
      </c>
      <c r="G48" t="s">
        <v>30</v>
      </c>
      <c r="H48" t="s">
        <v>14</v>
      </c>
      <c r="I48" s="98">
        <v>2000000</v>
      </c>
      <c r="J48">
        <v>106.70399999999999</v>
      </c>
      <c r="K48">
        <v>134</v>
      </c>
      <c r="L48" s="98">
        <v>1860</v>
      </c>
      <c r="M48">
        <v>185</v>
      </c>
      <c r="N48" t="s">
        <v>7</v>
      </c>
      <c r="O48">
        <v>548</v>
      </c>
      <c r="P48">
        <v>552</v>
      </c>
      <c r="Q48">
        <v>742</v>
      </c>
      <c r="R48">
        <v>2.39</v>
      </c>
      <c r="S48" s="98">
        <v>2134080</v>
      </c>
      <c r="T48" t="s">
        <v>1302</v>
      </c>
      <c r="U48">
        <v>106.611</v>
      </c>
      <c r="V48" s="98">
        <v>2000000</v>
      </c>
      <c r="W48" t="s">
        <v>9</v>
      </c>
      <c r="X48" t="s">
        <v>10</v>
      </c>
      <c r="Y48" s="98">
        <v>2157381</v>
      </c>
      <c r="Z48" s="98">
        <v>2157381</v>
      </c>
      <c r="AA48" t="b">
        <v>0</v>
      </c>
    </row>
    <row r="49" spans="1:27" x14ac:dyDescent="0.35">
      <c r="A49" t="s">
        <v>1306</v>
      </c>
      <c r="B49" t="s">
        <v>1306</v>
      </c>
      <c r="C49" t="s">
        <v>1307</v>
      </c>
      <c r="D49" t="s">
        <v>1309</v>
      </c>
      <c r="E49" t="s">
        <v>4</v>
      </c>
      <c r="F49" s="99">
        <v>46977</v>
      </c>
      <c r="G49" t="s">
        <v>30</v>
      </c>
      <c r="H49" t="s">
        <v>14</v>
      </c>
      <c r="I49" s="98">
        <v>2000000</v>
      </c>
      <c r="J49">
        <v>100.78100000000001</v>
      </c>
      <c r="K49">
        <v>80</v>
      </c>
      <c r="L49" s="98">
        <v>5033</v>
      </c>
      <c r="M49">
        <v>0</v>
      </c>
      <c r="N49" t="s">
        <v>7</v>
      </c>
      <c r="O49" s="98">
        <v>1576</v>
      </c>
      <c r="P49" s="98">
        <v>1594</v>
      </c>
      <c r="Q49" s="98">
        <v>1275</v>
      </c>
      <c r="R49">
        <v>4.1100000000000003</v>
      </c>
      <c r="S49" s="98">
        <v>2015620</v>
      </c>
      <c r="T49" t="s">
        <v>1345</v>
      </c>
      <c r="U49">
        <v>100.63</v>
      </c>
      <c r="V49" s="98">
        <v>3500000</v>
      </c>
      <c r="W49" t="s">
        <v>9</v>
      </c>
      <c r="X49" t="s">
        <v>10</v>
      </c>
      <c r="Y49" s="98">
        <v>2015620</v>
      </c>
      <c r="Z49" s="98">
        <v>2015620</v>
      </c>
      <c r="AA49" t="b">
        <v>0</v>
      </c>
    </row>
    <row r="50" spans="1:27" x14ac:dyDescent="0.35">
      <c r="A50" t="s">
        <v>111</v>
      </c>
      <c r="B50" t="s">
        <v>111</v>
      </c>
      <c r="C50" t="s">
        <v>112</v>
      </c>
      <c r="D50" t="s">
        <v>113</v>
      </c>
      <c r="E50" t="s">
        <v>4</v>
      </c>
      <c r="F50" s="99">
        <v>46482</v>
      </c>
      <c r="G50" t="s">
        <v>30</v>
      </c>
      <c r="H50" t="s">
        <v>14</v>
      </c>
      <c r="I50" s="98">
        <v>-8167000</v>
      </c>
      <c r="J50">
        <v>105.146</v>
      </c>
      <c r="K50">
        <v>51</v>
      </c>
      <c r="L50" s="98">
        <v>-11434</v>
      </c>
      <c r="M50">
        <v>-196</v>
      </c>
      <c r="N50" t="s">
        <v>7</v>
      </c>
      <c r="O50" s="98">
        <v>-5569</v>
      </c>
      <c r="P50" s="98">
        <v>-5627</v>
      </c>
      <c r="Q50" s="98">
        <v>-2898</v>
      </c>
      <c r="R50">
        <v>-9.35</v>
      </c>
      <c r="S50" s="98">
        <v>-8587274</v>
      </c>
      <c r="T50" t="s">
        <v>1302</v>
      </c>
      <c r="U50">
        <v>105.006</v>
      </c>
      <c r="V50" s="98">
        <v>-8167000</v>
      </c>
      <c r="W50" t="s">
        <v>9</v>
      </c>
      <c r="X50" t="s">
        <v>10</v>
      </c>
      <c r="Y50" s="98">
        <v>-8612334</v>
      </c>
      <c r="Z50" s="98">
        <v>8612334</v>
      </c>
      <c r="AA50" t="b">
        <v>0</v>
      </c>
    </row>
    <row r="51" spans="1:27" x14ac:dyDescent="0.35">
      <c r="A51" t="s">
        <v>114</v>
      </c>
      <c r="B51" t="s">
        <v>114</v>
      </c>
      <c r="C51" t="s">
        <v>115</v>
      </c>
      <c r="D51" t="s">
        <v>113</v>
      </c>
      <c r="E51" t="s">
        <v>4</v>
      </c>
      <c r="F51" s="99">
        <v>46309</v>
      </c>
      <c r="G51" t="s">
        <v>30</v>
      </c>
      <c r="H51" t="s">
        <v>14</v>
      </c>
      <c r="I51" s="98">
        <v>2700000</v>
      </c>
      <c r="J51">
        <v>104.47199999999999</v>
      </c>
      <c r="K51">
        <v>56</v>
      </c>
      <c r="L51" s="98">
        <v>2916</v>
      </c>
      <c r="M51">
        <v>65</v>
      </c>
      <c r="N51" t="s">
        <v>7</v>
      </c>
      <c r="O51" s="98">
        <v>1635</v>
      </c>
      <c r="P51" s="98">
        <v>1651</v>
      </c>
      <c r="Q51">
        <v>931</v>
      </c>
      <c r="R51">
        <v>3</v>
      </c>
      <c r="S51" s="98">
        <v>2820744</v>
      </c>
      <c r="T51" t="s">
        <v>1302</v>
      </c>
      <c r="U51">
        <v>104.364</v>
      </c>
      <c r="V51" s="98">
        <v>2700000</v>
      </c>
      <c r="W51" t="s">
        <v>9</v>
      </c>
      <c r="X51" t="s">
        <v>10</v>
      </c>
      <c r="Y51" s="98">
        <v>2822492</v>
      </c>
      <c r="Z51" s="98">
        <v>2822492</v>
      </c>
      <c r="AA51" t="b">
        <v>0</v>
      </c>
    </row>
    <row r="52" spans="1:27" x14ac:dyDescent="0.35">
      <c r="A52" t="s">
        <v>965</v>
      </c>
      <c r="B52" t="s">
        <v>965</v>
      </c>
      <c r="C52" t="s">
        <v>966</v>
      </c>
      <c r="D52" t="s">
        <v>967</v>
      </c>
      <c r="E52" t="s">
        <v>4</v>
      </c>
      <c r="F52" s="99">
        <v>45308</v>
      </c>
      <c r="G52" t="s">
        <v>30</v>
      </c>
      <c r="H52" t="s">
        <v>14</v>
      </c>
      <c r="I52" s="98">
        <v>3000000</v>
      </c>
      <c r="J52">
        <v>102.864</v>
      </c>
      <c r="K52">
        <v>38</v>
      </c>
      <c r="L52" s="98">
        <v>1980</v>
      </c>
      <c r="M52">
        <v>61</v>
      </c>
      <c r="N52" t="s">
        <v>7</v>
      </c>
      <c r="O52">
        <v>976</v>
      </c>
      <c r="P52">
        <v>985</v>
      </c>
      <c r="Q52">
        <v>376</v>
      </c>
      <c r="R52">
        <v>1.21</v>
      </c>
      <c r="S52" s="98">
        <v>3085920</v>
      </c>
      <c r="T52" t="s">
        <v>1302</v>
      </c>
      <c r="U52">
        <v>102.798</v>
      </c>
      <c r="V52" s="98">
        <v>3000000</v>
      </c>
      <c r="W52" t="s">
        <v>9</v>
      </c>
      <c r="X52" t="s">
        <v>10</v>
      </c>
      <c r="Y52" s="98">
        <v>3104240</v>
      </c>
      <c r="Z52" s="98">
        <v>3104240</v>
      </c>
      <c r="AA52" t="b">
        <v>0</v>
      </c>
    </row>
    <row r="53" spans="1:27" x14ac:dyDescent="0.35">
      <c r="A53" t="s">
        <v>116</v>
      </c>
      <c r="B53" t="s">
        <v>116</v>
      </c>
      <c r="C53" t="s">
        <v>117</v>
      </c>
      <c r="D53" t="s">
        <v>118</v>
      </c>
      <c r="E53" t="s">
        <v>4</v>
      </c>
      <c r="F53" s="99">
        <v>45267</v>
      </c>
      <c r="G53" t="s">
        <v>30</v>
      </c>
      <c r="H53" t="s">
        <v>14</v>
      </c>
      <c r="I53" s="98">
        <v>3700000</v>
      </c>
      <c r="J53">
        <v>103.902</v>
      </c>
      <c r="K53">
        <v>35</v>
      </c>
      <c r="L53" s="98">
        <v>1776</v>
      </c>
      <c r="M53">
        <v>101</v>
      </c>
      <c r="N53" t="s">
        <v>7</v>
      </c>
      <c r="O53" s="98">
        <v>1264</v>
      </c>
      <c r="P53" s="98">
        <v>1276</v>
      </c>
      <c r="Q53">
        <v>452</v>
      </c>
      <c r="R53">
        <v>1.46</v>
      </c>
      <c r="S53" s="98">
        <v>3844374</v>
      </c>
      <c r="T53" t="s">
        <v>1302</v>
      </c>
      <c r="U53">
        <v>103.854</v>
      </c>
      <c r="V53" s="98">
        <v>3700000</v>
      </c>
      <c r="W53" t="s">
        <v>9</v>
      </c>
      <c r="X53" t="s">
        <v>10</v>
      </c>
      <c r="Y53" s="98">
        <v>3869514</v>
      </c>
      <c r="Z53" s="98">
        <v>3869514</v>
      </c>
      <c r="AA53" t="b">
        <v>0</v>
      </c>
    </row>
    <row r="54" spans="1:27" x14ac:dyDescent="0.35">
      <c r="A54" t="s">
        <v>119</v>
      </c>
      <c r="B54" t="s">
        <v>119</v>
      </c>
      <c r="C54" t="s">
        <v>120</v>
      </c>
      <c r="D54" t="s">
        <v>121</v>
      </c>
      <c r="E54" t="s">
        <v>4</v>
      </c>
      <c r="F54" s="99">
        <v>45832</v>
      </c>
      <c r="G54" t="s">
        <v>30</v>
      </c>
      <c r="H54" t="s">
        <v>14</v>
      </c>
      <c r="I54" s="98">
        <v>90000</v>
      </c>
      <c r="J54">
        <v>101.748</v>
      </c>
      <c r="K54">
        <v>36</v>
      </c>
      <c r="L54">
        <v>105</v>
      </c>
      <c r="M54">
        <v>1</v>
      </c>
      <c r="N54" t="s">
        <v>7</v>
      </c>
      <c r="O54">
        <v>42</v>
      </c>
      <c r="P54">
        <v>43</v>
      </c>
      <c r="Q54">
        <v>16</v>
      </c>
      <c r="R54">
        <v>0.05</v>
      </c>
      <c r="S54" s="98">
        <v>91573</v>
      </c>
      <c r="T54" t="s">
        <v>1302</v>
      </c>
      <c r="U54">
        <v>101.631</v>
      </c>
      <c r="V54" s="98">
        <v>90000</v>
      </c>
      <c r="W54" t="s">
        <v>9</v>
      </c>
      <c r="X54" t="s">
        <v>10</v>
      </c>
      <c r="Y54" s="98">
        <v>91659</v>
      </c>
      <c r="Z54" s="98">
        <v>91659</v>
      </c>
      <c r="AA54" t="b">
        <v>0</v>
      </c>
    </row>
    <row r="55" spans="1:27" x14ac:dyDescent="0.35">
      <c r="A55" t="s">
        <v>125</v>
      </c>
      <c r="B55" t="s">
        <v>125</v>
      </c>
      <c r="C55" t="s">
        <v>126</v>
      </c>
      <c r="D55" t="s">
        <v>124</v>
      </c>
      <c r="E55" t="s">
        <v>4</v>
      </c>
      <c r="F55" s="99">
        <v>46120</v>
      </c>
      <c r="G55" t="s">
        <v>30</v>
      </c>
      <c r="H55" t="s">
        <v>14</v>
      </c>
      <c r="I55" s="98">
        <v>2000000</v>
      </c>
      <c r="J55">
        <v>104.536</v>
      </c>
      <c r="K55">
        <v>150</v>
      </c>
      <c r="L55" s="98">
        <v>4160</v>
      </c>
      <c r="M55">
        <v>103</v>
      </c>
      <c r="N55" t="s">
        <v>7</v>
      </c>
      <c r="O55" s="98">
        <v>1123</v>
      </c>
      <c r="P55" s="98">
        <v>1134</v>
      </c>
      <c r="Q55" s="98">
        <v>1703</v>
      </c>
      <c r="R55">
        <v>5.49</v>
      </c>
      <c r="S55" s="98">
        <v>2090720</v>
      </c>
      <c r="T55" t="s">
        <v>1302</v>
      </c>
      <c r="U55">
        <v>104.328</v>
      </c>
      <c r="V55" s="98">
        <v>2000000</v>
      </c>
      <c r="W55" t="s">
        <v>9</v>
      </c>
      <c r="X55" t="s">
        <v>10</v>
      </c>
      <c r="Y55" s="98">
        <v>2103562</v>
      </c>
      <c r="Z55" s="98">
        <v>2103562</v>
      </c>
      <c r="AA55" t="b">
        <v>0</v>
      </c>
    </row>
    <row r="56" spans="1:27" x14ac:dyDescent="0.35">
      <c r="A56" t="s">
        <v>127</v>
      </c>
      <c r="B56" t="s">
        <v>127</v>
      </c>
      <c r="C56" t="s">
        <v>128</v>
      </c>
      <c r="D56" t="s">
        <v>129</v>
      </c>
      <c r="E56" t="s">
        <v>4</v>
      </c>
      <c r="F56" s="99">
        <v>51350</v>
      </c>
      <c r="G56" t="s">
        <v>30</v>
      </c>
      <c r="H56" t="s">
        <v>14</v>
      </c>
      <c r="I56" s="98">
        <v>2000000</v>
      </c>
      <c r="J56">
        <v>102.485</v>
      </c>
      <c r="K56">
        <v>49</v>
      </c>
      <c r="L56" s="98">
        <v>13900</v>
      </c>
      <c r="M56">
        <v>26</v>
      </c>
      <c r="N56" t="s">
        <v>7</v>
      </c>
      <c r="O56" s="98">
        <v>3846</v>
      </c>
      <c r="P56" s="98">
        <v>3902</v>
      </c>
      <c r="Q56" s="98">
        <v>1919</v>
      </c>
      <c r="R56">
        <v>6.19</v>
      </c>
      <c r="S56" s="98">
        <v>2049700</v>
      </c>
      <c r="T56" t="s">
        <v>1302</v>
      </c>
      <c r="U56">
        <v>101.79</v>
      </c>
      <c r="V56" s="98">
        <v>2000000</v>
      </c>
      <c r="W56" t="s">
        <v>9</v>
      </c>
      <c r="X56" t="s">
        <v>10</v>
      </c>
      <c r="Y56" s="98">
        <v>2049974</v>
      </c>
      <c r="Z56" s="98">
        <v>2049974</v>
      </c>
      <c r="AA56" t="b">
        <v>0</v>
      </c>
    </row>
    <row r="57" spans="1:27" x14ac:dyDescent="0.35">
      <c r="A57" t="s">
        <v>1338</v>
      </c>
      <c r="B57" t="s">
        <v>1338</v>
      </c>
      <c r="C57" t="s">
        <v>1339</v>
      </c>
      <c r="D57" t="s">
        <v>129</v>
      </c>
      <c r="E57" t="s">
        <v>4</v>
      </c>
      <c r="F57" s="99">
        <v>48520</v>
      </c>
      <c r="G57" t="s">
        <v>30</v>
      </c>
      <c r="H57" t="s">
        <v>14</v>
      </c>
      <c r="I57" s="98">
        <v>2000000</v>
      </c>
      <c r="J57">
        <v>101.256</v>
      </c>
      <c r="K57">
        <v>32</v>
      </c>
      <c r="L57" s="98">
        <v>5170</v>
      </c>
      <c r="M57">
        <v>0</v>
      </c>
      <c r="N57" t="s">
        <v>7</v>
      </c>
      <c r="O57" s="98">
        <v>2388</v>
      </c>
      <c r="P57" s="98">
        <v>2420</v>
      </c>
      <c r="Q57">
        <v>780</v>
      </c>
      <c r="R57">
        <v>2.52</v>
      </c>
      <c r="S57" s="98">
        <v>2025120</v>
      </c>
      <c r="T57" t="s">
        <v>1302</v>
      </c>
      <c r="U57">
        <v>98.46</v>
      </c>
      <c r="V57">
        <v>0</v>
      </c>
      <c r="W57" t="s">
        <v>9</v>
      </c>
      <c r="X57" t="s">
        <v>10</v>
      </c>
      <c r="Y57" s="98">
        <v>2025243</v>
      </c>
      <c r="Z57" s="98">
        <v>2025243</v>
      </c>
      <c r="AA57" t="b">
        <v>0</v>
      </c>
    </row>
    <row r="58" spans="1:27" x14ac:dyDescent="0.35">
      <c r="A58" t="s">
        <v>131</v>
      </c>
      <c r="B58" t="s">
        <v>131</v>
      </c>
      <c r="C58" t="s">
        <v>132</v>
      </c>
      <c r="D58" t="s">
        <v>130</v>
      </c>
      <c r="E58" t="s">
        <v>4</v>
      </c>
      <c r="F58" s="99">
        <v>45668</v>
      </c>
      <c r="G58" t="s">
        <v>30</v>
      </c>
      <c r="H58" t="s">
        <v>14</v>
      </c>
      <c r="I58" s="98">
        <v>1859000</v>
      </c>
      <c r="J58">
        <v>103.55800000000001</v>
      </c>
      <c r="K58">
        <v>105</v>
      </c>
      <c r="L58" s="98">
        <v>1692</v>
      </c>
      <c r="M58">
        <v>70</v>
      </c>
      <c r="N58" t="s">
        <v>7</v>
      </c>
      <c r="O58">
        <v>826</v>
      </c>
      <c r="P58">
        <v>834</v>
      </c>
      <c r="Q58">
        <v>880</v>
      </c>
      <c r="R58">
        <v>2.84</v>
      </c>
      <c r="S58" s="98">
        <v>1925143</v>
      </c>
      <c r="T58" t="s">
        <v>1302</v>
      </c>
      <c r="U58">
        <v>103.467</v>
      </c>
      <c r="V58" s="98">
        <v>1859000</v>
      </c>
      <c r="W58" t="s">
        <v>9</v>
      </c>
      <c r="X58" t="s">
        <v>10</v>
      </c>
      <c r="Y58" s="98">
        <v>1940060</v>
      </c>
      <c r="Z58" s="98">
        <v>1940060</v>
      </c>
      <c r="AA58" t="b">
        <v>0</v>
      </c>
    </row>
    <row r="59" spans="1:27" x14ac:dyDescent="0.35">
      <c r="A59" t="s">
        <v>133</v>
      </c>
      <c r="B59" t="s">
        <v>133</v>
      </c>
      <c r="C59" t="s">
        <v>134</v>
      </c>
      <c r="D59" t="s">
        <v>135</v>
      </c>
      <c r="E59" t="s">
        <v>4</v>
      </c>
      <c r="F59" s="99">
        <v>46041</v>
      </c>
      <c r="G59" t="s">
        <v>30</v>
      </c>
      <c r="H59" t="s">
        <v>14</v>
      </c>
      <c r="I59" s="98">
        <v>2300000</v>
      </c>
      <c r="J59">
        <v>106.428</v>
      </c>
      <c r="K59">
        <v>53</v>
      </c>
      <c r="L59" s="98">
        <v>1955</v>
      </c>
      <c r="M59">
        <v>79</v>
      </c>
      <c r="N59" t="s">
        <v>7</v>
      </c>
      <c r="O59" s="98">
        <v>1295</v>
      </c>
      <c r="P59" s="98">
        <v>1309</v>
      </c>
      <c r="Q59">
        <v>693</v>
      </c>
      <c r="R59">
        <v>2.2400000000000002</v>
      </c>
      <c r="S59" s="98">
        <v>2447844</v>
      </c>
      <c r="T59" t="s">
        <v>1302</v>
      </c>
      <c r="U59">
        <v>106.343</v>
      </c>
      <c r="V59" s="98">
        <v>2300000</v>
      </c>
      <c r="W59" t="s">
        <v>9</v>
      </c>
      <c r="X59" t="s">
        <v>10</v>
      </c>
      <c r="Y59" s="98">
        <v>2463991</v>
      </c>
      <c r="Z59" s="98">
        <v>2463991</v>
      </c>
      <c r="AA59" t="b">
        <v>0</v>
      </c>
    </row>
    <row r="60" spans="1:27" x14ac:dyDescent="0.35">
      <c r="A60" t="s">
        <v>136</v>
      </c>
      <c r="B60" t="s">
        <v>136</v>
      </c>
      <c r="C60" t="s">
        <v>137</v>
      </c>
      <c r="D60" t="s">
        <v>135</v>
      </c>
      <c r="E60" t="s">
        <v>4</v>
      </c>
      <c r="F60" s="99">
        <v>45945</v>
      </c>
      <c r="G60" t="s">
        <v>30</v>
      </c>
      <c r="H60" t="s">
        <v>14</v>
      </c>
      <c r="I60" s="98">
        <v>-3000000</v>
      </c>
      <c r="J60">
        <v>106.435</v>
      </c>
      <c r="K60">
        <v>48</v>
      </c>
      <c r="L60" s="98">
        <v>-2880</v>
      </c>
      <c r="M60">
        <v>-102</v>
      </c>
      <c r="N60" t="s">
        <v>7</v>
      </c>
      <c r="O60" s="98">
        <v>-1613</v>
      </c>
      <c r="P60" s="98">
        <v>-1629</v>
      </c>
      <c r="Q60">
        <v>-784</v>
      </c>
      <c r="R60">
        <v>-2.5299999999999998</v>
      </c>
      <c r="S60" s="98">
        <v>-3193050</v>
      </c>
      <c r="T60" t="s">
        <v>1302</v>
      </c>
      <c r="U60">
        <v>106.339</v>
      </c>
      <c r="V60" s="98">
        <v>-3000000</v>
      </c>
      <c r="W60" t="s">
        <v>9</v>
      </c>
      <c r="X60" t="s">
        <v>10</v>
      </c>
      <c r="Y60" s="98">
        <v>-3214464</v>
      </c>
      <c r="Z60" s="98">
        <v>3214464</v>
      </c>
      <c r="AA60" t="b">
        <v>0</v>
      </c>
    </row>
    <row r="61" spans="1:27" x14ac:dyDescent="0.35">
      <c r="A61" t="s">
        <v>138</v>
      </c>
      <c r="B61" t="s">
        <v>138</v>
      </c>
      <c r="C61" t="s">
        <v>139</v>
      </c>
      <c r="D61" t="s">
        <v>140</v>
      </c>
      <c r="E61" t="s">
        <v>4</v>
      </c>
      <c r="F61" s="99">
        <v>47091</v>
      </c>
      <c r="G61" t="s">
        <v>30</v>
      </c>
      <c r="H61" t="s">
        <v>14</v>
      </c>
      <c r="I61" s="98">
        <v>-1000000</v>
      </c>
      <c r="J61">
        <v>114.313</v>
      </c>
      <c r="K61">
        <v>45</v>
      </c>
      <c r="L61" s="98">
        <v>-2540</v>
      </c>
      <c r="M61">
        <v>-51</v>
      </c>
      <c r="N61" t="s">
        <v>7</v>
      </c>
      <c r="O61">
        <v>-868</v>
      </c>
      <c r="P61">
        <v>-877</v>
      </c>
      <c r="Q61">
        <v>-398</v>
      </c>
      <c r="R61">
        <v>-1.28</v>
      </c>
      <c r="S61" s="98">
        <v>-1143130</v>
      </c>
      <c r="T61" t="s">
        <v>1302</v>
      </c>
      <c r="U61">
        <v>114.059</v>
      </c>
      <c r="V61" s="98">
        <v>-1000000</v>
      </c>
      <c r="W61" t="s">
        <v>9</v>
      </c>
      <c r="X61" t="s">
        <v>10</v>
      </c>
      <c r="Y61" s="98">
        <v>-1160650</v>
      </c>
      <c r="Z61" s="98">
        <v>1160650</v>
      </c>
      <c r="AA61" t="b">
        <v>0</v>
      </c>
    </row>
    <row r="62" spans="1:27" x14ac:dyDescent="0.35">
      <c r="A62" t="s">
        <v>141</v>
      </c>
      <c r="B62" t="s">
        <v>141</v>
      </c>
      <c r="C62" t="s">
        <v>142</v>
      </c>
      <c r="D62" t="s">
        <v>140</v>
      </c>
      <c r="E62" t="s">
        <v>4</v>
      </c>
      <c r="F62" s="99">
        <v>45391</v>
      </c>
      <c r="G62" t="s">
        <v>30</v>
      </c>
      <c r="H62" t="s">
        <v>14</v>
      </c>
      <c r="I62" s="98">
        <v>1000000</v>
      </c>
      <c r="J62">
        <v>105.67400000000001</v>
      </c>
      <c r="K62">
        <v>36</v>
      </c>
      <c r="L62">
        <v>970</v>
      </c>
      <c r="M62">
        <v>41</v>
      </c>
      <c r="N62" t="s">
        <v>7</v>
      </c>
      <c r="O62">
        <v>355</v>
      </c>
      <c r="P62">
        <v>358</v>
      </c>
      <c r="Q62">
        <v>131</v>
      </c>
      <c r="R62">
        <v>0.42</v>
      </c>
      <c r="S62" s="98">
        <v>1056740</v>
      </c>
      <c r="T62" t="s">
        <v>1302</v>
      </c>
      <c r="U62">
        <v>105.577</v>
      </c>
      <c r="V62" s="98">
        <v>1000000</v>
      </c>
      <c r="W62" t="s">
        <v>9</v>
      </c>
      <c r="X62" t="s">
        <v>10</v>
      </c>
      <c r="Y62" s="98">
        <v>1065576</v>
      </c>
      <c r="Z62" s="98">
        <v>1065576</v>
      </c>
      <c r="AA62" t="b">
        <v>0</v>
      </c>
    </row>
    <row r="63" spans="1:27" x14ac:dyDescent="0.35">
      <c r="A63" t="s">
        <v>968</v>
      </c>
      <c r="B63" t="s">
        <v>968</v>
      </c>
      <c r="C63" t="s">
        <v>969</v>
      </c>
      <c r="D63" t="s">
        <v>364</v>
      </c>
      <c r="E63" t="s">
        <v>4</v>
      </c>
      <c r="F63" s="99">
        <v>45397</v>
      </c>
      <c r="G63" t="s">
        <v>30</v>
      </c>
      <c r="H63" t="s">
        <v>14</v>
      </c>
      <c r="I63" s="98">
        <v>-1400000</v>
      </c>
      <c r="J63">
        <v>104.794</v>
      </c>
      <c r="K63">
        <v>34</v>
      </c>
      <c r="L63" s="98">
        <v>-1918</v>
      </c>
      <c r="M63">
        <v>-43</v>
      </c>
      <c r="N63" t="s">
        <v>7</v>
      </c>
      <c r="O63">
        <v>-532</v>
      </c>
      <c r="P63">
        <v>-537</v>
      </c>
      <c r="Q63">
        <v>-185</v>
      </c>
      <c r="R63">
        <v>-0.6</v>
      </c>
      <c r="S63" s="98">
        <v>-1467116</v>
      </c>
      <c r="T63" t="s">
        <v>1302</v>
      </c>
      <c r="U63">
        <v>104.657</v>
      </c>
      <c r="V63" s="98">
        <v>-1400000</v>
      </c>
      <c r="W63" t="s">
        <v>9</v>
      </c>
      <c r="X63" t="s">
        <v>10</v>
      </c>
      <c r="Y63" s="98">
        <v>-1472208</v>
      </c>
      <c r="Z63" s="98">
        <v>1472208</v>
      </c>
      <c r="AA63" t="b">
        <v>0</v>
      </c>
    </row>
    <row r="64" spans="1:27" x14ac:dyDescent="0.35">
      <c r="A64" t="s">
        <v>143</v>
      </c>
      <c r="B64" t="s">
        <v>143</v>
      </c>
      <c r="C64" t="s">
        <v>144</v>
      </c>
      <c r="D64" t="s">
        <v>145</v>
      </c>
      <c r="E64" t="s">
        <v>4</v>
      </c>
      <c r="F64" s="99">
        <v>48311</v>
      </c>
      <c r="G64" t="s">
        <v>30</v>
      </c>
      <c r="H64" t="s">
        <v>14</v>
      </c>
      <c r="I64" s="98">
        <v>-3000000</v>
      </c>
      <c r="J64">
        <v>116.657</v>
      </c>
      <c r="K64">
        <v>59</v>
      </c>
      <c r="L64" s="98">
        <v>-13740</v>
      </c>
      <c r="M64">
        <v>-154</v>
      </c>
      <c r="N64" t="s">
        <v>7</v>
      </c>
      <c r="O64" s="98">
        <v>-3649</v>
      </c>
      <c r="P64" s="98">
        <v>-3694</v>
      </c>
      <c r="Q64" s="98">
        <v>-2191</v>
      </c>
      <c r="R64">
        <v>-7.07</v>
      </c>
      <c r="S64" s="98">
        <v>-3499710</v>
      </c>
      <c r="T64" t="s">
        <v>1302</v>
      </c>
      <c r="U64">
        <v>116.199</v>
      </c>
      <c r="V64" s="98">
        <v>-3000000</v>
      </c>
      <c r="W64" t="s">
        <v>9</v>
      </c>
      <c r="X64" t="s">
        <v>10</v>
      </c>
      <c r="Y64" s="98">
        <v>-3533152</v>
      </c>
      <c r="Z64" s="98">
        <v>3533152</v>
      </c>
      <c r="AA64" t="b">
        <v>0</v>
      </c>
    </row>
    <row r="65" spans="1:27" x14ac:dyDescent="0.35">
      <c r="A65" t="s">
        <v>146</v>
      </c>
      <c r="B65" t="s">
        <v>146</v>
      </c>
      <c r="C65" t="s">
        <v>147</v>
      </c>
      <c r="D65" t="s">
        <v>145</v>
      </c>
      <c r="E65" t="s">
        <v>4</v>
      </c>
      <c r="F65" s="99">
        <v>46885</v>
      </c>
      <c r="G65" t="s">
        <v>30</v>
      </c>
      <c r="H65" t="s">
        <v>14</v>
      </c>
      <c r="I65" s="98">
        <v>-1535000</v>
      </c>
      <c r="J65">
        <v>109.325</v>
      </c>
      <c r="K65">
        <v>39</v>
      </c>
      <c r="L65" s="98">
        <v>-3392</v>
      </c>
      <c r="M65">
        <v>-53</v>
      </c>
      <c r="N65" t="s">
        <v>7</v>
      </c>
      <c r="O65" s="98">
        <v>-1212</v>
      </c>
      <c r="P65" s="98">
        <v>-1225</v>
      </c>
      <c r="Q65">
        <v>-476</v>
      </c>
      <c r="R65">
        <v>-1.53</v>
      </c>
      <c r="S65" s="98">
        <v>-1678139</v>
      </c>
      <c r="T65" t="s">
        <v>1302</v>
      </c>
      <c r="U65">
        <v>109.104</v>
      </c>
      <c r="V65" s="98">
        <v>-1535000</v>
      </c>
      <c r="W65" t="s">
        <v>9</v>
      </c>
      <c r="X65" t="s">
        <v>10</v>
      </c>
      <c r="Y65" s="98">
        <v>-1687706</v>
      </c>
      <c r="Z65" s="98">
        <v>1687706</v>
      </c>
      <c r="AA65" t="b">
        <v>0</v>
      </c>
    </row>
    <row r="66" spans="1:27" x14ac:dyDescent="0.35">
      <c r="A66" t="s">
        <v>148</v>
      </c>
      <c r="B66" t="s">
        <v>148</v>
      </c>
      <c r="C66" t="s">
        <v>149</v>
      </c>
      <c r="D66" t="s">
        <v>145</v>
      </c>
      <c r="E66" t="s">
        <v>4</v>
      </c>
      <c r="F66" s="99">
        <v>46105</v>
      </c>
      <c r="G66" t="s">
        <v>30</v>
      </c>
      <c r="H66" t="s">
        <v>14</v>
      </c>
      <c r="I66" s="98">
        <v>3000000</v>
      </c>
      <c r="J66">
        <v>114.834</v>
      </c>
      <c r="K66">
        <v>22</v>
      </c>
      <c r="L66" s="98">
        <v>4170</v>
      </c>
      <c r="M66">
        <v>205</v>
      </c>
      <c r="N66" t="s">
        <v>7</v>
      </c>
      <c r="O66" s="98">
        <v>1765</v>
      </c>
      <c r="P66" s="98">
        <v>1782</v>
      </c>
      <c r="Q66">
        <v>401</v>
      </c>
      <c r="R66">
        <v>1.29</v>
      </c>
      <c r="S66" s="98">
        <v>3445020</v>
      </c>
      <c r="T66" t="s">
        <v>1302</v>
      </c>
      <c r="U66">
        <v>114.69499999999999</v>
      </c>
      <c r="V66" s="98">
        <v>3000000</v>
      </c>
      <c r="W66" t="s">
        <v>9</v>
      </c>
      <c r="X66" t="s">
        <v>10</v>
      </c>
      <c r="Y66" s="98">
        <v>3492486</v>
      </c>
      <c r="Z66" s="98">
        <v>3492486</v>
      </c>
      <c r="AA66" t="b">
        <v>0</v>
      </c>
    </row>
    <row r="67" spans="1:27" x14ac:dyDescent="0.35">
      <c r="A67" t="s">
        <v>888</v>
      </c>
      <c r="B67" t="s">
        <v>888</v>
      </c>
      <c r="C67" t="s">
        <v>889</v>
      </c>
      <c r="D67" t="s">
        <v>890</v>
      </c>
      <c r="E67" t="s">
        <v>4</v>
      </c>
      <c r="F67" s="99">
        <v>45716</v>
      </c>
      <c r="G67" t="s">
        <v>30</v>
      </c>
      <c r="H67" t="s">
        <v>14</v>
      </c>
      <c r="I67" s="98">
        <v>-1000000</v>
      </c>
      <c r="J67">
        <v>106.307</v>
      </c>
      <c r="K67">
        <v>96</v>
      </c>
      <c r="L67" s="98">
        <v>-1060</v>
      </c>
      <c r="M67">
        <v>-51</v>
      </c>
      <c r="N67" t="s">
        <v>7</v>
      </c>
      <c r="O67">
        <v>-466</v>
      </c>
      <c r="P67">
        <v>-471</v>
      </c>
      <c r="Q67">
        <v>-453</v>
      </c>
      <c r="R67">
        <v>-1.46</v>
      </c>
      <c r="S67" s="98">
        <v>-1063070</v>
      </c>
      <c r="T67" t="s">
        <v>1302</v>
      </c>
      <c r="U67">
        <v>106.20099999999999</v>
      </c>
      <c r="V67" s="98">
        <v>-1000000</v>
      </c>
      <c r="W67" t="s">
        <v>9</v>
      </c>
      <c r="X67" t="s">
        <v>10</v>
      </c>
      <c r="Y67" s="98">
        <v>-1071597</v>
      </c>
      <c r="Z67" s="98">
        <v>1071597</v>
      </c>
      <c r="AA67" t="b">
        <v>0</v>
      </c>
    </row>
    <row r="68" spans="1:27" x14ac:dyDescent="0.35">
      <c r="A68" t="s">
        <v>155</v>
      </c>
      <c r="B68" t="s">
        <v>155</v>
      </c>
      <c r="C68" t="s">
        <v>156</v>
      </c>
      <c r="D68" t="s">
        <v>157</v>
      </c>
      <c r="E68" t="s">
        <v>4</v>
      </c>
      <c r="F68" s="99">
        <v>46222</v>
      </c>
      <c r="G68" t="s">
        <v>30</v>
      </c>
      <c r="H68" t="s">
        <v>14</v>
      </c>
      <c r="I68" s="98">
        <v>5000000</v>
      </c>
      <c r="J68">
        <v>106.941</v>
      </c>
      <c r="K68">
        <v>28</v>
      </c>
      <c r="L68" s="98">
        <v>6950</v>
      </c>
      <c r="M68">
        <v>137</v>
      </c>
      <c r="N68" t="s">
        <v>7</v>
      </c>
      <c r="O68" s="98">
        <v>3106</v>
      </c>
      <c r="P68" s="98">
        <v>3138</v>
      </c>
      <c r="Q68">
        <v>893</v>
      </c>
      <c r="R68">
        <v>2.88</v>
      </c>
      <c r="S68" s="98">
        <v>5347050</v>
      </c>
      <c r="T68" t="s">
        <v>1302</v>
      </c>
      <c r="U68">
        <v>106.80200000000001</v>
      </c>
      <c r="V68" s="98">
        <v>5000000</v>
      </c>
      <c r="W68" t="s">
        <v>9</v>
      </c>
      <c r="X68" t="s">
        <v>10</v>
      </c>
      <c r="Y68" s="98">
        <v>5350064</v>
      </c>
      <c r="Z68" s="98">
        <v>5350064</v>
      </c>
      <c r="AA68" t="b">
        <v>0</v>
      </c>
    </row>
    <row r="69" spans="1:27" x14ac:dyDescent="0.35">
      <c r="A69" t="s">
        <v>158</v>
      </c>
      <c r="B69" t="s">
        <v>158</v>
      </c>
      <c r="C69" t="s">
        <v>159</v>
      </c>
      <c r="D69" t="s">
        <v>157</v>
      </c>
      <c r="E69" t="s">
        <v>4</v>
      </c>
      <c r="F69" s="99">
        <v>45481</v>
      </c>
      <c r="G69" t="s">
        <v>30</v>
      </c>
      <c r="H69" t="s">
        <v>14</v>
      </c>
      <c r="I69" s="98">
        <v>2600000</v>
      </c>
      <c r="J69">
        <v>107.17400000000001</v>
      </c>
      <c r="K69">
        <v>31</v>
      </c>
      <c r="L69" s="98">
        <v>2366</v>
      </c>
      <c r="M69">
        <v>116</v>
      </c>
      <c r="N69" t="s">
        <v>7</v>
      </c>
      <c r="O69" s="98">
        <v>1067</v>
      </c>
      <c r="P69" s="98">
        <v>1077</v>
      </c>
      <c r="Q69">
        <v>336</v>
      </c>
      <c r="R69">
        <v>1.08</v>
      </c>
      <c r="S69" s="98">
        <v>2786524</v>
      </c>
      <c r="T69" t="s">
        <v>1302</v>
      </c>
      <c r="U69">
        <v>107.083</v>
      </c>
      <c r="V69" s="98">
        <v>2600000</v>
      </c>
      <c r="W69" t="s">
        <v>9</v>
      </c>
      <c r="X69" t="s">
        <v>10</v>
      </c>
      <c r="Y69" s="98">
        <v>2790344</v>
      </c>
      <c r="Z69" s="98">
        <v>2790344</v>
      </c>
      <c r="AA69" t="b">
        <v>0</v>
      </c>
    </row>
    <row r="70" spans="1:27" x14ac:dyDescent="0.35">
      <c r="A70" t="s">
        <v>160</v>
      </c>
      <c r="B70" t="s">
        <v>160</v>
      </c>
      <c r="C70" t="s">
        <v>161</v>
      </c>
      <c r="D70" t="s">
        <v>162</v>
      </c>
      <c r="E70" t="s">
        <v>4</v>
      </c>
      <c r="F70" s="99">
        <v>46845</v>
      </c>
      <c r="G70" t="s">
        <v>30</v>
      </c>
      <c r="H70" t="s">
        <v>14</v>
      </c>
      <c r="I70" s="98">
        <v>-2600000</v>
      </c>
      <c r="J70">
        <v>106.209</v>
      </c>
      <c r="K70">
        <v>152</v>
      </c>
      <c r="L70" s="98">
        <v>-6786</v>
      </c>
      <c r="M70">
        <v>-142</v>
      </c>
      <c r="N70" t="s">
        <v>7</v>
      </c>
      <c r="O70" s="98">
        <v>-1960</v>
      </c>
      <c r="P70" s="98">
        <v>-1982</v>
      </c>
      <c r="Q70" s="98">
        <v>-3021</v>
      </c>
      <c r="R70">
        <v>-9.75</v>
      </c>
      <c r="S70" s="98">
        <v>-2761434</v>
      </c>
      <c r="T70" t="s">
        <v>1302</v>
      </c>
      <c r="U70">
        <v>105.94799999999999</v>
      </c>
      <c r="V70" s="98">
        <v>-2600000</v>
      </c>
      <c r="W70" t="s">
        <v>9</v>
      </c>
      <c r="X70" t="s">
        <v>10</v>
      </c>
      <c r="Y70" s="98">
        <v>-2780097</v>
      </c>
      <c r="Z70" s="98">
        <v>2780097</v>
      </c>
      <c r="AA70" t="b">
        <v>0</v>
      </c>
    </row>
    <row r="71" spans="1:27" x14ac:dyDescent="0.35">
      <c r="A71" t="s">
        <v>604</v>
      </c>
      <c r="B71" t="s">
        <v>604</v>
      </c>
      <c r="C71" t="s">
        <v>605</v>
      </c>
      <c r="D71" t="s">
        <v>165</v>
      </c>
      <c r="E71" t="s">
        <v>4</v>
      </c>
      <c r="F71" s="99">
        <v>48043</v>
      </c>
      <c r="G71" t="s">
        <v>30</v>
      </c>
      <c r="H71" t="s">
        <v>14</v>
      </c>
      <c r="I71" s="98">
        <v>2200000</v>
      </c>
      <c r="J71">
        <v>101.205</v>
      </c>
      <c r="K71">
        <v>61</v>
      </c>
      <c r="L71" s="98">
        <v>6600</v>
      </c>
      <c r="M71">
        <v>30</v>
      </c>
      <c r="N71" t="s">
        <v>7</v>
      </c>
      <c r="O71" s="98">
        <v>2364</v>
      </c>
      <c r="P71" s="98">
        <v>2394</v>
      </c>
      <c r="Q71" s="98">
        <v>1459</v>
      </c>
      <c r="R71">
        <v>4.71</v>
      </c>
      <c r="S71" s="98">
        <v>2226510</v>
      </c>
      <c r="T71" t="s">
        <v>1302</v>
      </c>
      <c r="U71">
        <v>100.905</v>
      </c>
      <c r="V71" s="98">
        <v>2200000</v>
      </c>
      <c r="W71" t="s">
        <v>9</v>
      </c>
      <c r="X71" t="s">
        <v>10</v>
      </c>
      <c r="Y71" s="98">
        <v>2227324</v>
      </c>
      <c r="Z71" s="98">
        <v>2227324</v>
      </c>
      <c r="AA71" t="b">
        <v>0</v>
      </c>
    </row>
    <row r="72" spans="1:27" x14ac:dyDescent="0.35">
      <c r="A72" t="s">
        <v>163</v>
      </c>
      <c r="B72" t="s">
        <v>163</v>
      </c>
      <c r="C72" t="s">
        <v>164</v>
      </c>
      <c r="D72" t="s">
        <v>165</v>
      </c>
      <c r="E72" t="s">
        <v>4</v>
      </c>
      <c r="F72" s="99">
        <v>47121</v>
      </c>
      <c r="G72" t="s">
        <v>30</v>
      </c>
      <c r="H72" t="s">
        <v>14</v>
      </c>
      <c r="I72" s="98">
        <v>3000000</v>
      </c>
      <c r="J72">
        <v>110.34399999999999</v>
      </c>
      <c r="K72">
        <v>60</v>
      </c>
      <c r="L72" s="98">
        <v>5700</v>
      </c>
      <c r="M72">
        <v>123</v>
      </c>
      <c r="N72" t="s">
        <v>7</v>
      </c>
      <c r="O72" s="98">
        <v>2633</v>
      </c>
      <c r="P72" s="98">
        <v>2663</v>
      </c>
      <c r="Q72" s="98">
        <v>1589</v>
      </c>
      <c r="R72">
        <v>5.13</v>
      </c>
      <c r="S72" s="98">
        <v>3310320</v>
      </c>
      <c r="T72" t="s">
        <v>1302</v>
      </c>
      <c r="U72">
        <v>110.154</v>
      </c>
      <c r="V72" s="98">
        <v>3000000</v>
      </c>
      <c r="W72" t="s">
        <v>9</v>
      </c>
      <c r="X72" t="s">
        <v>10</v>
      </c>
      <c r="Y72" s="98">
        <v>3337567</v>
      </c>
      <c r="Z72" s="98">
        <v>3337567</v>
      </c>
      <c r="AA72" t="b">
        <v>0</v>
      </c>
    </row>
    <row r="73" spans="1:27" x14ac:dyDescent="0.35">
      <c r="A73" t="s">
        <v>166</v>
      </c>
      <c r="B73" t="s">
        <v>166</v>
      </c>
      <c r="C73" t="s">
        <v>167</v>
      </c>
      <c r="D73" t="s">
        <v>165</v>
      </c>
      <c r="E73" t="s">
        <v>4</v>
      </c>
      <c r="F73" s="99">
        <v>45818</v>
      </c>
      <c r="G73" t="s">
        <v>30</v>
      </c>
      <c r="H73" t="s">
        <v>14</v>
      </c>
      <c r="I73" s="98">
        <v>-2000000</v>
      </c>
      <c r="J73">
        <v>108.327</v>
      </c>
      <c r="K73">
        <v>51</v>
      </c>
      <c r="L73" s="98">
        <v>-1960</v>
      </c>
      <c r="M73">
        <v>-96</v>
      </c>
      <c r="N73" t="s">
        <v>7</v>
      </c>
      <c r="O73" s="98">
        <v>-1014</v>
      </c>
      <c r="P73" s="98">
        <v>-1024</v>
      </c>
      <c r="Q73">
        <v>-524</v>
      </c>
      <c r="R73">
        <v>-1.69</v>
      </c>
      <c r="S73" s="98">
        <v>-2166540</v>
      </c>
      <c r="T73" t="s">
        <v>1302</v>
      </c>
      <c r="U73">
        <v>108.229</v>
      </c>
      <c r="V73" s="98">
        <v>-2000000</v>
      </c>
      <c r="W73" t="s">
        <v>9</v>
      </c>
      <c r="X73" t="s">
        <v>10</v>
      </c>
      <c r="Y73" s="98">
        <v>-2172389</v>
      </c>
      <c r="Z73" s="98">
        <v>2172389</v>
      </c>
      <c r="AA73" t="b">
        <v>0</v>
      </c>
    </row>
    <row r="74" spans="1:27" x14ac:dyDescent="0.35">
      <c r="A74" t="s">
        <v>168</v>
      </c>
      <c r="B74" t="s">
        <v>168</v>
      </c>
      <c r="C74" t="s">
        <v>169</v>
      </c>
      <c r="D74" t="s">
        <v>165</v>
      </c>
      <c r="E74" t="s">
        <v>4</v>
      </c>
      <c r="F74" s="99">
        <v>45660</v>
      </c>
      <c r="G74" t="s">
        <v>30</v>
      </c>
      <c r="H74" t="s">
        <v>14</v>
      </c>
      <c r="I74" s="98">
        <v>-5300000</v>
      </c>
      <c r="J74">
        <v>104.40900000000001</v>
      </c>
      <c r="K74">
        <v>50</v>
      </c>
      <c r="L74" s="98">
        <v>-5035</v>
      </c>
      <c r="M74">
        <v>-145</v>
      </c>
      <c r="N74" t="s">
        <v>7</v>
      </c>
      <c r="O74" s="98">
        <v>-2391</v>
      </c>
      <c r="P74" s="98">
        <v>-2415</v>
      </c>
      <c r="Q74" s="98">
        <v>-1196</v>
      </c>
      <c r="R74">
        <v>-3.86</v>
      </c>
      <c r="S74" s="98">
        <v>-5533677</v>
      </c>
      <c r="T74" t="s">
        <v>1302</v>
      </c>
      <c r="U74">
        <v>104.31399999999999</v>
      </c>
      <c r="V74" s="98">
        <v>-5300000</v>
      </c>
      <c r="W74" t="s">
        <v>9</v>
      </c>
      <c r="X74" t="s">
        <v>10</v>
      </c>
      <c r="Y74" s="98">
        <v>-5565767</v>
      </c>
      <c r="Z74" s="98">
        <v>5565767</v>
      </c>
      <c r="AA74" t="b">
        <v>0</v>
      </c>
    </row>
    <row r="75" spans="1:27" x14ac:dyDescent="0.35">
      <c r="A75" t="s">
        <v>170</v>
      </c>
      <c r="B75" t="s">
        <v>170</v>
      </c>
      <c r="C75" t="s">
        <v>171</v>
      </c>
      <c r="D75" t="s">
        <v>172</v>
      </c>
      <c r="E75" t="s">
        <v>4</v>
      </c>
      <c r="F75" s="99">
        <v>49107</v>
      </c>
      <c r="G75" t="s">
        <v>30</v>
      </c>
      <c r="H75" t="s">
        <v>14</v>
      </c>
      <c r="I75" s="98">
        <v>9019000</v>
      </c>
      <c r="J75">
        <v>108.39700000000001</v>
      </c>
      <c r="K75">
        <v>49</v>
      </c>
      <c r="L75" s="98">
        <v>33100</v>
      </c>
      <c r="M75">
        <v>247</v>
      </c>
      <c r="N75" t="s">
        <v>7</v>
      </c>
      <c r="O75" s="98">
        <v>12694</v>
      </c>
      <c r="P75" s="98">
        <v>12861</v>
      </c>
      <c r="Q75" s="98">
        <v>6338</v>
      </c>
      <c r="R75">
        <v>20.45</v>
      </c>
      <c r="S75" s="98">
        <v>9776325</v>
      </c>
      <c r="T75" t="s">
        <v>1302</v>
      </c>
      <c r="U75">
        <v>108.03</v>
      </c>
      <c r="V75" s="98">
        <v>9019000</v>
      </c>
      <c r="W75" t="s">
        <v>9</v>
      </c>
      <c r="X75" t="s">
        <v>10</v>
      </c>
      <c r="Y75" s="98">
        <v>9790904</v>
      </c>
      <c r="Z75" s="98">
        <v>9790904</v>
      </c>
      <c r="AA75" t="b">
        <v>0</v>
      </c>
    </row>
    <row r="76" spans="1:27" x14ac:dyDescent="0.35">
      <c r="A76" t="s">
        <v>173</v>
      </c>
      <c r="B76" t="s">
        <v>173</v>
      </c>
      <c r="C76" t="s">
        <v>174</v>
      </c>
      <c r="D76" t="s">
        <v>172</v>
      </c>
      <c r="E76" t="s">
        <v>4</v>
      </c>
      <c r="F76" s="99">
        <v>45805</v>
      </c>
      <c r="G76" t="s">
        <v>30</v>
      </c>
      <c r="H76" t="s">
        <v>14</v>
      </c>
      <c r="I76" s="98">
        <v>-6000000</v>
      </c>
      <c r="J76">
        <v>106.69199999999999</v>
      </c>
      <c r="K76">
        <v>35</v>
      </c>
      <c r="L76" s="98">
        <v>-5640</v>
      </c>
      <c r="M76">
        <v>-205</v>
      </c>
      <c r="N76" t="s">
        <v>7</v>
      </c>
      <c r="O76" s="98">
        <v>-3006</v>
      </c>
      <c r="P76" s="98">
        <v>-3035</v>
      </c>
      <c r="Q76" s="98">
        <v>-1055</v>
      </c>
      <c r="R76">
        <v>-3.4</v>
      </c>
      <c r="S76" s="98">
        <v>-6401520</v>
      </c>
      <c r="T76" t="s">
        <v>1302</v>
      </c>
      <c r="U76">
        <v>106.598</v>
      </c>
      <c r="V76" s="98">
        <v>-6000000</v>
      </c>
      <c r="W76" t="s">
        <v>9</v>
      </c>
      <c r="X76" t="s">
        <v>10</v>
      </c>
      <c r="Y76" s="98">
        <v>-6416725</v>
      </c>
      <c r="Z76" s="98">
        <v>6416725</v>
      </c>
      <c r="AA76" t="b">
        <v>0</v>
      </c>
    </row>
    <row r="77" spans="1:27" x14ac:dyDescent="0.35">
      <c r="A77" t="s">
        <v>175</v>
      </c>
      <c r="B77" t="s">
        <v>175</v>
      </c>
      <c r="C77" t="s">
        <v>176</v>
      </c>
      <c r="D77" t="s">
        <v>177</v>
      </c>
      <c r="E77" t="s">
        <v>4</v>
      </c>
      <c r="F77" s="99">
        <v>45098</v>
      </c>
      <c r="G77" t="s">
        <v>30</v>
      </c>
      <c r="H77" t="s">
        <v>14</v>
      </c>
      <c r="I77" s="98">
        <v>-245000</v>
      </c>
      <c r="J77">
        <v>104.49</v>
      </c>
      <c r="K77">
        <v>47</v>
      </c>
      <c r="L77">
        <v>-69</v>
      </c>
      <c r="M77">
        <v>-11</v>
      </c>
      <c r="N77" t="s">
        <v>7</v>
      </c>
      <c r="O77">
        <v>-72</v>
      </c>
      <c r="P77">
        <v>-73</v>
      </c>
      <c r="Q77">
        <v>-34</v>
      </c>
      <c r="R77">
        <v>-0.11</v>
      </c>
      <c r="S77" s="98">
        <v>-256001</v>
      </c>
      <c r="T77" t="s">
        <v>1302</v>
      </c>
      <c r="U77">
        <v>104.462</v>
      </c>
      <c r="V77" s="98">
        <v>-245000</v>
      </c>
      <c r="W77" t="s">
        <v>9</v>
      </c>
      <c r="X77" t="s">
        <v>10</v>
      </c>
      <c r="Y77" s="98">
        <v>-256504</v>
      </c>
      <c r="Z77" s="98">
        <v>256504</v>
      </c>
      <c r="AA77" t="b">
        <v>0</v>
      </c>
    </row>
    <row r="78" spans="1:27" x14ac:dyDescent="0.35">
      <c r="A78" t="s">
        <v>178</v>
      </c>
      <c r="B78" t="s">
        <v>178</v>
      </c>
      <c r="C78" t="s">
        <v>179</v>
      </c>
      <c r="D78" t="s">
        <v>180</v>
      </c>
      <c r="E78" t="s">
        <v>4</v>
      </c>
      <c r="F78" s="99">
        <v>45862</v>
      </c>
      <c r="G78" t="s">
        <v>30</v>
      </c>
      <c r="H78" t="s">
        <v>14</v>
      </c>
      <c r="I78" s="98">
        <v>-1285000</v>
      </c>
      <c r="J78">
        <v>104.949</v>
      </c>
      <c r="K78">
        <v>36</v>
      </c>
      <c r="L78" s="98">
        <v>-1041</v>
      </c>
      <c r="M78">
        <v>-31</v>
      </c>
      <c r="N78" t="s">
        <v>7</v>
      </c>
      <c r="O78">
        <v>-657</v>
      </c>
      <c r="P78">
        <v>-664</v>
      </c>
      <c r="Q78">
        <v>-240</v>
      </c>
      <c r="R78">
        <v>-0.78</v>
      </c>
      <c r="S78" s="98">
        <v>-1348595</v>
      </c>
      <c r="T78" t="s">
        <v>1302</v>
      </c>
      <c r="U78">
        <v>104.86799999999999</v>
      </c>
      <c r="V78" s="98">
        <v>-1285000</v>
      </c>
      <c r="W78" t="s">
        <v>9</v>
      </c>
      <c r="X78" t="s">
        <v>10</v>
      </c>
      <c r="Y78" s="98">
        <v>-1349118</v>
      </c>
      <c r="Z78" s="98">
        <v>1349118</v>
      </c>
      <c r="AA78" t="b">
        <v>0</v>
      </c>
    </row>
    <row r="79" spans="1:27" x14ac:dyDescent="0.35">
      <c r="A79" t="s">
        <v>181</v>
      </c>
      <c r="B79" t="s">
        <v>181</v>
      </c>
      <c r="C79" t="s">
        <v>182</v>
      </c>
      <c r="D79" t="s">
        <v>183</v>
      </c>
      <c r="E79" t="s">
        <v>4</v>
      </c>
      <c r="F79" s="99">
        <v>49008</v>
      </c>
      <c r="G79" t="s">
        <v>30</v>
      </c>
      <c r="H79" t="s">
        <v>14</v>
      </c>
      <c r="I79" s="98">
        <v>2300000</v>
      </c>
      <c r="J79">
        <v>124.18600000000001</v>
      </c>
      <c r="K79">
        <v>33</v>
      </c>
      <c r="L79" s="98">
        <v>8303</v>
      </c>
      <c r="M79">
        <v>126</v>
      </c>
      <c r="N79" t="s">
        <v>7</v>
      </c>
      <c r="O79" s="98">
        <v>3480</v>
      </c>
      <c r="P79" s="98">
        <v>3523</v>
      </c>
      <c r="Q79" s="98">
        <v>1156</v>
      </c>
      <c r="R79">
        <v>3.73</v>
      </c>
      <c r="S79" s="98">
        <v>2856278</v>
      </c>
      <c r="T79" t="s">
        <v>1302</v>
      </c>
      <c r="U79">
        <v>123.825</v>
      </c>
      <c r="V79" s="98">
        <v>2300000</v>
      </c>
      <c r="W79" t="s">
        <v>9</v>
      </c>
      <c r="X79" t="s">
        <v>10</v>
      </c>
      <c r="Y79" s="98">
        <v>2876190</v>
      </c>
      <c r="Z79" s="98">
        <v>2876190</v>
      </c>
      <c r="AA79" t="b">
        <v>0</v>
      </c>
    </row>
    <row r="80" spans="1:27" x14ac:dyDescent="0.35">
      <c r="A80" t="s">
        <v>184</v>
      </c>
      <c r="B80" t="s">
        <v>184</v>
      </c>
      <c r="C80" t="s">
        <v>185</v>
      </c>
      <c r="D80" t="s">
        <v>186</v>
      </c>
      <c r="E80" t="s">
        <v>4</v>
      </c>
      <c r="F80" s="99">
        <v>48221</v>
      </c>
      <c r="G80" t="s">
        <v>30</v>
      </c>
      <c r="H80" t="s">
        <v>14</v>
      </c>
      <c r="I80" s="98">
        <v>-2900000</v>
      </c>
      <c r="J80">
        <v>119.11</v>
      </c>
      <c r="K80">
        <v>50</v>
      </c>
      <c r="L80" s="98">
        <v>-13949</v>
      </c>
      <c r="M80">
        <v>-186</v>
      </c>
      <c r="N80" t="s">
        <v>7</v>
      </c>
      <c r="O80" s="98">
        <v>-3591</v>
      </c>
      <c r="P80" s="98">
        <v>-3635</v>
      </c>
      <c r="Q80" s="98">
        <v>-1827</v>
      </c>
      <c r="R80">
        <v>-5.9</v>
      </c>
      <c r="S80" s="98">
        <v>-3454190</v>
      </c>
      <c r="T80" t="s">
        <v>1302</v>
      </c>
      <c r="U80">
        <v>118.629</v>
      </c>
      <c r="V80" s="98">
        <v>-2900000</v>
      </c>
      <c r="W80" t="s">
        <v>9</v>
      </c>
      <c r="X80" t="s">
        <v>10</v>
      </c>
      <c r="Y80" s="98">
        <v>-3488410</v>
      </c>
      <c r="Z80" s="98">
        <v>3488410</v>
      </c>
      <c r="AA80" t="b">
        <v>0</v>
      </c>
    </row>
    <row r="81" spans="1:27" x14ac:dyDescent="0.35">
      <c r="A81" t="s">
        <v>187</v>
      </c>
      <c r="B81" t="s">
        <v>187</v>
      </c>
      <c r="C81" t="s">
        <v>188</v>
      </c>
      <c r="D81" t="s">
        <v>186</v>
      </c>
      <c r="E81" t="s">
        <v>4</v>
      </c>
      <c r="F81" s="99">
        <v>46811</v>
      </c>
      <c r="G81" t="s">
        <v>30</v>
      </c>
      <c r="H81" t="s">
        <v>14</v>
      </c>
      <c r="I81" s="98">
        <v>1000000</v>
      </c>
      <c r="J81">
        <v>105.56100000000001</v>
      </c>
      <c r="K81">
        <v>34</v>
      </c>
      <c r="L81" s="98">
        <v>2500</v>
      </c>
      <c r="M81">
        <v>19</v>
      </c>
      <c r="N81" t="s">
        <v>7</v>
      </c>
      <c r="O81">
        <v>780</v>
      </c>
      <c r="P81">
        <v>789</v>
      </c>
      <c r="Q81">
        <v>268</v>
      </c>
      <c r="R81">
        <v>0.86</v>
      </c>
      <c r="S81" s="98">
        <v>1055610</v>
      </c>
      <c r="T81" t="s">
        <v>1302</v>
      </c>
      <c r="U81">
        <v>105.31100000000001</v>
      </c>
      <c r="V81" s="98">
        <v>1000000</v>
      </c>
      <c r="W81" t="s">
        <v>9</v>
      </c>
      <c r="X81" t="s">
        <v>10</v>
      </c>
      <c r="Y81" s="98">
        <v>1058718</v>
      </c>
      <c r="Z81" s="98">
        <v>1058718</v>
      </c>
      <c r="AA81" t="b">
        <v>0</v>
      </c>
    </row>
    <row r="82" spans="1:27" x14ac:dyDescent="0.35">
      <c r="A82" t="s">
        <v>189</v>
      </c>
      <c r="B82" t="s">
        <v>189</v>
      </c>
      <c r="C82" t="s">
        <v>190</v>
      </c>
      <c r="D82" t="s">
        <v>186</v>
      </c>
      <c r="E82" t="s">
        <v>4</v>
      </c>
      <c r="F82" s="99">
        <v>46395</v>
      </c>
      <c r="G82" t="s">
        <v>30</v>
      </c>
      <c r="H82" t="s">
        <v>14</v>
      </c>
      <c r="I82" s="98">
        <v>2000000</v>
      </c>
      <c r="J82">
        <v>109.976</v>
      </c>
      <c r="K82">
        <v>37</v>
      </c>
      <c r="L82" s="98">
        <v>4480</v>
      </c>
      <c r="M82">
        <v>82</v>
      </c>
      <c r="N82" t="s">
        <v>7</v>
      </c>
      <c r="O82" s="98">
        <v>1358</v>
      </c>
      <c r="P82" s="98">
        <v>1372</v>
      </c>
      <c r="Q82">
        <v>501</v>
      </c>
      <c r="R82">
        <v>1.62</v>
      </c>
      <c r="S82" s="98">
        <v>2199520</v>
      </c>
      <c r="T82" t="s">
        <v>1302</v>
      </c>
      <c r="U82">
        <v>109.752</v>
      </c>
      <c r="V82" s="98">
        <v>2000000</v>
      </c>
      <c r="W82" t="s">
        <v>9</v>
      </c>
      <c r="X82" t="s">
        <v>10</v>
      </c>
      <c r="Y82" s="98">
        <v>2217167</v>
      </c>
      <c r="Z82" s="98">
        <v>2217167</v>
      </c>
      <c r="AA82" t="b">
        <v>0</v>
      </c>
    </row>
    <row r="83" spans="1:27" x14ac:dyDescent="0.35">
      <c r="A83" t="s">
        <v>191</v>
      </c>
      <c r="B83" t="s">
        <v>191</v>
      </c>
      <c r="C83" t="s">
        <v>192</v>
      </c>
      <c r="D83" t="s">
        <v>186</v>
      </c>
      <c r="E83" t="s">
        <v>4</v>
      </c>
      <c r="F83" s="99">
        <v>46360</v>
      </c>
      <c r="G83" t="s">
        <v>30</v>
      </c>
      <c r="H83" t="s">
        <v>14</v>
      </c>
      <c r="I83" s="98">
        <v>600000</v>
      </c>
      <c r="J83">
        <v>107.465</v>
      </c>
      <c r="K83">
        <v>28</v>
      </c>
      <c r="L83" s="98">
        <v>1188</v>
      </c>
      <c r="M83">
        <v>17</v>
      </c>
      <c r="N83" t="s">
        <v>7</v>
      </c>
      <c r="O83">
        <v>397</v>
      </c>
      <c r="P83">
        <v>401</v>
      </c>
      <c r="Q83">
        <v>111</v>
      </c>
      <c r="R83">
        <v>0.36</v>
      </c>
      <c r="S83" s="98">
        <v>644790</v>
      </c>
      <c r="T83" t="s">
        <v>1302</v>
      </c>
      <c r="U83">
        <v>107.267</v>
      </c>
      <c r="V83" s="98">
        <v>600000</v>
      </c>
      <c r="W83" t="s">
        <v>9</v>
      </c>
      <c r="X83" t="s">
        <v>10</v>
      </c>
      <c r="Y83" s="98">
        <v>649011</v>
      </c>
      <c r="Z83" s="98">
        <v>649011</v>
      </c>
      <c r="AA83" t="b">
        <v>0</v>
      </c>
    </row>
    <row r="84" spans="1:27" x14ac:dyDescent="0.35">
      <c r="A84" t="s">
        <v>193</v>
      </c>
      <c r="B84" t="s">
        <v>193</v>
      </c>
      <c r="C84" t="s">
        <v>194</v>
      </c>
      <c r="D84" t="s">
        <v>186</v>
      </c>
      <c r="E84" t="s">
        <v>4</v>
      </c>
      <c r="F84" s="99">
        <v>46106</v>
      </c>
      <c r="G84" t="s">
        <v>30</v>
      </c>
      <c r="H84" t="s">
        <v>14</v>
      </c>
      <c r="I84" s="98">
        <v>-900000</v>
      </c>
      <c r="J84">
        <v>115.101</v>
      </c>
      <c r="K84">
        <v>18</v>
      </c>
      <c r="L84" s="98">
        <v>-1881</v>
      </c>
      <c r="M84">
        <v>-62</v>
      </c>
      <c r="N84" t="s">
        <v>7</v>
      </c>
      <c r="O84">
        <v>-531</v>
      </c>
      <c r="P84">
        <v>-536</v>
      </c>
      <c r="Q84">
        <v>-97</v>
      </c>
      <c r="R84">
        <v>-0.31</v>
      </c>
      <c r="S84" s="98">
        <v>-1035909</v>
      </c>
      <c r="T84" t="s">
        <v>1302</v>
      </c>
      <c r="U84">
        <v>114.892</v>
      </c>
      <c r="V84" s="98">
        <v>-900000</v>
      </c>
      <c r="W84" t="s">
        <v>9</v>
      </c>
      <c r="X84" t="s">
        <v>10</v>
      </c>
      <c r="Y84" s="98">
        <v>-1050087</v>
      </c>
      <c r="Z84" s="98">
        <v>1050087</v>
      </c>
      <c r="AA84" t="b">
        <v>0</v>
      </c>
    </row>
    <row r="85" spans="1:27" x14ac:dyDescent="0.35">
      <c r="A85" t="s">
        <v>195</v>
      </c>
      <c r="B85" t="s">
        <v>195</v>
      </c>
      <c r="C85" t="s">
        <v>196</v>
      </c>
      <c r="D85" t="s">
        <v>186</v>
      </c>
      <c r="E85" t="s">
        <v>4</v>
      </c>
      <c r="F85" s="99">
        <v>45735</v>
      </c>
      <c r="G85" t="s">
        <v>30</v>
      </c>
      <c r="H85" t="s">
        <v>14</v>
      </c>
      <c r="I85" s="98">
        <v>1500000</v>
      </c>
      <c r="J85">
        <v>107.55800000000001</v>
      </c>
      <c r="K85">
        <v>15</v>
      </c>
      <c r="L85" s="98">
        <v>2250</v>
      </c>
      <c r="M85">
        <v>57</v>
      </c>
      <c r="N85" t="s">
        <v>7</v>
      </c>
      <c r="O85">
        <v>689</v>
      </c>
      <c r="P85">
        <v>696</v>
      </c>
      <c r="Q85">
        <v>108</v>
      </c>
      <c r="R85">
        <v>0.35</v>
      </c>
      <c r="S85" s="98">
        <v>1613370</v>
      </c>
      <c r="T85" t="s">
        <v>1302</v>
      </c>
      <c r="U85">
        <v>107.408</v>
      </c>
      <c r="V85" s="98">
        <v>1500000</v>
      </c>
      <c r="W85" t="s">
        <v>9</v>
      </c>
      <c r="X85" t="s">
        <v>10</v>
      </c>
      <c r="Y85" s="98">
        <v>1626706</v>
      </c>
      <c r="Z85" s="98">
        <v>1626706</v>
      </c>
      <c r="AA85" t="b">
        <v>0</v>
      </c>
    </row>
    <row r="86" spans="1:27" x14ac:dyDescent="0.35">
      <c r="A86" t="s">
        <v>197</v>
      </c>
      <c r="B86" t="s">
        <v>197</v>
      </c>
      <c r="C86" t="s">
        <v>198</v>
      </c>
      <c r="D86" t="s">
        <v>199</v>
      </c>
      <c r="E86" t="s">
        <v>4</v>
      </c>
      <c r="F86" s="99">
        <v>48419</v>
      </c>
      <c r="G86" t="s">
        <v>30</v>
      </c>
      <c r="H86" t="s">
        <v>14</v>
      </c>
      <c r="I86" s="98">
        <v>-941000</v>
      </c>
      <c r="J86">
        <v>105.818</v>
      </c>
      <c r="K86">
        <v>44</v>
      </c>
      <c r="L86" s="98">
        <v>-3585</v>
      </c>
      <c r="M86">
        <v>-19</v>
      </c>
      <c r="N86" t="s">
        <v>7</v>
      </c>
      <c r="O86" s="98">
        <v>-1119</v>
      </c>
      <c r="P86" s="98">
        <v>-1134</v>
      </c>
      <c r="Q86">
        <v>-495</v>
      </c>
      <c r="R86">
        <v>-1.6</v>
      </c>
      <c r="S86" s="98">
        <v>-995747</v>
      </c>
      <c r="T86" t="s">
        <v>1302</v>
      </c>
      <c r="U86">
        <v>105.437</v>
      </c>
      <c r="V86" s="98">
        <v>-941000</v>
      </c>
      <c r="W86" t="s">
        <v>9</v>
      </c>
      <c r="X86" t="s">
        <v>10</v>
      </c>
      <c r="Y86" s="98">
        <v>-997855</v>
      </c>
      <c r="Z86" s="98">
        <v>997855</v>
      </c>
      <c r="AA86" t="b">
        <v>0</v>
      </c>
    </row>
    <row r="87" spans="1:27" x14ac:dyDescent="0.35">
      <c r="A87" t="s">
        <v>1275</v>
      </c>
      <c r="B87" t="s">
        <v>1275</v>
      </c>
      <c r="C87" t="s">
        <v>1276</v>
      </c>
      <c r="D87" t="s">
        <v>199</v>
      </c>
      <c r="E87" t="s">
        <v>4</v>
      </c>
      <c r="F87" s="99">
        <v>46594</v>
      </c>
      <c r="G87" t="s">
        <v>30</v>
      </c>
      <c r="H87" t="s">
        <v>14</v>
      </c>
      <c r="I87" s="98">
        <v>2000000</v>
      </c>
      <c r="J87">
        <v>110.02200000000001</v>
      </c>
      <c r="K87">
        <v>30</v>
      </c>
      <c r="L87" s="98">
        <v>3740</v>
      </c>
      <c r="M87">
        <v>75</v>
      </c>
      <c r="N87" t="s">
        <v>7</v>
      </c>
      <c r="O87" s="98">
        <v>1424</v>
      </c>
      <c r="P87" s="98">
        <v>1439</v>
      </c>
      <c r="Q87">
        <v>436</v>
      </c>
      <c r="R87">
        <v>1.41</v>
      </c>
      <c r="S87" s="98">
        <v>2200440</v>
      </c>
      <c r="T87" t="s">
        <v>1302</v>
      </c>
      <c r="U87">
        <v>109.83499999999999</v>
      </c>
      <c r="V87" s="98">
        <v>2000000</v>
      </c>
      <c r="W87" t="s">
        <v>9</v>
      </c>
      <c r="X87" t="s">
        <v>10</v>
      </c>
      <c r="Y87" s="98">
        <v>2208502</v>
      </c>
      <c r="Z87" s="98">
        <v>2208502</v>
      </c>
      <c r="AA87" t="b">
        <v>0</v>
      </c>
    </row>
    <row r="88" spans="1:27" x14ac:dyDescent="0.35">
      <c r="A88" t="s">
        <v>200</v>
      </c>
      <c r="B88" t="s">
        <v>200</v>
      </c>
      <c r="C88" t="s">
        <v>201</v>
      </c>
      <c r="D88" t="s">
        <v>202</v>
      </c>
      <c r="E88" t="s">
        <v>4</v>
      </c>
      <c r="F88" s="99">
        <v>49105</v>
      </c>
      <c r="G88" t="s">
        <v>30</v>
      </c>
      <c r="H88" t="s">
        <v>14</v>
      </c>
      <c r="I88">
        <v>0</v>
      </c>
      <c r="J88">
        <v>102.18</v>
      </c>
      <c r="K88">
        <v>50</v>
      </c>
      <c r="L88">
        <v>0</v>
      </c>
      <c r="M88">
        <v>0</v>
      </c>
      <c r="N88" t="s">
        <v>7</v>
      </c>
      <c r="O88">
        <v>0</v>
      </c>
      <c r="P88">
        <v>0</v>
      </c>
      <c r="Q88">
        <v>0</v>
      </c>
      <c r="R88">
        <v>0</v>
      </c>
      <c r="S88">
        <v>0</v>
      </c>
      <c r="T88" t="s">
        <v>31</v>
      </c>
      <c r="U88">
        <v>102.18</v>
      </c>
      <c r="V88">
        <v>0</v>
      </c>
      <c r="W88" t="s">
        <v>9</v>
      </c>
      <c r="X88" t="s">
        <v>10</v>
      </c>
      <c r="Y88">
        <v>0</v>
      </c>
      <c r="Z88">
        <v>0</v>
      </c>
    </row>
    <row r="89" spans="1:27" x14ac:dyDescent="0.35">
      <c r="A89" t="s">
        <v>205</v>
      </c>
      <c r="B89" t="s">
        <v>205</v>
      </c>
      <c r="C89" t="s">
        <v>206</v>
      </c>
      <c r="D89" t="s">
        <v>202</v>
      </c>
      <c r="E89" t="s">
        <v>4</v>
      </c>
      <c r="F89" s="99">
        <v>46929</v>
      </c>
      <c r="G89" t="s">
        <v>30</v>
      </c>
      <c r="H89" t="s">
        <v>14</v>
      </c>
      <c r="I89" s="98">
        <v>-4000000</v>
      </c>
      <c r="J89">
        <v>112.32</v>
      </c>
      <c r="K89">
        <v>31</v>
      </c>
      <c r="L89" s="98">
        <v>-6600</v>
      </c>
      <c r="M89">
        <v>-164</v>
      </c>
      <c r="N89" t="s">
        <v>7</v>
      </c>
      <c r="O89" s="98">
        <v>-3376</v>
      </c>
      <c r="P89" s="98">
        <v>-3414</v>
      </c>
      <c r="Q89" s="98">
        <v>-1048</v>
      </c>
      <c r="R89">
        <v>-3.38</v>
      </c>
      <c r="S89" s="98">
        <v>-4492800</v>
      </c>
      <c r="T89" t="s">
        <v>1302</v>
      </c>
      <c r="U89">
        <v>112.155</v>
      </c>
      <c r="V89" s="98">
        <v>-4000000</v>
      </c>
      <c r="W89" t="s">
        <v>9</v>
      </c>
      <c r="X89" t="s">
        <v>10</v>
      </c>
      <c r="Y89" s="98">
        <v>-4500362</v>
      </c>
      <c r="Z89" s="98">
        <v>4500362</v>
      </c>
      <c r="AA89" t="b">
        <v>0</v>
      </c>
    </row>
    <row r="90" spans="1:27" x14ac:dyDescent="0.35">
      <c r="A90" t="s">
        <v>594</v>
      </c>
      <c r="B90" t="s">
        <v>594</v>
      </c>
      <c r="C90" t="s">
        <v>595</v>
      </c>
      <c r="D90" t="s">
        <v>209</v>
      </c>
      <c r="E90" t="s">
        <v>4</v>
      </c>
      <c r="F90" s="99">
        <v>48908</v>
      </c>
      <c r="G90" t="s">
        <v>30</v>
      </c>
      <c r="H90" t="s">
        <v>14</v>
      </c>
      <c r="I90" s="98">
        <v>600000</v>
      </c>
      <c r="J90">
        <v>170.45699999999999</v>
      </c>
      <c r="K90">
        <v>71</v>
      </c>
      <c r="L90" s="98">
        <v>3642</v>
      </c>
      <c r="M90">
        <v>100</v>
      </c>
      <c r="N90" t="s">
        <v>7</v>
      </c>
      <c r="O90" s="98">
        <v>1047</v>
      </c>
      <c r="P90" s="98">
        <v>1058</v>
      </c>
      <c r="Q90">
        <v>747</v>
      </c>
      <c r="R90">
        <v>2.41</v>
      </c>
      <c r="S90" s="98">
        <v>1022742</v>
      </c>
      <c r="T90" t="s">
        <v>1302</v>
      </c>
      <c r="U90">
        <v>169.85</v>
      </c>
      <c r="V90" s="98">
        <v>600000</v>
      </c>
      <c r="W90" t="s">
        <v>9</v>
      </c>
      <c r="X90" t="s">
        <v>10</v>
      </c>
      <c r="Y90" s="98">
        <v>1057986</v>
      </c>
      <c r="Z90" s="98">
        <v>1057986</v>
      </c>
      <c r="AA90" t="b">
        <v>0</v>
      </c>
    </row>
    <row r="91" spans="1:27" x14ac:dyDescent="0.35">
      <c r="A91" t="s">
        <v>207</v>
      </c>
      <c r="B91" t="s">
        <v>207</v>
      </c>
      <c r="C91" t="s">
        <v>208</v>
      </c>
      <c r="D91" t="s">
        <v>209</v>
      </c>
      <c r="E91" t="s">
        <v>4</v>
      </c>
      <c r="F91" s="99">
        <v>46767</v>
      </c>
      <c r="G91" t="s">
        <v>30</v>
      </c>
      <c r="H91" t="s">
        <v>14</v>
      </c>
      <c r="I91" s="98">
        <v>-2300000</v>
      </c>
      <c r="J91">
        <v>108.34</v>
      </c>
      <c r="K91">
        <v>51</v>
      </c>
      <c r="L91" s="98">
        <v>-5152</v>
      </c>
      <c r="M91">
        <v>-79</v>
      </c>
      <c r="N91" t="s">
        <v>7</v>
      </c>
      <c r="O91" s="98">
        <v>-1780</v>
      </c>
      <c r="P91" s="98">
        <v>-1801</v>
      </c>
      <c r="Q91">
        <v>-911</v>
      </c>
      <c r="R91">
        <v>-2.94</v>
      </c>
      <c r="S91" s="98">
        <v>-2491820</v>
      </c>
      <c r="T91" t="s">
        <v>1302</v>
      </c>
      <c r="U91">
        <v>108.116</v>
      </c>
      <c r="V91" s="98">
        <v>-2300000</v>
      </c>
      <c r="W91" t="s">
        <v>9</v>
      </c>
      <c r="X91" t="s">
        <v>10</v>
      </c>
      <c r="Y91" s="98">
        <v>-2508282</v>
      </c>
      <c r="Z91" s="98">
        <v>2508282</v>
      </c>
      <c r="AA91" t="b">
        <v>0</v>
      </c>
    </row>
    <row r="92" spans="1:27" x14ac:dyDescent="0.35">
      <c r="A92" t="s">
        <v>210</v>
      </c>
      <c r="B92" t="s">
        <v>210</v>
      </c>
      <c r="C92" t="s">
        <v>211</v>
      </c>
      <c r="D92" t="s">
        <v>209</v>
      </c>
      <c r="E92" t="s">
        <v>4</v>
      </c>
      <c r="F92" s="99">
        <v>46476</v>
      </c>
      <c r="G92" t="s">
        <v>30</v>
      </c>
      <c r="H92" t="s">
        <v>14</v>
      </c>
      <c r="I92" s="98">
        <v>600000</v>
      </c>
      <c r="J92">
        <v>129.41399999999999</v>
      </c>
      <c r="K92">
        <v>45</v>
      </c>
      <c r="L92" s="98">
        <v>1356</v>
      </c>
      <c r="M92">
        <v>76</v>
      </c>
      <c r="N92" t="s">
        <v>7</v>
      </c>
      <c r="O92">
        <v>448</v>
      </c>
      <c r="P92">
        <v>453</v>
      </c>
      <c r="Q92">
        <v>202</v>
      </c>
      <c r="R92">
        <v>0.65</v>
      </c>
      <c r="S92" s="98">
        <v>776484</v>
      </c>
      <c r="T92" t="s">
        <v>1302</v>
      </c>
      <c r="U92">
        <v>129.18799999999999</v>
      </c>
      <c r="V92" s="98">
        <v>600000</v>
      </c>
      <c r="W92" t="s">
        <v>9</v>
      </c>
      <c r="X92" t="s">
        <v>10</v>
      </c>
      <c r="Y92" s="98">
        <v>793590</v>
      </c>
      <c r="Z92" s="98">
        <v>793590</v>
      </c>
      <c r="AA92" t="b">
        <v>0</v>
      </c>
    </row>
    <row r="93" spans="1:27" x14ac:dyDescent="0.35">
      <c r="A93" t="s">
        <v>212</v>
      </c>
      <c r="B93" t="s">
        <v>212</v>
      </c>
      <c r="C93" t="s">
        <v>213</v>
      </c>
      <c r="D93" t="s">
        <v>209</v>
      </c>
      <c r="E93" t="s">
        <v>4</v>
      </c>
      <c r="F93" s="99">
        <v>46264</v>
      </c>
      <c r="G93" t="s">
        <v>30</v>
      </c>
      <c r="H93" t="s">
        <v>14</v>
      </c>
      <c r="I93" s="98">
        <v>-2000000</v>
      </c>
      <c r="J93">
        <v>109.483</v>
      </c>
      <c r="K93">
        <v>38</v>
      </c>
      <c r="L93" s="98">
        <v>-3920</v>
      </c>
      <c r="M93">
        <v>-82</v>
      </c>
      <c r="N93" t="s">
        <v>7</v>
      </c>
      <c r="O93" s="98">
        <v>-1280</v>
      </c>
      <c r="P93" s="98">
        <v>-1293</v>
      </c>
      <c r="Q93">
        <v>-487</v>
      </c>
      <c r="R93">
        <v>-1.57</v>
      </c>
      <c r="S93" s="98">
        <v>-2189660</v>
      </c>
      <c r="T93" t="s">
        <v>1302</v>
      </c>
      <c r="U93">
        <v>109.28700000000001</v>
      </c>
      <c r="V93" s="98">
        <v>-2000000</v>
      </c>
      <c r="W93" t="s">
        <v>9</v>
      </c>
      <c r="X93" t="s">
        <v>10</v>
      </c>
      <c r="Y93" s="98">
        <v>-2217945</v>
      </c>
      <c r="Z93" s="98">
        <v>2217945</v>
      </c>
      <c r="AA93" t="b">
        <v>0</v>
      </c>
    </row>
    <row r="94" spans="1:27" x14ac:dyDescent="0.35">
      <c r="A94" t="s">
        <v>214</v>
      </c>
      <c r="B94" t="s">
        <v>214</v>
      </c>
      <c r="C94" t="s">
        <v>215</v>
      </c>
      <c r="D94" t="s">
        <v>209</v>
      </c>
      <c r="E94" t="s">
        <v>4</v>
      </c>
      <c r="F94" s="99">
        <v>45111</v>
      </c>
      <c r="G94" t="s">
        <v>30</v>
      </c>
      <c r="H94" t="s">
        <v>14</v>
      </c>
      <c r="I94" s="98">
        <v>900000</v>
      </c>
      <c r="J94">
        <v>101.429</v>
      </c>
      <c r="K94">
        <v>36</v>
      </c>
      <c r="L94">
        <v>621</v>
      </c>
      <c r="M94">
        <v>8</v>
      </c>
      <c r="N94" t="s">
        <v>7</v>
      </c>
      <c r="O94">
        <v>264</v>
      </c>
      <c r="P94">
        <v>266</v>
      </c>
      <c r="Q94">
        <v>95</v>
      </c>
      <c r="R94">
        <v>0.31</v>
      </c>
      <c r="S94" s="98">
        <v>912861</v>
      </c>
      <c r="T94" t="s">
        <v>1302</v>
      </c>
      <c r="U94">
        <v>101.36</v>
      </c>
      <c r="V94" s="98">
        <v>900000</v>
      </c>
      <c r="W94" t="s">
        <v>9</v>
      </c>
      <c r="X94" t="s">
        <v>10</v>
      </c>
      <c r="Y94" s="98">
        <v>913147</v>
      </c>
      <c r="Z94" s="98">
        <v>913147</v>
      </c>
      <c r="AA94" t="b">
        <v>0</v>
      </c>
    </row>
    <row r="95" spans="1:27" x14ac:dyDescent="0.35">
      <c r="A95" t="s">
        <v>970</v>
      </c>
      <c r="B95" t="s">
        <v>970</v>
      </c>
      <c r="C95" t="s">
        <v>971</v>
      </c>
      <c r="D95" t="s">
        <v>428</v>
      </c>
      <c r="E95" t="s">
        <v>4</v>
      </c>
      <c r="F95" s="99">
        <v>50364</v>
      </c>
      <c r="G95" t="s">
        <v>30</v>
      </c>
      <c r="H95" t="s">
        <v>14</v>
      </c>
      <c r="I95" s="98">
        <v>-300000</v>
      </c>
      <c r="J95">
        <v>126.27200000000001</v>
      </c>
      <c r="K95">
        <v>123</v>
      </c>
      <c r="L95" s="98">
        <v>-2163</v>
      </c>
      <c r="M95">
        <v>-24</v>
      </c>
      <c r="N95" t="s">
        <v>7</v>
      </c>
      <c r="O95">
        <v>-529</v>
      </c>
      <c r="P95">
        <v>-535</v>
      </c>
      <c r="Q95">
        <v>-660</v>
      </c>
      <c r="R95">
        <v>-2.13</v>
      </c>
      <c r="S95" s="98">
        <v>-378816</v>
      </c>
      <c r="T95" t="s">
        <v>1302</v>
      </c>
      <c r="U95">
        <v>125.551</v>
      </c>
      <c r="V95" s="98">
        <v>-300000</v>
      </c>
      <c r="W95" t="s">
        <v>9</v>
      </c>
      <c r="X95" t="s">
        <v>10</v>
      </c>
      <c r="Y95" s="98">
        <v>-387205</v>
      </c>
      <c r="Z95" s="98">
        <v>387205</v>
      </c>
      <c r="AA95" t="b">
        <v>0</v>
      </c>
    </row>
    <row r="96" spans="1:27" x14ac:dyDescent="0.35">
      <c r="A96" t="s">
        <v>994</v>
      </c>
      <c r="B96" t="s">
        <v>994</v>
      </c>
      <c r="C96" t="s">
        <v>995</v>
      </c>
      <c r="D96" t="s">
        <v>216</v>
      </c>
      <c r="E96" t="s">
        <v>4</v>
      </c>
      <c r="F96" s="99">
        <v>45022</v>
      </c>
      <c r="G96" t="s">
        <v>30</v>
      </c>
      <c r="H96" t="s">
        <v>14</v>
      </c>
      <c r="I96" s="98">
        <v>6300000</v>
      </c>
      <c r="J96">
        <v>105.98699999999999</v>
      </c>
      <c r="K96">
        <v>54</v>
      </c>
      <c r="L96" s="98">
        <v>6804</v>
      </c>
      <c r="M96">
        <v>432</v>
      </c>
      <c r="N96" t="s">
        <v>7</v>
      </c>
      <c r="O96" s="98">
        <v>1578</v>
      </c>
      <c r="P96" s="98">
        <v>1591</v>
      </c>
      <c r="Q96">
        <v>861</v>
      </c>
      <c r="R96">
        <v>2.78</v>
      </c>
      <c r="S96" s="98">
        <v>6677181</v>
      </c>
      <c r="T96" t="s">
        <v>1302</v>
      </c>
      <c r="U96">
        <v>105.879</v>
      </c>
      <c r="V96" s="98">
        <v>6300000</v>
      </c>
      <c r="W96" t="s">
        <v>9</v>
      </c>
      <c r="X96" t="s">
        <v>10</v>
      </c>
      <c r="Y96" s="98">
        <v>6771249</v>
      </c>
      <c r="Z96" s="98">
        <v>6771249</v>
      </c>
      <c r="AA96" t="b">
        <v>0</v>
      </c>
    </row>
    <row r="97" spans="1:27" x14ac:dyDescent="0.35">
      <c r="A97" t="s">
        <v>217</v>
      </c>
      <c r="B97" t="s">
        <v>217</v>
      </c>
      <c r="C97" t="s">
        <v>218</v>
      </c>
      <c r="D97" t="s">
        <v>219</v>
      </c>
      <c r="E97" t="s">
        <v>4</v>
      </c>
      <c r="F97" s="99">
        <v>50848</v>
      </c>
      <c r="G97" t="s">
        <v>30</v>
      </c>
      <c r="H97" t="s">
        <v>14</v>
      </c>
      <c r="I97" s="98">
        <v>-1300000</v>
      </c>
      <c r="J97">
        <v>107.41</v>
      </c>
      <c r="K97">
        <v>109</v>
      </c>
      <c r="L97" s="98">
        <v>-8450</v>
      </c>
      <c r="M97">
        <v>-53</v>
      </c>
      <c r="N97" t="s">
        <v>7</v>
      </c>
      <c r="O97" s="98">
        <v>-2302</v>
      </c>
      <c r="P97" s="98">
        <v>-2332</v>
      </c>
      <c r="Q97" s="98">
        <v>-2542</v>
      </c>
      <c r="R97">
        <v>-8.1999999999999993</v>
      </c>
      <c r="S97" s="98">
        <v>-1396330</v>
      </c>
      <c r="T97" t="s">
        <v>1302</v>
      </c>
      <c r="U97">
        <v>106.76</v>
      </c>
      <c r="V97" s="98">
        <v>-1300000</v>
      </c>
      <c r="W97" t="s">
        <v>9</v>
      </c>
      <c r="X97" t="s">
        <v>10</v>
      </c>
      <c r="Y97" s="98">
        <v>-1399108</v>
      </c>
      <c r="Z97" s="98">
        <v>1399108</v>
      </c>
      <c r="AA97" t="b">
        <v>0</v>
      </c>
    </row>
    <row r="98" spans="1:27" x14ac:dyDescent="0.35">
      <c r="A98" t="s">
        <v>220</v>
      </c>
      <c r="B98" t="s">
        <v>220</v>
      </c>
      <c r="C98" t="s">
        <v>221</v>
      </c>
      <c r="D98" t="s">
        <v>219</v>
      </c>
      <c r="E98" t="s">
        <v>4</v>
      </c>
      <c r="F98" s="99">
        <v>48201</v>
      </c>
      <c r="G98" t="s">
        <v>30</v>
      </c>
      <c r="H98" t="s">
        <v>14</v>
      </c>
      <c r="I98" s="98">
        <v>1500000</v>
      </c>
      <c r="J98">
        <v>103.351</v>
      </c>
      <c r="K98">
        <v>78</v>
      </c>
      <c r="L98" s="98">
        <v>6030</v>
      </c>
      <c r="M98">
        <v>36</v>
      </c>
      <c r="N98" t="s">
        <v>7</v>
      </c>
      <c r="O98" s="98">
        <v>1675</v>
      </c>
      <c r="P98" s="98">
        <v>1696</v>
      </c>
      <c r="Q98" s="98">
        <v>1318</v>
      </c>
      <c r="R98">
        <v>4.25</v>
      </c>
      <c r="S98" s="98">
        <v>1550265</v>
      </c>
      <c r="T98" t="s">
        <v>1302</v>
      </c>
      <c r="U98">
        <v>102.949</v>
      </c>
      <c r="V98" s="98">
        <v>1500000</v>
      </c>
      <c r="W98" t="s">
        <v>9</v>
      </c>
      <c r="X98" t="s">
        <v>10</v>
      </c>
      <c r="Y98" s="98">
        <v>1558751</v>
      </c>
      <c r="Z98" s="98">
        <v>1558751</v>
      </c>
      <c r="AA98" t="b">
        <v>0</v>
      </c>
    </row>
    <row r="99" spans="1:27" x14ac:dyDescent="0.35">
      <c r="A99" t="s">
        <v>222</v>
      </c>
      <c r="B99" t="s">
        <v>222</v>
      </c>
      <c r="C99" t="s">
        <v>223</v>
      </c>
      <c r="D99" t="s">
        <v>224</v>
      </c>
      <c r="E99" t="s">
        <v>4</v>
      </c>
      <c r="F99" s="99">
        <v>47021</v>
      </c>
      <c r="G99" t="s">
        <v>30</v>
      </c>
      <c r="H99" t="s">
        <v>14</v>
      </c>
      <c r="I99" s="98">
        <v>-500000</v>
      </c>
      <c r="J99">
        <v>98.882000000000005</v>
      </c>
      <c r="K99">
        <v>185</v>
      </c>
      <c r="L99" s="98">
        <v>-2435</v>
      </c>
      <c r="M99">
        <v>-18</v>
      </c>
      <c r="N99" t="s">
        <v>7</v>
      </c>
      <c r="O99">
        <v>-367</v>
      </c>
      <c r="P99">
        <v>-371</v>
      </c>
      <c r="Q99">
        <v>-686</v>
      </c>
      <c r="R99">
        <v>-2.21</v>
      </c>
      <c r="S99" s="98">
        <v>-494410</v>
      </c>
      <c r="T99" t="s">
        <v>1302</v>
      </c>
      <c r="U99">
        <v>98.394999999999996</v>
      </c>
      <c r="V99" s="98">
        <v>-500000</v>
      </c>
      <c r="W99" t="s">
        <v>9</v>
      </c>
      <c r="X99" t="s">
        <v>10</v>
      </c>
      <c r="Y99" s="98">
        <v>-495249</v>
      </c>
      <c r="Z99" s="98">
        <v>495249</v>
      </c>
      <c r="AA99" t="b">
        <v>0</v>
      </c>
    </row>
    <row r="100" spans="1:27" x14ac:dyDescent="0.35">
      <c r="A100" t="s">
        <v>225</v>
      </c>
      <c r="B100" t="s">
        <v>225</v>
      </c>
      <c r="C100" t="s">
        <v>226</v>
      </c>
      <c r="D100" t="s">
        <v>227</v>
      </c>
      <c r="E100" t="s">
        <v>4</v>
      </c>
      <c r="F100" s="99">
        <v>50765</v>
      </c>
      <c r="G100" t="s">
        <v>30</v>
      </c>
      <c r="H100" t="s">
        <v>14</v>
      </c>
      <c r="I100" s="98">
        <v>-150000</v>
      </c>
      <c r="J100">
        <v>101.76</v>
      </c>
      <c r="K100">
        <v>133</v>
      </c>
      <c r="L100">
        <v>-830</v>
      </c>
      <c r="M100">
        <v>-44</v>
      </c>
      <c r="N100" t="s">
        <v>7</v>
      </c>
      <c r="O100">
        <v>-249</v>
      </c>
      <c r="P100">
        <v>-252</v>
      </c>
      <c r="Q100">
        <v>-335</v>
      </c>
      <c r="R100">
        <v>-1.08</v>
      </c>
      <c r="S100" s="98">
        <v>-152640</v>
      </c>
      <c r="T100" t="s">
        <v>1302</v>
      </c>
      <c r="U100">
        <v>101.20699999999999</v>
      </c>
      <c r="V100" s="98">
        <v>-150000</v>
      </c>
      <c r="W100" t="s">
        <v>9</v>
      </c>
      <c r="X100" t="s">
        <v>10</v>
      </c>
      <c r="Y100" s="98">
        <v>-153433</v>
      </c>
      <c r="Z100" s="98">
        <v>153433</v>
      </c>
      <c r="AA100" t="b">
        <v>0</v>
      </c>
    </row>
    <row r="101" spans="1:27" x14ac:dyDescent="0.35">
      <c r="A101" t="s">
        <v>228</v>
      </c>
      <c r="B101" t="s">
        <v>229</v>
      </c>
      <c r="C101" t="s">
        <v>229</v>
      </c>
      <c r="E101" t="s">
        <v>4</v>
      </c>
      <c r="F101" s="99">
        <v>46011</v>
      </c>
      <c r="G101" t="s">
        <v>5</v>
      </c>
      <c r="H101" t="s">
        <v>6</v>
      </c>
      <c r="I101" s="98">
        <v>1500000</v>
      </c>
      <c r="J101">
        <v>1.1850000000000001</v>
      </c>
      <c r="K101">
        <v>123</v>
      </c>
      <c r="L101" s="98">
        <v>-3038</v>
      </c>
      <c r="M101">
        <v>-42</v>
      </c>
      <c r="N101" t="s">
        <v>7</v>
      </c>
      <c r="O101">
        <v>-5</v>
      </c>
      <c r="P101">
        <v>-752</v>
      </c>
      <c r="Q101">
        <v>-928</v>
      </c>
      <c r="R101">
        <v>-2.99</v>
      </c>
      <c r="S101" s="98">
        <v>17780</v>
      </c>
      <c r="T101" t="s">
        <v>8</v>
      </c>
      <c r="U101">
        <v>1.3879999999999999</v>
      </c>
      <c r="V101" s="98">
        <v>1500000</v>
      </c>
      <c r="W101" t="s">
        <v>230</v>
      </c>
      <c r="X101" t="s">
        <v>10</v>
      </c>
      <c r="Y101" s="98">
        <v>-1500000</v>
      </c>
      <c r="Z101" s="98">
        <v>1500000</v>
      </c>
      <c r="AA101" t="b">
        <v>0</v>
      </c>
    </row>
    <row r="102" spans="1:27" x14ac:dyDescent="0.35">
      <c r="A102" t="s">
        <v>231</v>
      </c>
      <c r="B102" t="s">
        <v>232</v>
      </c>
      <c r="C102" t="s">
        <v>232</v>
      </c>
      <c r="E102" t="s">
        <v>4</v>
      </c>
      <c r="F102" s="99">
        <v>46011</v>
      </c>
      <c r="G102" t="s">
        <v>5</v>
      </c>
      <c r="H102" t="s">
        <v>6</v>
      </c>
      <c r="I102" s="98">
        <v>-2000000</v>
      </c>
      <c r="J102">
        <v>-1.7170000000000001</v>
      </c>
      <c r="K102">
        <v>66</v>
      </c>
      <c r="L102" s="98">
        <v>2675</v>
      </c>
      <c r="M102">
        <v>56</v>
      </c>
      <c r="N102" t="s">
        <v>7</v>
      </c>
      <c r="O102">
        <v>-9</v>
      </c>
      <c r="P102" s="98">
        <v>1036</v>
      </c>
      <c r="Q102">
        <v>688</v>
      </c>
      <c r="R102">
        <v>2.2200000000000002</v>
      </c>
      <c r="S102" s="98">
        <v>34332</v>
      </c>
      <c r="T102" t="s">
        <v>8</v>
      </c>
      <c r="U102">
        <v>-1.583</v>
      </c>
      <c r="V102" s="98">
        <v>-2000000</v>
      </c>
      <c r="W102" t="s">
        <v>230</v>
      </c>
      <c r="X102" t="s">
        <v>10</v>
      </c>
      <c r="Y102" s="98">
        <v>2000000</v>
      </c>
      <c r="Z102" s="98">
        <v>2000000</v>
      </c>
      <c r="AA102" t="b">
        <v>0</v>
      </c>
    </row>
    <row r="103" spans="1:27" x14ac:dyDescent="0.35">
      <c r="A103" t="s">
        <v>11</v>
      </c>
      <c r="B103" t="s">
        <v>12</v>
      </c>
      <c r="C103" t="s">
        <v>12</v>
      </c>
      <c r="E103" t="s">
        <v>4</v>
      </c>
      <c r="G103" t="s">
        <v>13</v>
      </c>
      <c r="H103" t="s">
        <v>14</v>
      </c>
      <c r="I103">
        <v>-16</v>
      </c>
      <c r="J103">
        <v>176.35</v>
      </c>
      <c r="K103">
        <v>-88</v>
      </c>
      <c r="L103" s="98">
        <v>-4480</v>
      </c>
      <c r="M103">
        <v>0</v>
      </c>
      <c r="O103" s="98">
        <v>-2395</v>
      </c>
      <c r="P103">
        <v>0</v>
      </c>
      <c r="Q103">
        <v>0</v>
      </c>
      <c r="R103">
        <v>0</v>
      </c>
      <c r="S103" s="98">
        <v>-17937</v>
      </c>
      <c r="T103" t="s">
        <v>15</v>
      </c>
      <c r="U103">
        <v>176.07</v>
      </c>
      <c r="V103">
        <v>-16</v>
      </c>
      <c r="W103" t="s">
        <v>230</v>
      </c>
      <c r="X103" t="s">
        <v>10</v>
      </c>
      <c r="Y103">
        <v>0</v>
      </c>
      <c r="Z103">
        <v>0</v>
      </c>
      <c r="AA103" t="b">
        <v>0</v>
      </c>
    </row>
    <row r="104" spans="1:27" x14ac:dyDescent="0.35">
      <c r="A104" t="s">
        <v>16</v>
      </c>
      <c r="B104" t="s">
        <v>17</v>
      </c>
      <c r="C104" t="s">
        <v>17</v>
      </c>
      <c r="E104" t="s">
        <v>4</v>
      </c>
      <c r="G104" t="s">
        <v>13</v>
      </c>
      <c r="H104" t="s">
        <v>14</v>
      </c>
      <c r="I104">
        <v>-4</v>
      </c>
      <c r="J104">
        <v>135.83000000000001</v>
      </c>
      <c r="K104">
        <v>-50</v>
      </c>
      <c r="L104">
        <v>-240</v>
      </c>
      <c r="M104">
        <v>0</v>
      </c>
      <c r="O104">
        <v>-249</v>
      </c>
      <c r="P104">
        <v>0</v>
      </c>
      <c r="Q104">
        <v>0</v>
      </c>
      <c r="R104">
        <v>0</v>
      </c>
      <c r="S104">
        <v>-40</v>
      </c>
      <c r="T104" t="s">
        <v>15</v>
      </c>
      <c r="U104">
        <v>135.77000000000001</v>
      </c>
      <c r="V104">
        <v>-4</v>
      </c>
      <c r="W104" t="s">
        <v>230</v>
      </c>
      <c r="X104" t="s">
        <v>10</v>
      </c>
      <c r="Y104">
        <v>0</v>
      </c>
      <c r="Z104">
        <v>0</v>
      </c>
      <c r="AA104" t="b">
        <v>0</v>
      </c>
    </row>
    <row r="105" spans="1:27" x14ac:dyDescent="0.35">
      <c r="A105" t="s">
        <v>233</v>
      </c>
      <c r="B105" t="s">
        <v>233</v>
      </c>
      <c r="C105" t="s">
        <v>234</v>
      </c>
      <c r="D105" t="s">
        <v>235</v>
      </c>
      <c r="E105" t="s">
        <v>4</v>
      </c>
      <c r="F105" s="99">
        <v>46401</v>
      </c>
      <c r="G105" t="s">
        <v>30</v>
      </c>
      <c r="H105" t="s">
        <v>14</v>
      </c>
      <c r="I105" s="98">
        <v>-1000000</v>
      </c>
      <c r="J105">
        <v>100.105</v>
      </c>
      <c r="K105">
        <v>92</v>
      </c>
      <c r="L105" s="98">
        <v>-2650</v>
      </c>
      <c r="M105">
        <v>-14</v>
      </c>
      <c r="N105" t="s">
        <v>7</v>
      </c>
      <c r="O105">
        <v>-607</v>
      </c>
      <c r="P105">
        <v>-614</v>
      </c>
      <c r="Q105">
        <v>-564</v>
      </c>
      <c r="R105">
        <v>-1.82</v>
      </c>
      <c r="S105" s="98">
        <v>-1001050</v>
      </c>
      <c r="T105" t="s">
        <v>1302</v>
      </c>
      <c r="U105">
        <v>99.84</v>
      </c>
      <c r="V105" s="98">
        <v>-1000000</v>
      </c>
      <c r="W105" t="s">
        <v>230</v>
      </c>
      <c r="X105" t="s">
        <v>10</v>
      </c>
      <c r="Y105" s="98">
        <v>-1005162</v>
      </c>
      <c r="Z105" s="98">
        <v>1005162</v>
      </c>
      <c r="AA105" t="b">
        <v>0</v>
      </c>
    </row>
    <row r="106" spans="1:27" x14ac:dyDescent="0.35">
      <c r="A106" t="s">
        <v>236</v>
      </c>
      <c r="B106" t="s">
        <v>236</v>
      </c>
      <c r="C106" t="s">
        <v>237</v>
      </c>
      <c r="D106" t="s">
        <v>238</v>
      </c>
      <c r="E106" t="s">
        <v>4</v>
      </c>
      <c r="F106" s="99">
        <v>47900</v>
      </c>
      <c r="G106" t="s">
        <v>30</v>
      </c>
      <c r="H106" t="s">
        <v>14</v>
      </c>
      <c r="I106">
        <v>0</v>
      </c>
      <c r="J106">
        <v>100.46</v>
      </c>
      <c r="K106">
        <v>80</v>
      </c>
      <c r="L106">
        <v>0</v>
      </c>
      <c r="M106">
        <v>17</v>
      </c>
      <c r="O106">
        <v>0</v>
      </c>
      <c r="P106">
        <v>0</v>
      </c>
      <c r="Q106">
        <v>0</v>
      </c>
      <c r="R106">
        <v>0</v>
      </c>
      <c r="S106">
        <v>0</v>
      </c>
      <c r="T106" t="s">
        <v>1302</v>
      </c>
      <c r="U106">
        <v>100.46</v>
      </c>
      <c r="V106">
        <v>0</v>
      </c>
      <c r="W106" t="s">
        <v>230</v>
      </c>
      <c r="X106" t="s">
        <v>10</v>
      </c>
      <c r="Y106">
        <v>0</v>
      </c>
      <c r="Z106">
        <v>0</v>
      </c>
      <c r="AA106" t="b">
        <v>0</v>
      </c>
    </row>
    <row r="107" spans="1:27" x14ac:dyDescent="0.35">
      <c r="A107" t="s">
        <v>1329</v>
      </c>
      <c r="B107" t="s">
        <v>1329</v>
      </c>
      <c r="C107" t="s">
        <v>1330</v>
      </c>
      <c r="D107" t="s">
        <v>1331</v>
      </c>
      <c r="E107" t="s">
        <v>4</v>
      </c>
      <c r="G107" t="s">
        <v>30</v>
      </c>
      <c r="H107" t="s">
        <v>14</v>
      </c>
      <c r="I107" s="98">
        <v>1500000</v>
      </c>
      <c r="J107">
        <v>100.502</v>
      </c>
      <c r="K107">
        <v>69</v>
      </c>
      <c r="L107" s="98">
        <v>2805</v>
      </c>
      <c r="M107">
        <v>0</v>
      </c>
      <c r="N107" t="s">
        <v>7</v>
      </c>
      <c r="O107">
        <v>748</v>
      </c>
      <c r="P107">
        <v>755</v>
      </c>
      <c r="Q107">
        <v>520</v>
      </c>
      <c r="R107">
        <v>1.68</v>
      </c>
      <c r="S107" s="98">
        <v>1507530</v>
      </c>
      <c r="T107" t="s">
        <v>31</v>
      </c>
      <c r="U107">
        <v>100.315</v>
      </c>
      <c r="V107" s="98">
        <v>1500000</v>
      </c>
      <c r="W107" t="s">
        <v>230</v>
      </c>
      <c r="X107" t="s">
        <v>10</v>
      </c>
      <c r="Y107" s="98">
        <v>1507530</v>
      </c>
      <c r="Z107" s="98">
        <v>1507530</v>
      </c>
    </row>
    <row r="108" spans="1:27" x14ac:dyDescent="0.35">
      <c r="A108" t="s">
        <v>1332</v>
      </c>
      <c r="B108" t="s">
        <v>1332</v>
      </c>
      <c r="C108" t="s">
        <v>1333</v>
      </c>
      <c r="D108" t="s">
        <v>1331</v>
      </c>
      <c r="E108" t="s">
        <v>4</v>
      </c>
      <c r="G108" t="s">
        <v>30</v>
      </c>
      <c r="H108" t="s">
        <v>14</v>
      </c>
      <c r="I108" s="98">
        <v>1500000</v>
      </c>
      <c r="J108">
        <v>101.258</v>
      </c>
      <c r="K108">
        <v>91</v>
      </c>
      <c r="L108" s="98">
        <v>9510</v>
      </c>
      <c r="M108">
        <v>0</v>
      </c>
      <c r="N108" t="s">
        <v>7</v>
      </c>
      <c r="O108" s="98">
        <v>1459</v>
      </c>
      <c r="P108" s="98">
        <v>1476</v>
      </c>
      <c r="Q108" s="98">
        <v>1340</v>
      </c>
      <c r="R108">
        <v>4.32</v>
      </c>
      <c r="S108" s="98">
        <v>1518870</v>
      </c>
      <c r="T108" t="s">
        <v>31</v>
      </c>
      <c r="U108">
        <v>100.624</v>
      </c>
      <c r="V108" s="98">
        <v>1500000</v>
      </c>
      <c r="W108" t="s">
        <v>230</v>
      </c>
      <c r="X108" t="s">
        <v>10</v>
      </c>
      <c r="Y108" s="98">
        <v>1518870</v>
      </c>
      <c r="Z108" s="98">
        <v>1518870</v>
      </c>
    </row>
    <row r="109" spans="1:27" x14ac:dyDescent="0.35">
      <c r="A109" t="s">
        <v>239</v>
      </c>
      <c r="B109" t="s">
        <v>239</v>
      </c>
      <c r="C109" t="s">
        <v>240</v>
      </c>
      <c r="D109" t="s">
        <v>241</v>
      </c>
      <c r="E109" t="s">
        <v>4</v>
      </c>
      <c r="F109" s="99">
        <v>46525</v>
      </c>
      <c r="G109" t="s">
        <v>30</v>
      </c>
      <c r="H109" t="s">
        <v>14</v>
      </c>
      <c r="I109" s="98">
        <v>1000000</v>
      </c>
      <c r="J109">
        <v>108.875</v>
      </c>
      <c r="K109">
        <v>69</v>
      </c>
      <c r="L109" s="98">
        <v>2480</v>
      </c>
      <c r="M109">
        <v>45</v>
      </c>
      <c r="N109" t="s">
        <v>7</v>
      </c>
      <c r="O109">
        <v>678</v>
      </c>
      <c r="P109">
        <v>685</v>
      </c>
      <c r="Q109">
        <v>471</v>
      </c>
      <c r="R109">
        <v>1.52</v>
      </c>
      <c r="S109" s="98">
        <v>1088750</v>
      </c>
      <c r="T109" t="s">
        <v>1302</v>
      </c>
      <c r="U109">
        <v>108.627</v>
      </c>
      <c r="V109" s="98">
        <v>1000000</v>
      </c>
      <c r="W109" t="s">
        <v>230</v>
      </c>
      <c r="X109" t="s">
        <v>10</v>
      </c>
      <c r="Y109" s="98">
        <v>1096648</v>
      </c>
      <c r="Z109" s="98">
        <v>1096648</v>
      </c>
      <c r="AA109" t="b">
        <v>0</v>
      </c>
    </row>
    <row r="110" spans="1:27" x14ac:dyDescent="0.35">
      <c r="A110" t="s">
        <v>242</v>
      </c>
      <c r="B110" t="s">
        <v>243</v>
      </c>
      <c r="C110" t="s">
        <v>243</v>
      </c>
      <c r="D110" t="s">
        <v>244</v>
      </c>
      <c r="E110" t="s">
        <v>4</v>
      </c>
      <c r="F110" s="99">
        <v>46011</v>
      </c>
      <c r="G110" t="s">
        <v>245</v>
      </c>
      <c r="H110" t="s">
        <v>6</v>
      </c>
      <c r="I110" s="98">
        <v>1750000</v>
      </c>
      <c r="J110">
        <v>-1.867</v>
      </c>
      <c r="K110">
        <v>64</v>
      </c>
      <c r="L110">
        <v>15</v>
      </c>
      <c r="M110">
        <v>-49</v>
      </c>
      <c r="N110" t="s">
        <v>246</v>
      </c>
      <c r="O110">
        <v>-9</v>
      </c>
      <c r="P110">
        <v>-909</v>
      </c>
      <c r="Q110">
        <v>-577</v>
      </c>
      <c r="R110">
        <v>-1.86</v>
      </c>
      <c r="S110" s="98">
        <v>-32676</v>
      </c>
      <c r="U110">
        <v>-1.8680000000000001</v>
      </c>
      <c r="V110" s="98">
        <v>1750000</v>
      </c>
      <c r="W110" t="s">
        <v>230</v>
      </c>
      <c r="X110" t="s">
        <v>10</v>
      </c>
      <c r="Y110" s="98">
        <v>-1750000</v>
      </c>
      <c r="Z110" s="98">
        <v>1750000</v>
      </c>
    </row>
    <row r="111" spans="1:27" x14ac:dyDescent="0.35">
      <c r="A111" t="s">
        <v>247</v>
      </c>
      <c r="B111" t="s">
        <v>247</v>
      </c>
      <c r="C111" t="s">
        <v>248</v>
      </c>
      <c r="D111" t="s">
        <v>249</v>
      </c>
      <c r="E111" t="s">
        <v>4</v>
      </c>
      <c r="F111" s="99">
        <v>47778</v>
      </c>
      <c r="G111" t="s">
        <v>30</v>
      </c>
      <c r="H111" t="s">
        <v>14</v>
      </c>
      <c r="I111" s="98">
        <v>500000</v>
      </c>
      <c r="J111">
        <v>102.622</v>
      </c>
      <c r="K111">
        <v>162</v>
      </c>
      <c r="L111" s="98">
        <v>4110</v>
      </c>
      <c r="M111">
        <v>22</v>
      </c>
      <c r="N111" t="s">
        <v>250</v>
      </c>
      <c r="O111">
        <v>470</v>
      </c>
      <c r="P111">
        <v>475</v>
      </c>
      <c r="Q111">
        <v>768</v>
      </c>
      <c r="R111">
        <v>2.48</v>
      </c>
      <c r="S111" s="98">
        <v>513110</v>
      </c>
      <c r="T111" t="s">
        <v>1302</v>
      </c>
      <c r="U111">
        <v>101.8</v>
      </c>
      <c r="V111" s="98">
        <v>500000</v>
      </c>
      <c r="W111" t="s">
        <v>230</v>
      </c>
      <c r="X111" t="s">
        <v>10</v>
      </c>
      <c r="Y111" s="98">
        <v>513533</v>
      </c>
      <c r="Z111" s="98">
        <v>513533</v>
      </c>
      <c r="AA111" t="b">
        <v>0</v>
      </c>
    </row>
    <row r="112" spans="1:27" x14ac:dyDescent="0.35">
      <c r="A112" t="s">
        <v>251</v>
      </c>
      <c r="B112" t="s">
        <v>251</v>
      </c>
      <c r="C112" t="s">
        <v>252</v>
      </c>
      <c r="D112" t="s">
        <v>253</v>
      </c>
      <c r="E112" t="s">
        <v>4</v>
      </c>
      <c r="F112" s="99">
        <v>46696</v>
      </c>
      <c r="G112" t="s">
        <v>30</v>
      </c>
      <c r="H112" t="s">
        <v>14</v>
      </c>
      <c r="I112">
        <v>0</v>
      </c>
      <c r="J112">
        <v>99.98</v>
      </c>
      <c r="K112">
        <v>68</v>
      </c>
      <c r="L112">
        <v>0</v>
      </c>
      <c r="M112">
        <v>3</v>
      </c>
      <c r="N112" t="s">
        <v>7</v>
      </c>
      <c r="O112">
        <v>0</v>
      </c>
      <c r="P112">
        <v>0</v>
      </c>
      <c r="Q112">
        <v>0</v>
      </c>
      <c r="R112">
        <v>0</v>
      </c>
      <c r="S112">
        <v>0</v>
      </c>
      <c r="T112" t="s">
        <v>31</v>
      </c>
      <c r="U112">
        <v>99.98</v>
      </c>
      <c r="V112">
        <v>0</v>
      </c>
      <c r="W112" t="s">
        <v>230</v>
      </c>
      <c r="X112" t="s">
        <v>10</v>
      </c>
      <c r="Y112">
        <v>0</v>
      </c>
      <c r="Z112">
        <v>0</v>
      </c>
    </row>
    <row r="113" spans="1:27" x14ac:dyDescent="0.35">
      <c r="A113" t="s">
        <v>254</v>
      </c>
      <c r="B113" t="s">
        <v>255</v>
      </c>
      <c r="C113" t="s">
        <v>255</v>
      </c>
      <c r="E113" t="s">
        <v>4</v>
      </c>
      <c r="F113" s="99">
        <v>46011</v>
      </c>
      <c r="G113" t="s">
        <v>5</v>
      </c>
      <c r="H113" t="s">
        <v>6</v>
      </c>
      <c r="I113">
        <v>0</v>
      </c>
      <c r="J113">
        <v>-7.3380000000000001</v>
      </c>
      <c r="K113">
        <v>339</v>
      </c>
      <c r="L113">
        <v>0</v>
      </c>
      <c r="M113">
        <v>0</v>
      </c>
      <c r="N113" t="s">
        <v>7</v>
      </c>
      <c r="O113">
        <v>0</v>
      </c>
      <c r="P113">
        <v>0</v>
      </c>
      <c r="Q113">
        <v>0</v>
      </c>
      <c r="R113">
        <v>0</v>
      </c>
      <c r="S113">
        <v>0</v>
      </c>
      <c r="U113">
        <v>-7.3479999999999999</v>
      </c>
      <c r="V113">
        <v>0</v>
      </c>
      <c r="W113" t="s">
        <v>256</v>
      </c>
      <c r="X113" t="s">
        <v>10</v>
      </c>
      <c r="Y113">
        <v>0</v>
      </c>
      <c r="Z113">
        <v>0</v>
      </c>
    </row>
    <row r="114" spans="1:27" x14ac:dyDescent="0.35">
      <c r="A114" t="s">
        <v>987</v>
      </c>
      <c r="B114" t="s">
        <v>987</v>
      </c>
      <c r="C114" t="s">
        <v>988</v>
      </c>
      <c r="D114" t="s">
        <v>989</v>
      </c>
      <c r="E114" t="s">
        <v>4</v>
      </c>
      <c r="F114" s="99">
        <v>46043</v>
      </c>
      <c r="G114" t="s">
        <v>30</v>
      </c>
      <c r="H114" t="s">
        <v>14</v>
      </c>
      <c r="I114" s="98">
        <v>1000000</v>
      </c>
      <c r="J114">
        <v>98.343000000000004</v>
      </c>
      <c r="K114">
        <v>234</v>
      </c>
      <c r="L114" s="98">
        <v>3310</v>
      </c>
      <c r="M114">
        <v>41</v>
      </c>
      <c r="N114" t="s">
        <v>263</v>
      </c>
      <c r="O114">
        <v>463</v>
      </c>
      <c r="P114">
        <v>468</v>
      </c>
      <c r="Q114" s="98">
        <v>1094</v>
      </c>
      <c r="R114">
        <v>3.53</v>
      </c>
      <c r="S114" s="98">
        <v>983430</v>
      </c>
      <c r="T114" t="s">
        <v>1302</v>
      </c>
      <c r="U114">
        <v>98.012</v>
      </c>
      <c r="V114" s="98">
        <v>1000000</v>
      </c>
      <c r="W114" t="s">
        <v>256</v>
      </c>
      <c r="X114" t="s">
        <v>10</v>
      </c>
      <c r="Y114" s="98">
        <v>995479</v>
      </c>
      <c r="Z114" s="98">
        <v>995479</v>
      </c>
      <c r="AA114" t="b">
        <v>0</v>
      </c>
    </row>
    <row r="115" spans="1:27" x14ac:dyDescent="0.35">
      <c r="A115" t="s">
        <v>1237</v>
      </c>
      <c r="B115" t="s">
        <v>1237</v>
      </c>
      <c r="C115" t="s">
        <v>1238</v>
      </c>
      <c r="D115" t="s">
        <v>989</v>
      </c>
      <c r="E115" t="s">
        <v>4</v>
      </c>
      <c r="F115" s="99">
        <v>45552</v>
      </c>
      <c r="G115" t="s">
        <v>30</v>
      </c>
      <c r="H115" t="s">
        <v>14</v>
      </c>
      <c r="I115" s="98">
        <v>-2000000</v>
      </c>
      <c r="J115">
        <v>104.542</v>
      </c>
      <c r="K115">
        <v>197</v>
      </c>
      <c r="L115" s="98">
        <v>-5340</v>
      </c>
      <c r="M115">
        <v>-151</v>
      </c>
      <c r="N115" t="s">
        <v>263</v>
      </c>
      <c r="O115">
        <v>-717</v>
      </c>
      <c r="P115">
        <v>-723</v>
      </c>
      <c r="Q115" s="98">
        <v>-1422</v>
      </c>
      <c r="R115">
        <v>-4.59</v>
      </c>
      <c r="S115" s="98">
        <v>-2090840</v>
      </c>
      <c r="T115" t="s">
        <v>1302</v>
      </c>
      <c r="U115">
        <v>104.27500000000001</v>
      </c>
      <c r="V115" s="98">
        <v>-2000000</v>
      </c>
      <c r="W115" t="s">
        <v>256</v>
      </c>
      <c r="X115" t="s">
        <v>10</v>
      </c>
      <c r="Y115" s="98">
        <v>-2098977</v>
      </c>
      <c r="Z115" s="98">
        <v>2098977</v>
      </c>
      <c r="AA115" t="b">
        <v>0</v>
      </c>
    </row>
    <row r="116" spans="1:27" x14ac:dyDescent="0.35">
      <c r="A116" t="s">
        <v>257</v>
      </c>
      <c r="B116" t="s">
        <v>257</v>
      </c>
      <c r="C116" t="s">
        <v>258</v>
      </c>
      <c r="D116" t="s">
        <v>259</v>
      </c>
      <c r="E116" t="s">
        <v>4</v>
      </c>
      <c r="F116" s="99">
        <v>45204</v>
      </c>
      <c r="G116" t="s">
        <v>30</v>
      </c>
      <c r="H116" t="s">
        <v>14</v>
      </c>
      <c r="I116" s="98">
        <v>445000</v>
      </c>
      <c r="J116">
        <v>104.541</v>
      </c>
      <c r="K116">
        <v>263</v>
      </c>
      <c r="L116" s="98">
        <v>1286</v>
      </c>
      <c r="M116">
        <v>-165</v>
      </c>
      <c r="N116" t="s">
        <v>250</v>
      </c>
      <c r="O116">
        <v>117</v>
      </c>
      <c r="P116">
        <v>119</v>
      </c>
      <c r="Q116">
        <v>312</v>
      </c>
      <c r="R116">
        <v>1.01</v>
      </c>
      <c r="S116" s="98">
        <v>465207</v>
      </c>
      <c r="T116" t="s">
        <v>1302</v>
      </c>
      <c r="U116">
        <v>104.252</v>
      </c>
      <c r="V116" s="98">
        <v>445000</v>
      </c>
      <c r="W116" t="s">
        <v>256</v>
      </c>
      <c r="X116" t="s">
        <v>10</v>
      </c>
      <c r="Y116" s="98">
        <v>466908</v>
      </c>
      <c r="Z116" s="98">
        <v>466908</v>
      </c>
      <c r="AA116" t="b">
        <v>0</v>
      </c>
    </row>
    <row r="117" spans="1:27" x14ac:dyDescent="0.35">
      <c r="A117" t="s">
        <v>260</v>
      </c>
      <c r="B117" t="s">
        <v>260</v>
      </c>
      <c r="C117" t="s">
        <v>261</v>
      </c>
      <c r="D117" t="s">
        <v>262</v>
      </c>
      <c r="E117" t="s">
        <v>4</v>
      </c>
      <c r="F117" s="99">
        <v>45669</v>
      </c>
      <c r="G117" t="s">
        <v>30</v>
      </c>
      <c r="H117" t="s">
        <v>14</v>
      </c>
      <c r="I117">
        <v>0</v>
      </c>
      <c r="J117">
        <v>95.9</v>
      </c>
      <c r="K117">
        <v>447</v>
      </c>
      <c r="L117">
        <v>0</v>
      </c>
      <c r="M117">
        <v>8</v>
      </c>
      <c r="N117" t="s">
        <v>263</v>
      </c>
      <c r="O117">
        <v>0</v>
      </c>
      <c r="P117">
        <v>0</v>
      </c>
      <c r="Q117">
        <v>0</v>
      </c>
      <c r="R117">
        <v>0</v>
      </c>
      <c r="S117">
        <v>0</v>
      </c>
      <c r="T117" t="s">
        <v>31</v>
      </c>
      <c r="U117">
        <v>95.9</v>
      </c>
      <c r="V117">
        <v>0</v>
      </c>
      <c r="W117" t="s">
        <v>256</v>
      </c>
      <c r="X117" t="s">
        <v>10</v>
      </c>
      <c r="Y117">
        <v>0</v>
      </c>
      <c r="Z117">
        <v>0</v>
      </c>
    </row>
    <row r="118" spans="1:27" x14ac:dyDescent="0.35">
      <c r="A118" t="s">
        <v>264</v>
      </c>
      <c r="B118" t="s">
        <v>264</v>
      </c>
      <c r="C118" t="s">
        <v>265</v>
      </c>
      <c r="D118" t="s">
        <v>262</v>
      </c>
      <c r="E118" t="s">
        <v>266</v>
      </c>
      <c r="F118" s="99">
        <v>45128</v>
      </c>
      <c r="G118" t="s">
        <v>30</v>
      </c>
      <c r="H118" t="s">
        <v>14</v>
      </c>
      <c r="I118">
        <v>0</v>
      </c>
      <c r="J118">
        <v>100.655</v>
      </c>
      <c r="K118">
        <v>466</v>
      </c>
      <c r="L118">
        <v>0</v>
      </c>
      <c r="M118">
        <v>92</v>
      </c>
      <c r="N118" t="s">
        <v>263</v>
      </c>
      <c r="O118">
        <v>0</v>
      </c>
      <c r="P118">
        <v>0</v>
      </c>
      <c r="Q118">
        <v>0</v>
      </c>
      <c r="R118">
        <v>0</v>
      </c>
      <c r="S118">
        <v>0</v>
      </c>
      <c r="T118" t="s">
        <v>1302</v>
      </c>
      <c r="U118">
        <v>100.655</v>
      </c>
      <c r="V118">
        <v>0</v>
      </c>
      <c r="W118" t="s">
        <v>256</v>
      </c>
      <c r="X118" t="s">
        <v>10</v>
      </c>
      <c r="Y118">
        <v>0</v>
      </c>
      <c r="Z118">
        <v>0</v>
      </c>
      <c r="AA118" t="b">
        <v>0</v>
      </c>
    </row>
    <row r="119" spans="1:27" x14ac:dyDescent="0.35">
      <c r="A119" t="s">
        <v>267</v>
      </c>
      <c r="B119" t="s">
        <v>267</v>
      </c>
      <c r="C119" t="s">
        <v>268</v>
      </c>
      <c r="D119" t="s">
        <v>269</v>
      </c>
      <c r="E119" t="s">
        <v>4</v>
      </c>
      <c r="F119" s="99">
        <v>44992</v>
      </c>
      <c r="G119" t="s">
        <v>30</v>
      </c>
      <c r="H119" t="s">
        <v>14</v>
      </c>
      <c r="I119" s="98">
        <v>177000</v>
      </c>
      <c r="J119">
        <v>99.510999999999996</v>
      </c>
      <c r="K119">
        <v>375</v>
      </c>
      <c r="L119">
        <v>287</v>
      </c>
      <c r="M119">
        <v>15</v>
      </c>
      <c r="N119" t="s">
        <v>263</v>
      </c>
      <c r="O119">
        <v>39</v>
      </c>
      <c r="P119">
        <v>39</v>
      </c>
      <c r="Q119">
        <v>147</v>
      </c>
      <c r="R119">
        <v>0.47</v>
      </c>
      <c r="S119" s="98">
        <v>176134</v>
      </c>
      <c r="T119" t="s">
        <v>1302</v>
      </c>
      <c r="U119">
        <v>99.349000000000004</v>
      </c>
      <c r="V119" s="98">
        <v>177000</v>
      </c>
      <c r="W119" t="s">
        <v>256</v>
      </c>
      <c r="X119" t="s">
        <v>10</v>
      </c>
      <c r="Y119" s="98">
        <v>179742</v>
      </c>
      <c r="Z119" s="98">
        <v>179742</v>
      </c>
      <c r="AA119" t="b">
        <v>0</v>
      </c>
    </row>
    <row r="120" spans="1:27" x14ac:dyDescent="0.35">
      <c r="A120" t="s">
        <v>270</v>
      </c>
      <c r="B120" t="s">
        <v>270</v>
      </c>
      <c r="C120" t="s">
        <v>271</v>
      </c>
      <c r="D120" t="s">
        <v>272</v>
      </c>
      <c r="E120" t="s">
        <v>4</v>
      </c>
      <c r="F120" s="99">
        <v>46703</v>
      </c>
      <c r="G120" t="s">
        <v>30</v>
      </c>
      <c r="H120" t="s">
        <v>14</v>
      </c>
      <c r="I120" s="98">
        <v>-4400000</v>
      </c>
      <c r="J120">
        <v>101.172</v>
      </c>
      <c r="K120">
        <v>335</v>
      </c>
      <c r="L120" s="98">
        <v>-8844</v>
      </c>
      <c r="M120">
        <v>-461</v>
      </c>
      <c r="N120" t="s">
        <v>263</v>
      </c>
      <c r="O120" s="98">
        <v>-2680</v>
      </c>
      <c r="P120" s="98">
        <v>-2708</v>
      </c>
      <c r="Q120" s="98">
        <v>-9065</v>
      </c>
      <c r="R120">
        <v>-29.24</v>
      </c>
      <c r="S120" s="98">
        <v>-4451568</v>
      </c>
      <c r="T120" t="s">
        <v>1302</v>
      </c>
      <c r="U120">
        <v>100.971</v>
      </c>
      <c r="V120" s="98">
        <v>-4400000</v>
      </c>
      <c r="W120" t="s">
        <v>256</v>
      </c>
      <c r="X120" t="s">
        <v>10</v>
      </c>
      <c r="Y120" s="98">
        <v>-4588317</v>
      </c>
      <c r="Z120" s="98">
        <v>4588317</v>
      </c>
      <c r="AA120" t="b">
        <v>0</v>
      </c>
    </row>
    <row r="121" spans="1:27" x14ac:dyDescent="0.35">
      <c r="A121" t="s">
        <v>273</v>
      </c>
      <c r="B121" t="s">
        <v>273</v>
      </c>
      <c r="C121" t="s">
        <v>274</v>
      </c>
      <c r="D121" t="s">
        <v>272</v>
      </c>
      <c r="E121" t="s">
        <v>4</v>
      </c>
      <c r="F121" s="99">
        <v>45789</v>
      </c>
      <c r="G121" t="s">
        <v>30</v>
      </c>
      <c r="H121" t="s">
        <v>14</v>
      </c>
      <c r="I121" s="98">
        <v>6700000</v>
      </c>
      <c r="J121">
        <v>99.304000000000002</v>
      </c>
      <c r="K121">
        <v>305</v>
      </c>
      <c r="L121" s="98">
        <v>13400</v>
      </c>
      <c r="M121">
        <v>436</v>
      </c>
      <c r="N121" t="s">
        <v>263</v>
      </c>
      <c r="O121" s="98">
        <v>2658</v>
      </c>
      <c r="P121" s="98">
        <v>2684</v>
      </c>
      <c r="Q121" s="98">
        <v>8195</v>
      </c>
      <c r="R121">
        <v>26.44</v>
      </c>
      <c r="S121" s="98">
        <v>6653368</v>
      </c>
      <c r="T121" t="s">
        <v>1302</v>
      </c>
      <c r="U121">
        <v>99.103999999999999</v>
      </c>
      <c r="V121" s="98">
        <v>6700000</v>
      </c>
      <c r="W121" t="s">
        <v>256</v>
      </c>
      <c r="X121" t="s">
        <v>10</v>
      </c>
      <c r="Y121" s="98">
        <v>6732713</v>
      </c>
      <c r="Z121" s="98">
        <v>6732713</v>
      </c>
      <c r="AA121" t="b">
        <v>0</v>
      </c>
    </row>
    <row r="122" spans="1:27" x14ac:dyDescent="0.35">
      <c r="A122" t="s">
        <v>275</v>
      </c>
      <c r="B122" t="s">
        <v>275</v>
      </c>
      <c r="C122" t="s">
        <v>276</v>
      </c>
      <c r="D122" t="s">
        <v>277</v>
      </c>
      <c r="E122" t="s">
        <v>4</v>
      </c>
      <c r="F122" s="99">
        <v>45100</v>
      </c>
      <c r="G122" t="s">
        <v>30</v>
      </c>
      <c r="H122" t="s">
        <v>14</v>
      </c>
      <c r="I122" s="98">
        <v>-7700000</v>
      </c>
      <c r="J122">
        <v>102.297</v>
      </c>
      <c r="K122">
        <v>131</v>
      </c>
      <c r="L122" s="98">
        <v>-15939</v>
      </c>
      <c r="M122">
        <v>-321</v>
      </c>
      <c r="N122" t="s">
        <v>263</v>
      </c>
      <c r="O122" s="98">
        <v>-1833</v>
      </c>
      <c r="P122" s="98">
        <v>-1849</v>
      </c>
      <c r="Q122" s="98">
        <v>-2413</v>
      </c>
      <c r="R122">
        <v>-7.78</v>
      </c>
      <c r="S122" s="98">
        <v>-7876869</v>
      </c>
      <c r="T122" t="s">
        <v>1302</v>
      </c>
      <c r="U122">
        <v>102.09</v>
      </c>
      <c r="V122" s="98">
        <v>-7700000</v>
      </c>
      <c r="W122" t="s">
        <v>256</v>
      </c>
      <c r="X122" t="s">
        <v>10</v>
      </c>
      <c r="Y122" s="98">
        <v>-7928554</v>
      </c>
      <c r="Z122" s="98">
        <v>7928554</v>
      </c>
      <c r="AA122" t="b">
        <v>0</v>
      </c>
    </row>
    <row r="123" spans="1:27" x14ac:dyDescent="0.35">
      <c r="A123" t="s">
        <v>596</v>
      </c>
      <c r="B123" t="s">
        <v>596</v>
      </c>
      <c r="C123" t="s">
        <v>597</v>
      </c>
      <c r="D123" t="s">
        <v>45</v>
      </c>
      <c r="E123" t="s">
        <v>4</v>
      </c>
      <c r="F123" s="99">
        <v>47199</v>
      </c>
      <c r="G123" t="s">
        <v>30</v>
      </c>
      <c r="H123" t="s">
        <v>14</v>
      </c>
      <c r="I123" s="98">
        <v>-1350000</v>
      </c>
      <c r="J123">
        <v>105.524</v>
      </c>
      <c r="K123">
        <v>323</v>
      </c>
      <c r="L123" s="98">
        <v>-4442</v>
      </c>
      <c r="M123">
        <v>-134</v>
      </c>
      <c r="N123" t="s">
        <v>263</v>
      </c>
      <c r="O123" s="98">
        <v>-1024</v>
      </c>
      <c r="P123" s="98">
        <v>-1035</v>
      </c>
      <c r="Q123" s="98">
        <v>-3338</v>
      </c>
      <c r="R123">
        <v>-10.77</v>
      </c>
      <c r="S123" s="98">
        <v>-1424574</v>
      </c>
      <c r="T123" t="s">
        <v>1302</v>
      </c>
      <c r="U123">
        <v>105.19499999999999</v>
      </c>
      <c r="V123" s="98">
        <v>-1350000</v>
      </c>
      <c r="W123" t="s">
        <v>256</v>
      </c>
      <c r="X123" t="s">
        <v>10</v>
      </c>
      <c r="Y123" s="98">
        <v>-1443479</v>
      </c>
      <c r="Z123" s="98">
        <v>1443479</v>
      </c>
      <c r="AA123" t="b">
        <v>0</v>
      </c>
    </row>
    <row r="124" spans="1:27" x14ac:dyDescent="0.35">
      <c r="A124" t="s">
        <v>278</v>
      </c>
      <c r="B124" t="s">
        <v>278</v>
      </c>
      <c r="C124" t="s">
        <v>279</v>
      </c>
      <c r="D124" t="s">
        <v>45</v>
      </c>
      <c r="E124" t="s">
        <v>4</v>
      </c>
      <c r="F124" s="99">
        <v>46103</v>
      </c>
      <c r="G124" t="s">
        <v>30</v>
      </c>
      <c r="H124" t="s">
        <v>14</v>
      </c>
      <c r="I124" s="98">
        <v>-6900000</v>
      </c>
      <c r="J124">
        <v>105.098</v>
      </c>
      <c r="K124">
        <v>270</v>
      </c>
      <c r="L124" s="98">
        <v>-12351</v>
      </c>
      <c r="M124">
        <v>-614</v>
      </c>
      <c r="N124" t="s">
        <v>263</v>
      </c>
      <c r="O124" s="98">
        <v>-3557</v>
      </c>
      <c r="P124" s="98">
        <v>-3594</v>
      </c>
      <c r="Q124" s="98">
        <v>-9698</v>
      </c>
      <c r="R124">
        <v>-31.28</v>
      </c>
      <c r="S124" s="98">
        <v>-7251762</v>
      </c>
      <c r="T124" t="s">
        <v>1302</v>
      </c>
      <c r="U124">
        <v>104.919</v>
      </c>
      <c r="V124" s="98">
        <v>-6900000</v>
      </c>
      <c r="W124" t="s">
        <v>256</v>
      </c>
      <c r="X124" t="s">
        <v>10</v>
      </c>
      <c r="Y124" s="98">
        <v>-7338390</v>
      </c>
      <c r="Z124" s="98">
        <v>7338390</v>
      </c>
      <c r="AA124" t="b">
        <v>0</v>
      </c>
    </row>
    <row r="125" spans="1:27" x14ac:dyDescent="0.35">
      <c r="A125" t="s">
        <v>284</v>
      </c>
      <c r="B125" t="s">
        <v>284</v>
      </c>
      <c r="C125" t="s">
        <v>285</v>
      </c>
      <c r="D125" t="s">
        <v>282</v>
      </c>
      <c r="E125" t="s">
        <v>4</v>
      </c>
      <c r="F125" s="99">
        <v>44296</v>
      </c>
      <c r="G125" t="s">
        <v>30</v>
      </c>
      <c r="H125" t="s">
        <v>14</v>
      </c>
      <c r="I125" s="98">
        <v>16558000</v>
      </c>
      <c r="J125">
        <v>100.499</v>
      </c>
      <c r="K125">
        <v>225</v>
      </c>
      <c r="L125" s="98">
        <v>17055</v>
      </c>
      <c r="M125" s="98">
        <v>1361</v>
      </c>
      <c r="N125" t="s">
        <v>263</v>
      </c>
      <c r="O125">
        <v>691</v>
      </c>
      <c r="P125">
        <v>699</v>
      </c>
      <c r="Q125" s="98">
        <v>1573</v>
      </c>
      <c r="R125">
        <v>5.08</v>
      </c>
      <c r="S125" s="98">
        <v>16640624</v>
      </c>
      <c r="T125" t="s">
        <v>1302</v>
      </c>
      <c r="U125">
        <v>100.396</v>
      </c>
      <c r="V125" s="98">
        <v>16558000</v>
      </c>
      <c r="W125" t="s">
        <v>256</v>
      </c>
      <c r="X125" t="s">
        <v>10</v>
      </c>
      <c r="Y125" s="98">
        <v>16931864</v>
      </c>
      <c r="Z125" s="98">
        <v>16931864</v>
      </c>
      <c r="AA125" t="b">
        <v>0</v>
      </c>
    </row>
    <row r="126" spans="1:27" x14ac:dyDescent="0.35">
      <c r="A126" t="s">
        <v>598</v>
      </c>
      <c r="B126" t="s">
        <v>598</v>
      </c>
      <c r="C126" t="s">
        <v>599</v>
      </c>
      <c r="D126" t="s">
        <v>600</v>
      </c>
      <c r="E126" t="s">
        <v>4</v>
      </c>
      <c r="F126" s="99">
        <v>46252</v>
      </c>
      <c r="G126" t="s">
        <v>30</v>
      </c>
      <c r="H126" t="s">
        <v>14</v>
      </c>
      <c r="I126" s="98">
        <v>4769000</v>
      </c>
      <c r="J126">
        <v>97.16</v>
      </c>
      <c r="K126">
        <v>592</v>
      </c>
      <c r="L126" s="98">
        <v>17884</v>
      </c>
      <c r="M126">
        <v>635</v>
      </c>
      <c r="N126" t="s">
        <v>250</v>
      </c>
      <c r="O126" s="98">
        <v>2268</v>
      </c>
      <c r="P126" s="98">
        <v>2290</v>
      </c>
      <c r="Q126" s="98">
        <v>13546</v>
      </c>
      <c r="R126">
        <v>43.7</v>
      </c>
      <c r="S126" s="98">
        <v>4633560</v>
      </c>
      <c r="T126" t="s">
        <v>1302</v>
      </c>
      <c r="U126">
        <v>96.784999999999997</v>
      </c>
      <c r="V126" s="98">
        <v>4769000</v>
      </c>
      <c r="W126" t="s">
        <v>256</v>
      </c>
      <c r="X126" t="s">
        <v>10</v>
      </c>
      <c r="Y126" s="98">
        <v>4668497</v>
      </c>
      <c r="Z126" s="98">
        <v>4668497</v>
      </c>
      <c r="AA126" t="b">
        <v>0</v>
      </c>
    </row>
    <row r="127" spans="1:27" x14ac:dyDescent="0.35">
      <c r="A127" t="s">
        <v>601</v>
      </c>
      <c r="B127" t="s">
        <v>601</v>
      </c>
      <c r="C127" t="s">
        <v>599</v>
      </c>
      <c r="D127" t="s">
        <v>600</v>
      </c>
      <c r="E127" t="s">
        <v>4</v>
      </c>
      <c r="F127" s="99">
        <v>45946</v>
      </c>
      <c r="G127" t="s">
        <v>30</v>
      </c>
      <c r="H127" t="s">
        <v>14</v>
      </c>
      <c r="I127" s="98">
        <v>-4006000</v>
      </c>
      <c r="J127">
        <v>98.978999999999999</v>
      </c>
      <c r="K127">
        <v>562</v>
      </c>
      <c r="L127" s="98">
        <v>-16705</v>
      </c>
      <c r="M127">
        <v>-535</v>
      </c>
      <c r="N127" t="s">
        <v>250</v>
      </c>
      <c r="O127" s="98">
        <v>-1618</v>
      </c>
      <c r="P127" s="98">
        <v>-1634</v>
      </c>
      <c r="Q127" s="98">
        <v>-9182</v>
      </c>
      <c r="R127">
        <v>-29.62</v>
      </c>
      <c r="S127" s="98">
        <v>-3965099</v>
      </c>
      <c r="T127" t="s">
        <v>1302</v>
      </c>
      <c r="U127">
        <v>98.561999999999998</v>
      </c>
      <c r="V127" s="98">
        <v>-4006000</v>
      </c>
      <c r="W127" t="s">
        <v>256</v>
      </c>
      <c r="X127" t="s">
        <v>10</v>
      </c>
      <c r="Y127" s="98">
        <v>-3978475</v>
      </c>
      <c r="Z127" s="98">
        <v>3978475</v>
      </c>
      <c r="AA127" t="b">
        <v>0</v>
      </c>
    </row>
    <row r="128" spans="1:27" x14ac:dyDescent="0.35">
      <c r="A128" t="s">
        <v>286</v>
      </c>
      <c r="B128" t="s">
        <v>286</v>
      </c>
      <c r="C128" t="s">
        <v>287</v>
      </c>
      <c r="D128" t="s">
        <v>288</v>
      </c>
      <c r="E128" t="s">
        <v>4</v>
      </c>
      <c r="F128" s="99">
        <v>47409</v>
      </c>
      <c r="G128" t="s">
        <v>30</v>
      </c>
      <c r="H128" t="s">
        <v>14</v>
      </c>
      <c r="I128" s="98">
        <v>-1300000</v>
      </c>
      <c r="J128">
        <v>101.157</v>
      </c>
      <c r="K128">
        <v>179</v>
      </c>
      <c r="L128" s="98">
        <v>-2600</v>
      </c>
      <c r="M128">
        <v>-57</v>
      </c>
      <c r="N128" t="s">
        <v>263</v>
      </c>
      <c r="O128" s="98">
        <v>-1060</v>
      </c>
      <c r="P128" s="98">
        <v>-1072</v>
      </c>
      <c r="Q128" s="98">
        <v>-1918</v>
      </c>
      <c r="R128">
        <v>-6.19</v>
      </c>
      <c r="S128" s="98">
        <v>-1315041</v>
      </c>
      <c r="T128" t="s">
        <v>1302</v>
      </c>
      <c r="U128">
        <v>100.95699999999999</v>
      </c>
      <c r="V128" s="98">
        <v>-1300000</v>
      </c>
      <c r="W128" t="s">
        <v>256</v>
      </c>
      <c r="X128" t="s">
        <v>10</v>
      </c>
      <c r="Y128" s="98">
        <v>-1316352</v>
      </c>
      <c r="Z128" s="98">
        <v>1316352</v>
      </c>
      <c r="AA128" t="b">
        <v>0</v>
      </c>
    </row>
    <row r="129" spans="1:27" x14ac:dyDescent="0.35">
      <c r="A129" t="s">
        <v>289</v>
      </c>
      <c r="B129" t="s">
        <v>289</v>
      </c>
      <c r="C129" t="s">
        <v>290</v>
      </c>
      <c r="D129" t="s">
        <v>291</v>
      </c>
      <c r="E129" t="s">
        <v>4</v>
      </c>
      <c r="F129" s="99">
        <v>46462</v>
      </c>
      <c r="G129" t="s">
        <v>30</v>
      </c>
      <c r="H129" t="s">
        <v>14</v>
      </c>
      <c r="I129" s="98">
        <v>-14200000</v>
      </c>
      <c r="J129">
        <v>101.212</v>
      </c>
      <c r="K129">
        <v>148</v>
      </c>
      <c r="L129" s="98">
        <v>-10650</v>
      </c>
      <c r="M129">
        <v>-486</v>
      </c>
      <c r="N129" t="s">
        <v>250</v>
      </c>
      <c r="O129" s="98">
        <v>-8731</v>
      </c>
      <c r="P129" s="98">
        <v>-8820</v>
      </c>
      <c r="Q129" s="98">
        <v>-13068</v>
      </c>
      <c r="R129">
        <v>-42.16</v>
      </c>
      <c r="S129" s="98">
        <v>-14372104</v>
      </c>
      <c r="T129" t="s">
        <v>1302</v>
      </c>
      <c r="U129">
        <v>101.137</v>
      </c>
      <c r="V129" s="98">
        <v>-14200000</v>
      </c>
      <c r="W129" t="s">
        <v>256</v>
      </c>
      <c r="X129" t="s">
        <v>10</v>
      </c>
      <c r="Y129" s="98">
        <v>-14443590</v>
      </c>
      <c r="Z129" s="98">
        <v>14443590</v>
      </c>
      <c r="AA129" t="b">
        <v>0</v>
      </c>
    </row>
    <row r="130" spans="1:27" x14ac:dyDescent="0.35">
      <c r="A130" t="s">
        <v>292</v>
      </c>
      <c r="B130" t="s">
        <v>292</v>
      </c>
      <c r="C130" t="s">
        <v>293</v>
      </c>
      <c r="D130" t="s">
        <v>294</v>
      </c>
      <c r="E130" t="s">
        <v>4</v>
      </c>
      <c r="F130" s="99">
        <v>47649</v>
      </c>
      <c r="G130" t="s">
        <v>30</v>
      </c>
      <c r="H130" t="s">
        <v>14</v>
      </c>
      <c r="I130" s="98">
        <v>400000</v>
      </c>
      <c r="J130">
        <v>101.21899999999999</v>
      </c>
      <c r="K130">
        <v>353</v>
      </c>
      <c r="L130" s="98">
        <v>1968</v>
      </c>
      <c r="M130">
        <v>240</v>
      </c>
      <c r="N130" t="s">
        <v>263</v>
      </c>
      <c r="O130">
        <v>328</v>
      </c>
      <c r="P130">
        <v>332</v>
      </c>
      <c r="Q130" s="98">
        <v>1169</v>
      </c>
      <c r="R130">
        <v>3.77</v>
      </c>
      <c r="S130" s="98">
        <v>404876</v>
      </c>
      <c r="T130" t="s">
        <v>1302</v>
      </c>
      <c r="U130">
        <v>100.727</v>
      </c>
      <c r="V130" s="98">
        <v>400000</v>
      </c>
      <c r="W130" t="s">
        <v>256</v>
      </c>
      <c r="X130" t="s">
        <v>10</v>
      </c>
      <c r="Y130" s="98">
        <v>406947</v>
      </c>
      <c r="Z130" s="98">
        <v>406947</v>
      </c>
      <c r="AA130" t="b">
        <v>0</v>
      </c>
    </row>
    <row r="131" spans="1:27" x14ac:dyDescent="0.35">
      <c r="A131" t="s">
        <v>606</v>
      </c>
      <c r="B131" t="s">
        <v>606</v>
      </c>
      <c r="C131" t="s">
        <v>607</v>
      </c>
      <c r="D131" t="s">
        <v>294</v>
      </c>
      <c r="E131" t="s">
        <v>283</v>
      </c>
      <c r="F131" s="99">
        <v>47140</v>
      </c>
      <c r="G131" t="s">
        <v>30</v>
      </c>
      <c r="H131" t="s">
        <v>14</v>
      </c>
      <c r="I131" s="98">
        <v>200000</v>
      </c>
      <c r="J131">
        <v>110.366</v>
      </c>
      <c r="K131">
        <v>401</v>
      </c>
      <c r="L131">
        <v>513</v>
      </c>
      <c r="M131">
        <v>35</v>
      </c>
      <c r="N131" t="s">
        <v>263</v>
      </c>
      <c r="O131">
        <v>160</v>
      </c>
      <c r="P131">
        <v>163</v>
      </c>
      <c r="Q131">
        <v>653</v>
      </c>
      <c r="R131">
        <v>2.11</v>
      </c>
      <c r="S131" s="98">
        <v>244237</v>
      </c>
      <c r="T131" t="s">
        <v>1302</v>
      </c>
      <c r="U131">
        <v>110.133</v>
      </c>
      <c r="V131" s="98">
        <v>200000</v>
      </c>
      <c r="W131" t="s">
        <v>256</v>
      </c>
      <c r="X131" t="s">
        <v>10</v>
      </c>
      <c r="Y131" s="98">
        <v>247782</v>
      </c>
      <c r="Z131" s="98">
        <v>247782</v>
      </c>
      <c r="AA131" t="b">
        <v>0</v>
      </c>
    </row>
    <row r="132" spans="1:27" x14ac:dyDescent="0.35">
      <c r="A132" t="s">
        <v>295</v>
      </c>
      <c r="B132" t="s">
        <v>295</v>
      </c>
      <c r="C132" t="s">
        <v>296</v>
      </c>
      <c r="D132" t="s">
        <v>294</v>
      </c>
      <c r="E132" t="s">
        <v>4</v>
      </c>
      <c r="F132" s="99">
        <v>46633</v>
      </c>
      <c r="G132" t="s">
        <v>30</v>
      </c>
      <c r="H132" t="s">
        <v>14</v>
      </c>
      <c r="I132" s="98">
        <v>-1800000</v>
      </c>
      <c r="J132">
        <v>100.953</v>
      </c>
      <c r="K132">
        <v>326</v>
      </c>
      <c r="L132" s="98">
        <v>-5886</v>
      </c>
      <c r="M132">
        <v>-148</v>
      </c>
      <c r="N132" t="s">
        <v>263</v>
      </c>
      <c r="O132" s="98">
        <v>-1107</v>
      </c>
      <c r="P132" s="98">
        <v>-1119</v>
      </c>
      <c r="Q132" s="98">
        <v>-3646</v>
      </c>
      <c r="R132">
        <v>-11.76</v>
      </c>
      <c r="S132" s="98">
        <v>-1817154</v>
      </c>
      <c r="T132" t="s">
        <v>1302</v>
      </c>
      <c r="U132">
        <v>100.626</v>
      </c>
      <c r="V132" s="98">
        <v>-1800000</v>
      </c>
      <c r="W132" t="s">
        <v>256</v>
      </c>
      <c r="X132" t="s">
        <v>10</v>
      </c>
      <c r="Y132" s="98">
        <v>-1867761</v>
      </c>
      <c r="Z132" s="98">
        <v>1867761</v>
      </c>
      <c r="AA132" t="b">
        <v>0</v>
      </c>
    </row>
    <row r="133" spans="1:27" x14ac:dyDescent="0.35">
      <c r="A133" t="s">
        <v>299</v>
      </c>
      <c r="B133" t="s">
        <v>299</v>
      </c>
      <c r="C133" t="s">
        <v>300</v>
      </c>
      <c r="D133" t="s">
        <v>294</v>
      </c>
      <c r="E133" t="s">
        <v>283</v>
      </c>
      <c r="F133" s="99">
        <v>46051</v>
      </c>
      <c r="G133" t="s">
        <v>30</v>
      </c>
      <c r="H133" t="s">
        <v>14</v>
      </c>
      <c r="I133" s="98">
        <v>-2900000</v>
      </c>
      <c r="J133">
        <v>110.24299999999999</v>
      </c>
      <c r="K133">
        <v>360</v>
      </c>
      <c r="L133" s="98">
        <v>-6490</v>
      </c>
      <c r="M133">
        <v>-577</v>
      </c>
      <c r="N133" t="s">
        <v>263</v>
      </c>
      <c r="O133" s="98">
        <v>-1595</v>
      </c>
      <c r="P133" s="98">
        <v>-1620</v>
      </c>
      <c r="Q133" s="98">
        <v>-5837</v>
      </c>
      <c r="R133">
        <v>-18.829999999999998</v>
      </c>
      <c r="S133" s="98">
        <v>-3537496</v>
      </c>
      <c r="T133" t="s">
        <v>1302</v>
      </c>
      <c r="U133">
        <v>110.04</v>
      </c>
      <c r="V133" s="98">
        <v>-2900000</v>
      </c>
      <c r="W133" t="s">
        <v>256</v>
      </c>
      <c r="X133" t="s">
        <v>10</v>
      </c>
      <c r="Y133" s="98">
        <v>-3586669</v>
      </c>
      <c r="Z133" s="98">
        <v>3586669</v>
      </c>
      <c r="AA133" t="b">
        <v>0</v>
      </c>
    </row>
    <row r="134" spans="1:27" x14ac:dyDescent="0.35">
      <c r="A134" t="s">
        <v>1221</v>
      </c>
      <c r="B134" t="s">
        <v>1221</v>
      </c>
      <c r="C134" t="s">
        <v>1222</v>
      </c>
      <c r="D134" t="s">
        <v>294</v>
      </c>
      <c r="E134" t="s">
        <v>4</v>
      </c>
      <c r="F134" s="99">
        <v>46044</v>
      </c>
      <c r="G134" t="s">
        <v>30</v>
      </c>
      <c r="H134" t="s">
        <v>14</v>
      </c>
      <c r="I134" s="98">
        <v>700000</v>
      </c>
      <c r="J134">
        <v>111.227</v>
      </c>
      <c r="K134">
        <v>313</v>
      </c>
      <c r="L134" s="98">
        <v>2387</v>
      </c>
      <c r="M134">
        <v>96</v>
      </c>
      <c r="N134" t="s">
        <v>263</v>
      </c>
      <c r="O134">
        <v>359</v>
      </c>
      <c r="P134">
        <v>363</v>
      </c>
      <c r="Q134" s="98">
        <v>1137</v>
      </c>
      <c r="R134">
        <v>3.67</v>
      </c>
      <c r="S134" s="98">
        <v>778589</v>
      </c>
      <c r="T134" t="s">
        <v>1302</v>
      </c>
      <c r="U134">
        <v>110.886</v>
      </c>
      <c r="V134" s="98">
        <v>700000</v>
      </c>
      <c r="W134" t="s">
        <v>256</v>
      </c>
      <c r="X134" t="s">
        <v>10</v>
      </c>
      <c r="Y134" s="98">
        <v>806608</v>
      </c>
      <c r="Z134" s="98">
        <v>806608</v>
      </c>
      <c r="AA134" t="b">
        <v>0</v>
      </c>
    </row>
    <row r="135" spans="1:27" x14ac:dyDescent="0.35">
      <c r="A135" t="s">
        <v>301</v>
      </c>
      <c r="B135" t="s">
        <v>301</v>
      </c>
      <c r="C135" t="s">
        <v>302</v>
      </c>
      <c r="D135" t="s">
        <v>294</v>
      </c>
      <c r="E135" t="s">
        <v>4</v>
      </c>
      <c r="F135" s="99">
        <v>45686</v>
      </c>
      <c r="G135" t="s">
        <v>30</v>
      </c>
      <c r="H135" t="s">
        <v>14</v>
      </c>
      <c r="I135" s="98">
        <v>-2000000</v>
      </c>
      <c r="J135">
        <v>111.66</v>
      </c>
      <c r="K135">
        <v>294</v>
      </c>
      <c r="L135" s="98">
        <v>-6760</v>
      </c>
      <c r="M135">
        <v>-294</v>
      </c>
      <c r="N135" t="s">
        <v>263</v>
      </c>
      <c r="O135">
        <v>-852</v>
      </c>
      <c r="P135">
        <v>-860</v>
      </c>
      <c r="Q135" s="98">
        <v>-2525</v>
      </c>
      <c r="R135">
        <v>-8.14</v>
      </c>
      <c r="S135" s="98">
        <v>-2233200</v>
      </c>
      <c r="T135" t="s">
        <v>1302</v>
      </c>
      <c r="U135">
        <v>111.322</v>
      </c>
      <c r="V135" s="98">
        <v>-2000000</v>
      </c>
      <c r="W135" t="s">
        <v>256</v>
      </c>
      <c r="X135" t="s">
        <v>10</v>
      </c>
      <c r="Y135" s="98">
        <v>-2317203</v>
      </c>
      <c r="Z135" s="98">
        <v>2317203</v>
      </c>
      <c r="AA135" t="b">
        <v>0</v>
      </c>
    </row>
    <row r="136" spans="1:27" x14ac:dyDescent="0.35">
      <c r="A136" t="s">
        <v>1243</v>
      </c>
      <c r="B136" t="s">
        <v>1243</v>
      </c>
      <c r="C136" t="s">
        <v>1244</v>
      </c>
      <c r="D136" t="s">
        <v>294</v>
      </c>
      <c r="E136" t="s">
        <v>266</v>
      </c>
      <c r="F136" s="99">
        <v>45313</v>
      </c>
      <c r="G136" t="s">
        <v>30</v>
      </c>
      <c r="H136" t="s">
        <v>14</v>
      </c>
      <c r="I136" s="98">
        <v>-3225000</v>
      </c>
      <c r="J136">
        <v>106.429</v>
      </c>
      <c r="K136">
        <v>320</v>
      </c>
      <c r="L136" s="98">
        <v>-1081</v>
      </c>
      <c r="M136">
        <v>-424</v>
      </c>
      <c r="N136" t="s">
        <v>263</v>
      </c>
      <c r="O136">
        <v>-847</v>
      </c>
      <c r="P136">
        <v>-860</v>
      </c>
      <c r="Q136" s="98">
        <v>-2749</v>
      </c>
      <c r="R136">
        <v>-8.8699999999999992</v>
      </c>
      <c r="S136" s="98">
        <v>-2890388</v>
      </c>
      <c r="T136" t="s">
        <v>1302</v>
      </c>
      <c r="U136">
        <v>106.389</v>
      </c>
      <c r="V136" s="98">
        <v>-3225000</v>
      </c>
      <c r="W136" t="s">
        <v>256</v>
      </c>
      <c r="X136" t="s">
        <v>10</v>
      </c>
      <c r="Y136" s="98">
        <v>-2944809</v>
      </c>
      <c r="Z136" s="98">
        <v>2944809</v>
      </c>
      <c r="AA136" t="b">
        <v>0</v>
      </c>
    </row>
    <row r="137" spans="1:27" x14ac:dyDescent="0.35">
      <c r="A137" t="s">
        <v>948</v>
      </c>
      <c r="B137" t="s">
        <v>948</v>
      </c>
      <c r="C137" t="s">
        <v>949</v>
      </c>
      <c r="D137" t="s">
        <v>294</v>
      </c>
      <c r="E137" t="s">
        <v>266</v>
      </c>
      <c r="F137" s="99">
        <v>44955</v>
      </c>
      <c r="G137" t="s">
        <v>30</v>
      </c>
      <c r="H137" t="s">
        <v>14</v>
      </c>
      <c r="I137" s="98">
        <v>-2065000</v>
      </c>
      <c r="J137">
        <v>104.822</v>
      </c>
      <c r="K137">
        <v>274</v>
      </c>
      <c r="L137" s="98">
        <v>-2106</v>
      </c>
      <c r="M137">
        <v>-273</v>
      </c>
      <c r="N137" t="s">
        <v>263</v>
      </c>
      <c r="O137">
        <v>-382</v>
      </c>
      <c r="P137">
        <v>-388</v>
      </c>
      <c r="Q137" s="98">
        <v>-1061</v>
      </c>
      <c r="R137">
        <v>-3.42</v>
      </c>
      <c r="S137" s="98">
        <v>-1822799</v>
      </c>
      <c r="T137" t="s">
        <v>1302</v>
      </c>
      <c r="U137">
        <v>104.70099999999999</v>
      </c>
      <c r="V137" s="98">
        <v>-2065000</v>
      </c>
      <c r="W137" t="s">
        <v>256</v>
      </c>
      <c r="X137" t="s">
        <v>10</v>
      </c>
      <c r="Y137" s="98">
        <v>-1853215</v>
      </c>
      <c r="Z137" s="98">
        <v>1853215</v>
      </c>
      <c r="AA137" t="b">
        <v>0</v>
      </c>
    </row>
    <row r="138" spans="1:27" x14ac:dyDescent="0.35">
      <c r="A138" t="s">
        <v>859</v>
      </c>
      <c r="B138" t="s">
        <v>859</v>
      </c>
      <c r="C138" t="s">
        <v>860</v>
      </c>
      <c r="D138" t="s">
        <v>294</v>
      </c>
      <c r="E138" t="s">
        <v>4</v>
      </c>
      <c r="F138" s="99">
        <v>44583</v>
      </c>
      <c r="G138" t="s">
        <v>30</v>
      </c>
      <c r="H138" t="s">
        <v>14</v>
      </c>
      <c r="I138">
        <v>0</v>
      </c>
      <c r="J138">
        <v>103.874</v>
      </c>
      <c r="K138">
        <v>125</v>
      </c>
      <c r="L138">
        <v>0</v>
      </c>
      <c r="M138">
        <v>282</v>
      </c>
      <c r="N138" t="s">
        <v>263</v>
      </c>
      <c r="O138">
        <v>0</v>
      </c>
      <c r="P138">
        <v>0</v>
      </c>
      <c r="Q138">
        <v>0</v>
      </c>
      <c r="R138">
        <v>0</v>
      </c>
      <c r="S138">
        <v>0</v>
      </c>
      <c r="T138" t="s">
        <v>1302</v>
      </c>
      <c r="U138">
        <v>103.874</v>
      </c>
      <c r="V138">
        <v>0</v>
      </c>
      <c r="W138" t="s">
        <v>256</v>
      </c>
      <c r="X138" t="s">
        <v>10</v>
      </c>
      <c r="Y138">
        <v>0</v>
      </c>
      <c r="Z138">
        <v>0</v>
      </c>
      <c r="AA138" t="b">
        <v>0</v>
      </c>
    </row>
    <row r="139" spans="1:27" x14ac:dyDescent="0.35">
      <c r="A139" t="s">
        <v>305</v>
      </c>
      <c r="B139" t="s">
        <v>305</v>
      </c>
      <c r="C139" t="s">
        <v>306</v>
      </c>
      <c r="D139" t="s">
        <v>53</v>
      </c>
      <c r="E139" t="s">
        <v>4</v>
      </c>
      <c r="F139" s="99">
        <v>45858</v>
      </c>
      <c r="G139" t="s">
        <v>30</v>
      </c>
      <c r="H139" t="s">
        <v>14</v>
      </c>
      <c r="I139" s="98">
        <v>4000000</v>
      </c>
      <c r="J139">
        <v>98.593999999999994</v>
      </c>
      <c r="K139">
        <v>253</v>
      </c>
      <c r="L139" s="98">
        <v>8040</v>
      </c>
      <c r="M139">
        <v>186</v>
      </c>
      <c r="N139" t="s">
        <v>263</v>
      </c>
      <c r="O139" s="98">
        <v>1667</v>
      </c>
      <c r="P139" s="98">
        <v>1684</v>
      </c>
      <c r="Q139" s="98">
        <v>4262</v>
      </c>
      <c r="R139">
        <v>13.75</v>
      </c>
      <c r="S139" s="98">
        <v>3943760</v>
      </c>
      <c r="T139" t="s">
        <v>1302</v>
      </c>
      <c r="U139">
        <v>98.393000000000001</v>
      </c>
      <c r="V139" s="98">
        <v>4000000</v>
      </c>
      <c r="W139" t="s">
        <v>256</v>
      </c>
      <c r="X139" t="s">
        <v>10</v>
      </c>
      <c r="Y139" s="98">
        <v>3964812</v>
      </c>
      <c r="Z139" s="98">
        <v>3964812</v>
      </c>
      <c r="AA139" t="b">
        <v>0</v>
      </c>
    </row>
    <row r="140" spans="1:27" x14ac:dyDescent="0.35">
      <c r="A140" t="s">
        <v>307</v>
      </c>
      <c r="B140" t="s">
        <v>307</v>
      </c>
      <c r="C140" t="s">
        <v>308</v>
      </c>
      <c r="D140" t="s">
        <v>53</v>
      </c>
      <c r="E140" t="s">
        <v>4</v>
      </c>
      <c r="F140" s="99">
        <v>45412</v>
      </c>
      <c r="G140" t="s">
        <v>30</v>
      </c>
      <c r="H140" t="s">
        <v>14</v>
      </c>
      <c r="I140" s="98">
        <v>1400000</v>
      </c>
      <c r="J140">
        <v>109.29300000000001</v>
      </c>
      <c r="K140">
        <v>204</v>
      </c>
      <c r="L140" s="98">
        <v>2198</v>
      </c>
      <c r="M140">
        <v>172</v>
      </c>
      <c r="N140" t="s">
        <v>263</v>
      </c>
      <c r="O140">
        <v>464</v>
      </c>
      <c r="P140">
        <v>468</v>
      </c>
      <c r="Q140">
        <v>955</v>
      </c>
      <c r="R140">
        <v>3.08</v>
      </c>
      <c r="S140" s="98">
        <v>1530102</v>
      </c>
      <c r="T140" t="s">
        <v>1302</v>
      </c>
      <c r="U140">
        <v>109.136</v>
      </c>
      <c r="V140" s="98">
        <v>1400000</v>
      </c>
      <c r="W140" t="s">
        <v>256</v>
      </c>
      <c r="X140" t="s">
        <v>10</v>
      </c>
      <c r="Y140" s="98">
        <v>1563557</v>
      </c>
      <c r="Z140" s="98">
        <v>1563557</v>
      </c>
      <c r="AA140" t="b">
        <v>0</v>
      </c>
    </row>
    <row r="141" spans="1:27" x14ac:dyDescent="0.35">
      <c r="A141" t="s">
        <v>309</v>
      </c>
      <c r="B141" t="s">
        <v>309</v>
      </c>
      <c r="C141" t="s">
        <v>310</v>
      </c>
      <c r="D141" t="s">
        <v>63</v>
      </c>
      <c r="E141" t="s">
        <v>4</v>
      </c>
      <c r="F141" s="99">
        <v>45509</v>
      </c>
      <c r="G141" t="s">
        <v>30</v>
      </c>
      <c r="H141" t="s">
        <v>14</v>
      </c>
      <c r="I141">
        <v>0</v>
      </c>
      <c r="J141">
        <v>99.275000000000006</v>
      </c>
      <c r="K141">
        <v>196</v>
      </c>
      <c r="L141">
        <v>0</v>
      </c>
      <c r="M141">
        <v>0</v>
      </c>
      <c r="N141" t="s">
        <v>263</v>
      </c>
      <c r="O141">
        <v>0</v>
      </c>
      <c r="P141">
        <v>0</v>
      </c>
      <c r="Q141">
        <v>0</v>
      </c>
      <c r="R141">
        <v>0</v>
      </c>
      <c r="S141">
        <v>0</v>
      </c>
      <c r="T141" t="s">
        <v>31</v>
      </c>
      <c r="U141">
        <v>99.275000000000006</v>
      </c>
      <c r="V141">
        <v>0</v>
      </c>
      <c r="W141" t="s">
        <v>256</v>
      </c>
      <c r="X141" t="s">
        <v>10</v>
      </c>
      <c r="Y141">
        <v>0</v>
      </c>
      <c r="Z141">
        <v>0</v>
      </c>
    </row>
    <row r="142" spans="1:27" x14ac:dyDescent="0.35">
      <c r="A142" t="s">
        <v>311</v>
      </c>
      <c r="B142" t="s">
        <v>311</v>
      </c>
      <c r="C142" t="s">
        <v>312</v>
      </c>
      <c r="D142" t="s">
        <v>63</v>
      </c>
      <c r="E142" t="s">
        <v>266</v>
      </c>
      <c r="F142" s="99">
        <v>44656</v>
      </c>
      <c r="G142" t="s">
        <v>30</v>
      </c>
      <c r="H142" t="s">
        <v>14</v>
      </c>
      <c r="I142" s="98">
        <v>900000</v>
      </c>
      <c r="J142">
        <v>104.15</v>
      </c>
      <c r="K142">
        <v>124</v>
      </c>
      <c r="L142">
        <v>-666</v>
      </c>
      <c r="M142">
        <v>108</v>
      </c>
      <c r="N142" t="s">
        <v>263</v>
      </c>
      <c r="O142">
        <v>89</v>
      </c>
      <c r="P142">
        <v>91</v>
      </c>
      <c r="Q142">
        <v>113</v>
      </c>
      <c r="R142">
        <v>0.36</v>
      </c>
      <c r="S142" s="98">
        <v>789347</v>
      </c>
      <c r="T142" t="s">
        <v>1346</v>
      </c>
      <c r="U142">
        <v>104.238</v>
      </c>
      <c r="V142" s="98">
        <v>900000</v>
      </c>
      <c r="W142" t="s">
        <v>256</v>
      </c>
      <c r="X142" t="s">
        <v>10</v>
      </c>
      <c r="Y142" s="98">
        <v>816894</v>
      </c>
      <c r="Z142" s="98">
        <v>816894</v>
      </c>
      <c r="AA142" t="b">
        <v>0</v>
      </c>
    </row>
    <row r="143" spans="1:27" x14ac:dyDescent="0.35">
      <c r="A143" t="s">
        <v>313</v>
      </c>
      <c r="B143" t="s">
        <v>313</v>
      </c>
      <c r="C143" t="s">
        <v>314</v>
      </c>
      <c r="D143" t="s">
        <v>63</v>
      </c>
      <c r="E143" t="s">
        <v>4</v>
      </c>
      <c r="F143" s="99">
        <v>44288</v>
      </c>
      <c r="G143" t="s">
        <v>30</v>
      </c>
      <c r="H143" t="s">
        <v>14</v>
      </c>
      <c r="I143" s="98">
        <v>1004000</v>
      </c>
      <c r="J143">
        <v>101.238</v>
      </c>
      <c r="K143">
        <v>95</v>
      </c>
      <c r="L143">
        <v>279</v>
      </c>
      <c r="M143">
        <v>115</v>
      </c>
      <c r="N143" t="s">
        <v>263</v>
      </c>
      <c r="O143">
        <v>40</v>
      </c>
      <c r="P143">
        <v>41</v>
      </c>
      <c r="Q143">
        <v>39</v>
      </c>
      <c r="R143">
        <v>0.12</v>
      </c>
      <c r="S143" s="98">
        <v>1016430</v>
      </c>
      <c r="T143" t="s">
        <v>1302</v>
      </c>
      <c r="U143">
        <v>101.23099999999999</v>
      </c>
      <c r="V143" s="98">
        <v>1154000</v>
      </c>
      <c r="W143" t="s">
        <v>256</v>
      </c>
      <c r="X143" t="s">
        <v>10</v>
      </c>
      <c r="Y143" s="98">
        <v>1038551</v>
      </c>
      <c r="Z143" s="98">
        <v>1038551</v>
      </c>
      <c r="AA143" t="b">
        <v>0</v>
      </c>
    </row>
    <row r="144" spans="1:27" x14ac:dyDescent="0.35">
      <c r="A144" t="s">
        <v>315</v>
      </c>
      <c r="B144" t="s">
        <v>315</v>
      </c>
      <c r="C144" t="s">
        <v>316</v>
      </c>
      <c r="D144" t="s">
        <v>68</v>
      </c>
      <c r="E144" t="s">
        <v>4</v>
      </c>
      <c r="F144" s="99">
        <v>46456</v>
      </c>
      <c r="G144" t="s">
        <v>30</v>
      </c>
      <c r="H144" t="s">
        <v>14</v>
      </c>
      <c r="I144" s="98">
        <v>-1050000</v>
      </c>
      <c r="J144">
        <v>101.44</v>
      </c>
      <c r="K144">
        <v>244</v>
      </c>
      <c r="L144" s="98">
        <v>-2184</v>
      </c>
      <c r="M144">
        <v>-65</v>
      </c>
      <c r="N144" t="s">
        <v>263</v>
      </c>
      <c r="O144">
        <v>-600</v>
      </c>
      <c r="P144">
        <v>-606</v>
      </c>
      <c r="Q144" s="98">
        <v>-1480</v>
      </c>
      <c r="R144">
        <v>-4.7699999999999996</v>
      </c>
      <c r="S144" s="98">
        <v>-1065120</v>
      </c>
      <c r="T144" t="s">
        <v>1302</v>
      </c>
      <c r="U144">
        <v>101.232</v>
      </c>
      <c r="V144" s="98">
        <v>-1050000</v>
      </c>
      <c r="W144" t="s">
        <v>256</v>
      </c>
      <c r="X144" t="s">
        <v>10</v>
      </c>
      <c r="Y144" s="98">
        <v>-1069068</v>
      </c>
      <c r="Z144" s="98">
        <v>1069068</v>
      </c>
      <c r="AA144" t="b">
        <v>0</v>
      </c>
    </row>
    <row r="145" spans="1:27" x14ac:dyDescent="0.35">
      <c r="A145" t="s">
        <v>929</v>
      </c>
      <c r="B145" t="s">
        <v>929</v>
      </c>
      <c r="C145" t="s">
        <v>930</v>
      </c>
      <c r="D145" t="s">
        <v>68</v>
      </c>
      <c r="E145" t="s">
        <v>4</v>
      </c>
      <c r="F145" s="99">
        <v>46350</v>
      </c>
      <c r="G145" t="s">
        <v>30</v>
      </c>
      <c r="H145" t="s">
        <v>14</v>
      </c>
      <c r="I145" s="98">
        <v>-500000</v>
      </c>
      <c r="J145">
        <v>108.321</v>
      </c>
      <c r="K145">
        <v>230</v>
      </c>
      <c r="L145" s="98">
        <v>-1075</v>
      </c>
      <c r="M145">
        <v>-46</v>
      </c>
      <c r="N145" t="s">
        <v>263</v>
      </c>
      <c r="O145">
        <v>-285</v>
      </c>
      <c r="P145">
        <v>-288</v>
      </c>
      <c r="Q145">
        <v>-663</v>
      </c>
      <c r="R145">
        <v>-2.14</v>
      </c>
      <c r="S145" s="98">
        <v>-541605</v>
      </c>
      <c r="T145" t="s">
        <v>1302</v>
      </c>
      <c r="U145">
        <v>108.10599999999999</v>
      </c>
      <c r="V145" s="98">
        <v>-500000</v>
      </c>
      <c r="W145" t="s">
        <v>256</v>
      </c>
      <c r="X145" t="s">
        <v>10</v>
      </c>
      <c r="Y145" s="98">
        <v>-557835</v>
      </c>
      <c r="Z145" s="98">
        <v>557835</v>
      </c>
      <c r="AA145" t="b">
        <v>0</v>
      </c>
    </row>
    <row r="146" spans="1:27" x14ac:dyDescent="0.35">
      <c r="A146" t="s">
        <v>929</v>
      </c>
      <c r="B146" t="s">
        <v>929</v>
      </c>
      <c r="C146" t="s">
        <v>930</v>
      </c>
      <c r="D146" t="s">
        <v>68</v>
      </c>
      <c r="E146" t="s">
        <v>4</v>
      </c>
      <c r="F146" s="99">
        <v>46350</v>
      </c>
      <c r="G146" t="s">
        <v>30</v>
      </c>
      <c r="H146" t="s">
        <v>14</v>
      </c>
      <c r="I146" s="98">
        <v>-600000</v>
      </c>
      <c r="J146">
        <v>108.321</v>
      </c>
      <c r="K146">
        <v>230</v>
      </c>
      <c r="L146" s="98">
        <v>-1290</v>
      </c>
      <c r="M146">
        <v>0</v>
      </c>
      <c r="N146" t="s">
        <v>263</v>
      </c>
      <c r="O146">
        <v>-343</v>
      </c>
      <c r="P146">
        <v>-346</v>
      </c>
      <c r="Q146">
        <v>-796</v>
      </c>
      <c r="R146">
        <v>-2.57</v>
      </c>
      <c r="S146" s="98">
        <v>-649926</v>
      </c>
      <c r="T146" t="s">
        <v>1302</v>
      </c>
      <c r="U146">
        <v>108.10599999999999</v>
      </c>
      <c r="V146" s="98">
        <v>-600000</v>
      </c>
      <c r="W146" t="s">
        <v>256</v>
      </c>
      <c r="X146" t="s">
        <v>10</v>
      </c>
      <c r="Y146" s="98">
        <v>-669401</v>
      </c>
      <c r="Z146" s="98">
        <v>669401</v>
      </c>
      <c r="AA146" t="b">
        <v>0</v>
      </c>
    </row>
    <row r="147" spans="1:27" x14ac:dyDescent="0.35">
      <c r="A147" t="s">
        <v>317</v>
      </c>
      <c r="B147" t="s">
        <v>317</v>
      </c>
      <c r="C147" t="s">
        <v>318</v>
      </c>
      <c r="D147" t="s">
        <v>68</v>
      </c>
      <c r="E147" t="s">
        <v>4</v>
      </c>
      <c r="F147" s="99">
        <v>45301</v>
      </c>
      <c r="G147" t="s">
        <v>30</v>
      </c>
      <c r="H147" t="s">
        <v>14</v>
      </c>
      <c r="I147" s="98">
        <v>1419000</v>
      </c>
      <c r="J147">
        <v>112.01600000000001</v>
      </c>
      <c r="K147">
        <v>206</v>
      </c>
      <c r="L147">
        <v>880</v>
      </c>
      <c r="M147">
        <v>211</v>
      </c>
      <c r="N147" t="s">
        <v>263</v>
      </c>
      <c r="O147">
        <v>470</v>
      </c>
      <c r="P147">
        <v>475</v>
      </c>
      <c r="Q147">
        <v>977</v>
      </c>
      <c r="R147">
        <v>3.15</v>
      </c>
      <c r="S147" s="98">
        <v>1589507</v>
      </c>
      <c r="T147" t="s">
        <v>1302</v>
      </c>
      <c r="U147">
        <v>111.95399999999999</v>
      </c>
      <c r="V147" s="98">
        <v>1419000</v>
      </c>
      <c r="W147" t="s">
        <v>256</v>
      </c>
      <c r="X147" t="s">
        <v>10</v>
      </c>
      <c r="Y147" s="98">
        <v>1653965</v>
      </c>
      <c r="Z147" s="98">
        <v>1653965</v>
      </c>
      <c r="AA147" t="b">
        <v>0</v>
      </c>
    </row>
    <row r="148" spans="1:27" x14ac:dyDescent="0.35">
      <c r="A148" t="s">
        <v>319</v>
      </c>
      <c r="B148" t="s">
        <v>319</v>
      </c>
      <c r="C148" t="s">
        <v>320</v>
      </c>
      <c r="D148" t="s">
        <v>68</v>
      </c>
      <c r="E148" t="s">
        <v>283</v>
      </c>
      <c r="F148" s="99">
        <v>44454</v>
      </c>
      <c r="G148" t="s">
        <v>30</v>
      </c>
      <c r="H148" t="s">
        <v>14</v>
      </c>
      <c r="I148">
        <v>0</v>
      </c>
      <c r="J148">
        <v>104.34</v>
      </c>
      <c r="K148">
        <v>138</v>
      </c>
      <c r="L148" s="98">
        <v>2751</v>
      </c>
      <c r="M148">
        <v>304</v>
      </c>
      <c r="N148" t="s">
        <v>263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1302</v>
      </c>
      <c r="U148">
        <v>104.336</v>
      </c>
      <c r="V148" s="98">
        <v>1515000</v>
      </c>
      <c r="W148" t="s">
        <v>256</v>
      </c>
      <c r="X148" t="s">
        <v>10</v>
      </c>
      <c r="Y148">
        <v>-275</v>
      </c>
      <c r="Z148">
        <v>275</v>
      </c>
      <c r="AA148" t="b">
        <v>0</v>
      </c>
    </row>
    <row r="149" spans="1:27" x14ac:dyDescent="0.35">
      <c r="A149" t="s">
        <v>319</v>
      </c>
      <c r="B149" t="s">
        <v>319</v>
      </c>
      <c r="C149" t="s">
        <v>320</v>
      </c>
      <c r="D149" t="s">
        <v>68</v>
      </c>
      <c r="E149" t="s">
        <v>283</v>
      </c>
      <c r="F149" s="99">
        <v>44454</v>
      </c>
      <c r="G149" t="s">
        <v>30</v>
      </c>
      <c r="H149" t="s">
        <v>14</v>
      </c>
      <c r="I149" s="98">
        <v>7894000</v>
      </c>
      <c r="J149">
        <v>104.34</v>
      </c>
      <c r="K149">
        <v>138</v>
      </c>
      <c r="L149" s="98">
        <v>5384</v>
      </c>
      <c r="M149">
        <v>0</v>
      </c>
      <c r="N149" t="s">
        <v>263</v>
      </c>
      <c r="O149">
        <v>768</v>
      </c>
      <c r="P149">
        <v>777</v>
      </c>
      <c r="Q149" s="98">
        <v>1071</v>
      </c>
      <c r="R149">
        <v>3.45</v>
      </c>
      <c r="S149" s="98">
        <v>9113702</v>
      </c>
      <c r="T149" t="s">
        <v>1302</v>
      </c>
      <c r="U149">
        <v>104.336</v>
      </c>
      <c r="V149">
        <v>0</v>
      </c>
      <c r="W149" t="s">
        <v>256</v>
      </c>
      <c r="X149" t="s">
        <v>10</v>
      </c>
      <c r="Y149" s="98">
        <v>9195373</v>
      </c>
      <c r="Z149" s="98">
        <v>9195373</v>
      </c>
      <c r="AA149" t="b">
        <v>0</v>
      </c>
    </row>
    <row r="150" spans="1:27" x14ac:dyDescent="0.35">
      <c r="A150" t="s">
        <v>321</v>
      </c>
      <c r="B150" t="s">
        <v>321</v>
      </c>
      <c r="C150" t="s">
        <v>322</v>
      </c>
      <c r="D150" t="s">
        <v>74</v>
      </c>
      <c r="E150" t="s">
        <v>4</v>
      </c>
      <c r="F150" s="99">
        <v>45755</v>
      </c>
      <c r="G150" t="s">
        <v>30</v>
      </c>
      <c r="H150" t="s">
        <v>14</v>
      </c>
      <c r="I150" s="98">
        <v>4400000</v>
      </c>
      <c r="J150">
        <v>100.89</v>
      </c>
      <c r="K150">
        <v>191</v>
      </c>
      <c r="L150" s="98">
        <v>5500</v>
      </c>
      <c r="M150">
        <v>196</v>
      </c>
      <c r="N150" t="s">
        <v>263</v>
      </c>
      <c r="O150" s="98">
        <v>1878</v>
      </c>
      <c r="P150" s="98">
        <v>1896</v>
      </c>
      <c r="Q150" s="98">
        <v>3627</v>
      </c>
      <c r="R150">
        <v>11.7</v>
      </c>
      <c r="S150" s="98">
        <v>4439160</v>
      </c>
      <c r="T150" t="s">
        <v>1302</v>
      </c>
      <c r="U150">
        <v>100.765</v>
      </c>
      <c r="V150" s="98">
        <v>4400000</v>
      </c>
      <c r="W150" t="s">
        <v>256</v>
      </c>
      <c r="X150" t="s">
        <v>10</v>
      </c>
      <c r="Y150" s="98">
        <v>4463646</v>
      </c>
      <c r="Z150" s="98">
        <v>4463646</v>
      </c>
      <c r="AA150" t="b">
        <v>0</v>
      </c>
    </row>
    <row r="151" spans="1:27" x14ac:dyDescent="0.35">
      <c r="A151" t="s">
        <v>323</v>
      </c>
      <c r="B151" t="s">
        <v>323</v>
      </c>
      <c r="C151" t="s">
        <v>324</v>
      </c>
      <c r="D151" t="s">
        <v>74</v>
      </c>
      <c r="E151" t="s">
        <v>4</v>
      </c>
      <c r="F151" s="99">
        <v>45716</v>
      </c>
      <c r="G151" t="s">
        <v>30</v>
      </c>
      <c r="H151" t="s">
        <v>14</v>
      </c>
      <c r="I151" s="98">
        <v>500000</v>
      </c>
      <c r="J151">
        <v>108.224</v>
      </c>
      <c r="K151">
        <v>167</v>
      </c>
      <c r="L151">
        <v>700</v>
      </c>
      <c r="M151">
        <v>44</v>
      </c>
      <c r="N151" t="s">
        <v>263</v>
      </c>
      <c r="O151">
        <v>207</v>
      </c>
      <c r="P151">
        <v>209</v>
      </c>
      <c r="Q151">
        <v>348</v>
      </c>
      <c r="R151">
        <v>1.1200000000000001</v>
      </c>
      <c r="S151" s="98">
        <v>541120</v>
      </c>
      <c r="T151" t="s">
        <v>1302</v>
      </c>
      <c r="U151">
        <v>108.084</v>
      </c>
      <c r="V151" s="98">
        <v>500000</v>
      </c>
      <c r="W151" t="s">
        <v>256</v>
      </c>
      <c r="X151" t="s">
        <v>10</v>
      </c>
      <c r="Y151" s="98">
        <v>552486</v>
      </c>
      <c r="Z151" s="98">
        <v>552486</v>
      </c>
      <c r="AA151" t="b">
        <v>0</v>
      </c>
    </row>
    <row r="152" spans="1:27" x14ac:dyDescent="0.35">
      <c r="A152" t="s">
        <v>325</v>
      </c>
      <c r="B152" t="s">
        <v>325</v>
      </c>
      <c r="C152" t="s">
        <v>326</v>
      </c>
      <c r="D152" t="s">
        <v>74</v>
      </c>
      <c r="E152" t="s">
        <v>4</v>
      </c>
      <c r="F152" s="99">
        <v>45032</v>
      </c>
      <c r="G152" t="s">
        <v>30</v>
      </c>
      <c r="H152" t="s">
        <v>14</v>
      </c>
      <c r="I152">
        <v>0</v>
      </c>
      <c r="J152">
        <v>100.706</v>
      </c>
      <c r="K152">
        <v>151</v>
      </c>
      <c r="L152">
        <v>0</v>
      </c>
      <c r="M152">
        <v>-19</v>
      </c>
      <c r="N152" t="s">
        <v>263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1302</v>
      </c>
      <c r="U152">
        <v>100.706</v>
      </c>
      <c r="V152">
        <v>0</v>
      </c>
      <c r="W152" t="s">
        <v>256</v>
      </c>
      <c r="X152" t="s">
        <v>10</v>
      </c>
      <c r="Y152">
        <v>0</v>
      </c>
      <c r="Z152">
        <v>0</v>
      </c>
      <c r="AA152" t="b">
        <v>0</v>
      </c>
    </row>
    <row r="153" spans="1:27" x14ac:dyDescent="0.35">
      <c r="A153" t="s">
        <v>327</v>
      </c>
      <c r="B153" t="s">
        <v>327</v>
      </c>
      <c r="C153" t="s">
        <v>328</v>
      </c>
      <c r="D153" t="s">
        <v>90</v>
      </c>
      <c r="E153" t="s">
        <v>4</v>
      </c>
      <c r="F153" s="99">
        <v>47312</v>
      </c>
      <c r="G153" t="s">
        <v>30</v>
      </c>
      <c r="H153" t="s">
        <v>14</v>
      </c>
      <c r="I153" s="98">
        <v>11426000</v>
      </c>
      <c r="J153">
        <v>101.628</v>
      </c>
      <c r="K153">
        <v>350</v>
      </c>
      <c r="L153" s="98">
        <v>37934</v>
      </c>
      <c r="M153" s="98">
        <v>1057</v>
      </c>
      <c r="N153" t="s">
        <v>263</v>
      </c>
      <c r="O153" s="98">
        <v>8629</v>
      </c>
      <c r="P153" s="98">
        <v>8723</v>
      </c>
      <c r="Q153" s="98">
        <v>30522</v>
      </c>
      <c r="R153">
        <v>98.46</v>
      </c>
      <c r="S153" s="98">
        <v>11612015</v>
      </c>
      <c r="T153" t="s">
        <v>8</v>
      </c>
      <c r="U153">
        <v>101.29600000000001</v>
      </c>
      <c r="V153" s="98">
        <v>11426000</v>
      </c>
      <c r="W153" t="s">
        <v>256</v>
      </c>
      <c r="X153" t="s">
        <v>10</v>
      </c>
      <c r="Y153" s="98">
        <v>11641598</v>
      </c>
      <c r="Z153" s="98">
        <v>11641598</v>
      </c>
      <c r="AA153" t="b">
        <v>0</v>
      </c>
    </row>
    <row r="154" spans="1:27" x14ac:dyDescent="0.35">
      <c r="A154" t="s">
        <v>329</v>
      </c>
      <c r="B154" t="s">
        <v>329</v>
      </c>
      <c r="C154" t="s">
        <v>330</v>
      </c>
      <c r="D154" t="s">
        <v>90</v>
      </c>
      <c r="E154" t="s">
        <v>4</v>
      </c>
      <c r="F154" s="99">
        <v>45943</v>
      </c>
      <c r="G154" t="s">
        <v>30</v>
      </c>
      <c r="H154" t="s">
        <v>14</v>
      </c>
      <c r="I154" s="98">
        <v>-17971000</v>
      </c>
      <c r="J154">
        <v>101.489</v>
      </c>
      <c r="K154">
        <v>279</v>
      </c>
      <c r="L154" s="98">
        <v>-47623</v>
      </c>
      <c r="M154" s="98">
        <v>-1289</v>
      </c>
      <c r="N154" t="s">
        <v>263</v>
      </c>
      <c r="O154" s="98">
        <v>-8339</v>
      </c>
      <c r="P154" s="98">
        <v>-8422</v>
      </c>
      <c r="Q154" s="98">
        <v>-23484</v>
      </c>
      <c r="R154">
        <v>-75.760000000000005</v>
      </c>
      <c r="S154" s="98">
        <v>-18238588</v>
      </c>
      <c r="T154" t="s">
        <v>8</v>
      </c>
      <c r="U154">
        <v>101.224</v>
      </c>
      <c r="V154" s="98">
        <v>-17971000</v>
      </c>
      <c r="W154" t="s">
        <v>256</v>
      </c>
      <c r="X154" t="s">
        <v>10</v>
      </c>
      <c r="Y154" s="98">
        <v>-18274677</v>
      </c>
      <c r="Z154" s="98">
        <v>18274677</v>
      </c>
      <c r="AA154" t="b">
        <v>0</v>
      </c>
    </row>
    <row r="155" spans="1:27" x14ac:dyDescent="0.35">
      <c r="A155" t="s">
        <v>1312</v>
      </c>
      <c r="B155" t="s">
        <v>1312</v>
      </c>
      <c r="C155" t="s">
        <v>1313</v>
      </c>
      <c r="D155" t="s">
        <v>941</v>
      </c>
      <c r="E155" t="s">
        <v>4</v>
      </c>
      <c r="F155" s="99">
        <v>45974</v>
      </c>
      <c r="G155" t="s">
        <v>30</v>
      </c>
      <c r="H155" t="s">
        <v>14</v>
      </c>
      <c r="I155" s="98">
        <v>2300000</v>
      </c>
      <c r="J155">
        <v>101.49299999999999</v>
      </c>
      <c r="K155">
        <v>341</v>
      </c>
      <c r="L155" s="98">
        <v>5198</v>
      </c>
      <c r="M155">
        <v>204</v>
      </c>
      <c r="N155" t="s">
        <v>263</v>
      </c>
      <c r="O155" s="98">
        <v>1066</v>
      </c>
      <c r="P155" s="98">
        <v>1077</v>
      </c>
      <c r="Q155" s="98">
        <v>3671</v>
      </c>
      <c r="R155">
        <v>11.84</v>
      </c>
      <c r="S155" s="98">
        <v>2334339</v>
      </c>
      <c r="T155" t="s">
        <v>1302</v>
      </c>
      <c r="U155">
        <v>101.267</v>
      </c>
      <c r="V155" s="98">
        <v>2300000</v>
      </c>
      <c r="W155" t="s">
        <v>256</v>
      </c>
      <c r="X155" t="s">
        <v>10</v>
      </c>
      <c r="Y155" s="98">
        <v>2408476</v>
      </c>
      <c r="Z155" s="98">
        <v>2408476</v>
      </c>
      <c r="AA155" t="b">
        <v>0</v>
      </c>
    </row>
    <row r="156" spans="1:27" x14ac:dyDescent="0.35">
      <c r="A156" t="s">
        <v>939</v>
      </c>
      <c r="B156" t="s">
        <v>939</v>
      </c>
      <c r="C156" t="s">
        <v>940</v>
      </c>
      <c r="D156" t="s">
        <v>941</v>
      </c>
      <c r="E156" t="s">
        <v>4</v>
      </c>
      <c r="F156" s="99">
        <v>44815</v>
      </c>
      <c r="G156" t="s">
        <v>30</v>
      </c>
      <c r="H156" t="s">
        <v>14</v>
      </c>
      <c r="I156" s="98">
        <v>-2500000</v>
      </c>
      <c r="J156">
        <v>101.777</v>
      </c>
      <c r="K156">
        <v>236</v>
      </c>
      <c r="L156">
        <v>-25</v>
      </c>
      <c r="M156">
        <v>-197</v>
      </c>
      <c r="N156" t="s">
        <v>263</v>
      </c>
      <c r="O156">
        <v>-433</v>
      </c>
      <c r="P156">
        <v>-437</v>
      </c>
      <c r="Q156" s="98">
        <v>-1031</v>
      </c>
      <c r="R156">
        <v>-3.33</v>
      </c>
      <c r="S156" s="98">
        <v>-2544425</v>
      </c>
      <c r="T156" t="s">
        <v>1302</v>
      </c>
      <c r="U156">
        <v>101.776</v>
      </c>
      <c r="V156" s="98">
        <v>-2500000</v>
      </c>
      <c r="W156" t="s">
        <v>256</v>
      </c>
      <c r="X156" t="s">
        <v>10</v>
      </c>
      <c r="Y156" s="98">
        <v>-2556240</v>
      </c>
      <c r="Z156" s="98">
        <v>2556240</v>
      </c>
      <c r="AA156" t="b">
        <v>0</v>
      </c>
    </row>
    <row r="157" spans="1:27" x14ac:dyDescent="0.35">
      <c r="A157" t="s">
        <v>331</v>
      </c>
      <c r="B157" t="s">
        <v>331</v>
      </c>
      <c r="C157" t="s">
        <v>332</v>
      </c>
      <c r="D157" t="s">
        <v>333</v>
      </c>
      <c r="E157" t="s">
        <v>4</v>
      </c>
      <c r="F157" s="99">
        <v>46051</v>
      </c>
      <c r="G157" t="s">
        <v>30</v>
      </c>
      <c r="H157" t="s">
        <v>14</v>
      </c>
      <c r="I157" s="98">
        <v>7500000</v>
      </c>
      <c r="J157">
        <v>105.824</v>
      </c>
      <c r="K157">
        <v>237</v>
      </c>
      <c r="L157" s="98">
        <v>13575</v>
      </c>
      <c r="M157">
        <v>640</v>
      </c>
      <c r="N157" t="s">
        <v>263</v>
      </c>
      <c r="O157" s="98">
        <v>3649</v>
      </c>
      <c r="P157" s="98">
        <v>3685</v>
      </c>
      <c r="Q157" s="98">
        <v>8732</v>
      </c>
      <c r="R157">
        <v>28.17</v>
      </c>
      <c r="S157" s="98">
        <v>7936800</v>
      </c>
      <c r="T157" t="s">
        <v>1302</v>
      </c>
      <c r="U157">
        <v>105.643</v>
      </c>
      <c r="V157" s="98">
        <v>7500000</v>
      </c>
      <c r="W157" t="s">
        <v>256</v>
      </c>
      <c r="X157" t="s">
        <v>10</v>
      </c>
      <c r="Y157" s="98">
        <v>8119945</v>
      </c>
      <c r="Z157" s="98">
        <v>8119945</v>
      </c>
      <c r="AA157" t="b">
        <v>0</v>
      </c>
    </row>
    <row r="158" spans="1:27" x14ac:dyDescent="0.35">
      <c r="A158" t="s">
        <v>334</v>
      </c>
      <c r="B158" t="s">
        <v>334</v>
      </c>
      <c r="C158" t="s">
        <v>335</v>
      </c>
      <c r="D158" t="s">
        <v>336</v>
      </c>
      <c r="E158" t="s">
        <v>4</v>
      </c>
      <c r="F158" s="99">
        <v>46037</v>
      </c>
      <c r="G158" t="s">
        <v>30</v>
      </c>
      <c r="H158" t="s">
        <v>14</v>
      </c>
      <c r="I158" s="98">
        <v>200000</v>
      </c>
      <c r="J158">
        <v>99.569000000000003</v>
      </c>
      <c r="K158">
        <v>395</v>
      </c>
      <c r="L158">
        <v>710</v>
      </c>
      <c r="M158">
        <v>18</v>
      </c>
      <c r="N158" t="s">
        <v>263</v>
      </c>
      <c r="O158">
        <v>93</v>
      </c>
      <c r="P158">
        <v>94</v>
      </c>
      <c r="Q158">
        <v>371</v>
      </c>
      <c r="R158">
        <v>1.2</v>
      </c>
      <c r="S158" s="98">
        <v>199138</v>
      </c>
      <c r="T158" t="s">
        <v>1302</v>
      </c>
      <c r="U158">
        <v>99.213999999999999</v>
      </c>
      <c r="V158" s="98">
        <v>200000</v>
      </c>
      <c r="W158" t="s">
        <v>256</v>
      </c>
      <c r="X158" t="s">
        <v>10</v>
      </c>
      <c r="Y158" s="98">
        <v>199619</v>
      </c>
      <c r="Z158" s="98">
        <v>199619</v>
      </c>
      <c r="AA158" t="b">
        <v>0</v>
      </c>
    </row>
    <row r="159" spans="1:27" x14ac:dyDescent="0.35">
      <c r="A159" t="s">
        <v>337</v>
      </c>
      <c r="B159" t="s">
        <v>337</v>
      </c>
      <c r="C159" t="s">
        <v>338</v>
      </c>
      <c r="D159" t="s">
        <v>118</v>
      </c>
      <c r="E159" t="s">
        <v>4</v>
      </c>
      <c r="F159" s="99">
        <v>47146</v>
      </c>
      <c r="G159" t="s">
        <v>30</v>
      </c>
      <c r="H159" t="s">
        <v>14</v>
      </c>
      <c r="I159">
        <v>0</v>
      </c>
      <c r="J159">
        <v>101.73699999999999</v>
      </c>
      <c r="K159">
        <v>238</v>
      </c>
      <c r="L159">
        <v>0</v>
      </c>
      <c r="M159">
        <v>0</v>
      </c>
      <c r="N159" t="s">
        <v>263</v>
      </c>
      <c r="O159">
        <v>0</v>
      </c>
      <c r="P159">
        <v>0</v>
      </c>
      <c r="Q159">
        <v>0</v>
      </c>
      <c r="R159">
        <v>0</v>
      </c>
      <c r="S159">
        <v>0</v>
      </c>
      <c r="T159" t="s">
        <v>31</v>
      </c>
      <c r="U159">
        <v>101.73699999999999</v>
      </c>
      <c r="V159">
        <v>0</v>
      </c>
      <c r="W159" t="s">
        <v>256</v>
      </c>
      <c r="X159" t="s">
        <v>10</v>
      </c>
      <c r="Y159">
        <v>0</v>
      </c>
      <c r="Z159">
        <v>0</v>
      </c>
    </row>
    <row r="160" spans="1:27" x14ac:dyDescent="0.35">
      <c r="A160" t="s">
        <v>339</v>
      </c>
      <c r="B160" t="s">
        <v>339</v>
      </c>
      <c r="C160" t="s">
        <v>340</v>
      </c>
      <c r="D160" t="s">
        <v>118</v>
      </c>
      <c r="E160" t="s">
        <v>4</v>
      </c>
      <c r="F160" s="99">
        <v>45377</v>
      </c>
      <c r="G160" t="s">
        <v>30</v>
      </c>
      <c r="H160" t="s">
        <v>14</v>
      </c>
      <c r="I160" s="98">
        <v>2700000</v>
      </c>
      <c r="J160">
        <v>105.03100000000001</v>
      </c>
      <c r="K160">
        <v>162</v>
      </c>
      <c r="L160" s="98">
        <v>6183</v>
      </c>
      <c r="M160">
        <v>338</v>
      </c>
      <c r="N160" t="s">
        <v>263</v>
      </c>
      <c r="O160">
        <v>919</v>
      </c>
      <c r="P160">
        <v>927</v>
      </c>
      <c r="Q160" s="98">
        <v>1502</v>
      </c>
      <c r="R160">
        <v>4.8499999999999996</v>
      </c>
      <c r="S160" s="98">
        <v>2835837</v>
      </c>
      <c r="T160" t="s">
        <v>1302</v>
      </c>
      <c r="U160">
        <v>104.80200000000001</v>
      </c>
      <c r="V160" s="98">
        <v>2700000</v>
      </c>
      <c r="W160" t="s">
        <v>256</v>
      </c>
      <c r="X160" t="s">
        <v>10</v>
      </c>
      <c r="Y160" s="98">
        <v>2880304</v>
      </c>
      <c r="Z160" s="98">
        <v>2880304</v>
      </c>
      <c r="AA160" t="b">
        <v>0</v>
      </c>
    </row>
    <row r="161" spans="1:27" x14ac:dyDescent="0.35">
      <c r="A161" t="s">
        <v>1259</v>
      </c>
      <c r="B161" t="s">
        <v>1259</v>
      </c>
      <c r="C161" t="s">
        <v>1260</v>
      </c>
      <c r="D161" t="s">
        <v>343</v>
      </c>
      <c r="E161" t="s">
        <v>4</v>
      </c>
      <c r="F161" s="99">
        <v>46844</v>
      </c>
      <c r="G161" t="s">
        <v>30</v>
      </c>
      <c r="H161" t="s">
        <v>14</v>
      </c>
      <c r="I161">
        <v>0</v>
      </c>
      <c r="J161">
        <v>103.38200000000001</v>
      </c>
      <c r="K161">
        <v>342</v>
      </c>
      <c r="L161">
        <v>0</v>
      </c>
      <c r="M161">
        <v>-10</v>
      </c>
      <c r="N161" t="s">
        <v>263</v>
      </c>
      <c r="O161">
        <v>0</v>
      </c>
      <c r="P161">
        <v>0</v>
      </c>
      <c r="Q161">
        <v>0</v>
      </c>
      <c r="R161">
        <v>0</v>
      </c>
      <c r="S161">
        <v>0</v>
      </c>
      <c r="T161" t="s">
        <v>1302</v>
      </c>
      <c r="U161">
        <v>103.38200000000001</v>
      </c>
      <c r="V161">
        <v>0</v>
      </c>
      <c r="W161" t="s">
        <v>256</v>
      </c>
      <c r="X161" t="s">
        <v>10</v>
      </c>
      <c r="Y161">
        <v>0</v>
      </c>
      <c r="Z161">
        <v>0</v>
      </c>
      <c r="AA161" t="b">
        <v>0</v>
      </c>
    </row>
    <row r="162" spans="1:27" x14ac:dyDescent="0.35">
      <c r="A162" t="s">
        <v>344</v>
      </c>
      <c r="B162" t="s">
        <v>344</v>
      </c>
      <c r="C162" t="s">
        <v>345</v>
      </c>
      <c r="D162" t="s">
        <v>346</v>
      </c>
      <c r="E162" t="s">
        <v>4</v>
      </c>
      <c r="F162" s="99">
        <v>47033</v>
      </c>
      <c r="G162" t="s">
        <v>30</v>
      </c>
      <c r="H162" t="s">
        <v>14</v>
      </c>
      <c r="I162" s="98">
        <v>-3425000</v>
      </c>
      <c r="J162">
        <v>108.16200000000001</v>
      </c>
      <c r="K162">
        <v>213</v>
      </c>
      <c r="L162" s="98">
        <v>-9864</v>
      </c>
      <c r="M162">
        <v>-112</v>
      </c>
      <c r="N162" t="s">
        <v>250</v>
      </c>
      <c r="O162" s="98">
        <v>-2625</v>
      </c>
      <c r="P162" s="98">
        <v>-2656</v>
      </c>
      <c r="Q162" s="98">
        <v>-5658</v>
      </c>
      <c r="R162">
        <v>-18.25</v>
      </c>
      <c r="S162" s="98">
        <v>-3704549</v>
      </c>
      <c r="T162" t="s">
        <v>1302</v>
      </c>
      <c r="U162">
        <v>107.874</v>
      </c>
      <c r="V162" s="98">
        <v>-3425000</v>
      </c>
      <c r="W162" t="s">
        <v>256</v>
      </c>
      <c r="X162" t="s">
        <v>10</v>
      </c>
      <c r="Y162" s="98">
        <v>-3713696</v>
      </c>
      <c r="Z162" s="98">
        <v>3713696</v>
      </c>
      <c r="AA162" t="b">
        <v>0</v>
      </c>
    </row>
    <row r="163" spans="1:27" x14ac:dyDescent="0.35">
      <c r="A163" t="s">
        <v>837</v>
      </c>
      <c r="B163" t="s">
        <v>837</v>
      </c>
      <c r="C163" t="s">
        <v>838</v>
      </c>
      <c r="D163" t="s">
        <v>839</v>
      </c>
      <c r="E163" t="s">
        <v>4</v>
      </c>
      <c r="F163" s="99">
        <v>45696</v>
      </c>
      <c r="G163" t="s">
        <v>30</v>
      </c>
      <c r="H163" t="s">
        <v>14</v>
      </c>
      <c r="I163" s="98">
        <v>-7100000</v>
      </c>
      <c r="J163">
        <v>99.272999999999996</v>
      </c>
      <c r="K163">
        <v>271</v>
      </c>
      <c r="L163" s="98">
        <v>-16046</v>
      </c>
      <c r="M163">
        <v>-388</v>
      </c>
      <c r="N163" t="s">
        <v>250</v>
      </c>
      <c r="O163" s="98">
        <v>-2673</v>
      </c>
      <c r="P163" s="98">
        <v>-2699</v>
      </c>
      <c r="Q163" s="98">
        <v>-7302</v>
      </c>
      <c r="R163">
        <v>-23.56</v>
      </c>
      <c r="S163" s="98">
        <v>-7048383</v>
      </c>
      <c r="T163" t="s">
        <v>1302</v>
      </c>
      <c r="U163">
        <v>99.046999999999997</v>
      </c>
      <c r="V163" s="98">
        <v>-7100000</v>
      </c>
      <c r="W163" t="s">
        <v>256</v>
      </c>
      <c r="X163" t="s">
        <v>10</v>
      </c>
      <c r="Y163" s="98">
        <v>-7155465</v>
      </c>
      <c r="Z163" s="98">
        <v>7155465</v>
      </c>
      <c r="AA163" t="b">
        <v>0</v>
      </c>
    </row>
    <row r="164" spans="1:27" x14ac:dyDescent="0.35">
      <c r="A164" t="s">
        <v>347</v>
      </c>
      <c r="B164" t="s">
        <v>347</v>
      </c>
      <c r="C164" t="s">
        <v>348</v>
      </c>
      <c r="D164" t="s">
        <v>349</v>
      </c>
      <c r="E164" t="s">
        <v>4</v>
      </c>
      <c r="F164" s="99">
        <v>45083</v>
      </c>
      <c r="G164" t="s">
        <v>30</v>
      </c>
      <c r="H164" t="s">
        <v>14</v>
      </c>
      <c r="I164" s="98">
        <v>538000</v>
      </c>
      <c r="J164">
        <v>106.396</v>
      </c>
      <c r="K164">
        <v>245</v>
      </c>
      <c r="L164">
        <v>818</v>
      </c>
      <c r="M164">
        <v>66</v>
      </c>
      <c r="N164" t="s">
        <v>263</v>
      </c>
      <c r="O164">
        <v>140</v>
      </c>
      <c r="P164">
        <v>141</v>
      </c>
      <c r="Q164">
        <v>346</v>
      </c>
      <c r="R164">
        <v>1.1200000000000001</v>
      </c>
      <c r="S164" s="98">
        <v>572410</v>
      </c>
      <c r="T164" t="s">
        <v>1302</v>
      </c>
      <c r="U164">
        <v>106.244</v>
      </c>
      <c r="V164" s="98">
        <v>538000</v>
      </c>
      <c r="W164" t="s">
        <v>256</v>
      </c>
      <c r="X164" t="s">
        <v>10</v>
      </c>
      <c r="Y164" s="98">
        <v>582824</v>
      </c>
      <c r="Z164" s="98">
        <v>582824</v>
      </c>
      <c r="AA164" t="b">
        <v>0</v>
      </c>
    </row>
    <row r="165" spans="1:27" x14ac:dyDescent="0.35">
      <c r="A165" t="s">
        <v>1323</v>
      </c>
      <c r="B165" t="s">
        <v>1323</v>
      </c>
      <c r="C165" t="s">
        <v>1324</v>
      </c>
      <c r="D165" t="s">
        <v>350</v>
      </c>
      <c r="E165" t="s">
        <v>4</v>
      </c>
      <c r="F165" s="99">
        <v>46090</v>
      </c>
      <c r="G165" t="s">
        <v>30</v>
      </c>
      <c r="H165" t="s">
        <v>14</v>
      </c>
      <c r="I165" s="98">
        <v>3000000</v>
      </c>
      <c r="J165">
        <v>100.783</v>
      </c>
      <c r="K165">
        <v>194</v>
      </c>
      <c r="L165" s="98">
        <v>5250</v>
      </c>
      <c r="M165">
        <v>0</v>
      </c>
      <c r="N165" t="s">
        <v>263</v>
      </c>
      <c r="O165" s="98">
        <v>1532</v>
      </c>
      <c r="P165" s="98">
        <v>1547</v>
      </c>
      <c r="Q165" s="98">
        <v>3003</v>
      </c>
      <c r="R165">
        <v>9.69</v>
      </c>
      <c r="S165" s="98">
        <v>3023490</v>
      </c>
      <c r="T165" t="s">
        <v>1302</v>
      </c>
      <c r="U165">
        <v>100.608</v>
      </c>
      <c r="V165" s="98">
        <v>3000000</v>
      </c>
      <c r="W165" t="s">
        <v>256</v>
      </c>
      <c r="X165" t="s">
        <v>10</v>
      </c>
      <c r="Y165" s="98">
        <v>3031771</v>
      </c>
      <c r="Z165" s="98">
        <v>3031771</v>
      </c>
      <c r="AA165" t="b">
        <v>0</v>
      </c>
    </row>
    <row r="166" spans="1:27" x14ac:dyDescent="0.35">
      <c r="A166" t="s">
        <v>351</v>
      </c>
      <c r="B166" t="s">
        <v>351</v>
      </c>
      <c r="C166" t="s">
        <v>352</v>
      </c>
      <c r="D166" t="s">
        <v>350</v>
      </c>
      <c r="E166" t="s">
        <v>4</v>
      </c>
      <c r="F166" s="99">
        <v>45638</v>
      </c>
      <c r="G166" t="s">
        <v>30</v>
      </c>
      <c r="H166" t="s">
        <v>14</v>
      </c>
      <c r="I166" s="98">
        <v>-2000000</v>
      </c>
      <c r="J166">
        <v>109.39</v>
      </c>
      <c r="K166">
        <v>153</v>
      </c>
      <c r="L166" s="98">
        <v>-4380</v>
      </c>
      <c r="M166">
        <v>-184</v>
      </c>
      <c r="N166" t="s">
        <v>263</v>
      </c>
      <c r="O166">
        <v>-844</v>
      </c>
      <c r="P166">
        <v>-852</v>
      </c>
      <c r="Q166" s="98">
        <v>-1300</v>
      </c>
      <c r="R166">
        <v>-4.1900000000000004</v>
      </c>
      <c r="S166" s="98">
        <v>-2187800</v>
      </c>
      <c r="T166" t="s">
        <v>1302</v>
      </c>
      <c r="U166">
        <v>109.17100000000001</v>
      </c>
      <c r="V166" s="98">
        <v>-2000000</v>
      </c>
      <c r="W166" t="s">
        <v>256</v>
      </c>
      <c r="X166" t="s">
        <v>10</v>
      </c>
      <c r="Y166" s="98">
        <v>-2249398</v>
      </c>
      <c r="Z166" s="98">
        <v>2249398</v>
      </c>
      <c r="AA166" t="b">
        <v>0</v>
      </c>
    </row>
    <row r="167" spans="1:27" x14ac:dyDescent="0.35">
      <c r="A167" t="s">
        <v>353</v>
      </c>
      <c r="B167" t="s">
        <v>353</v>
      </c>
      <c r="C167" t="s">
        <v>354</v>
      </c>
      <c r="D167" t="s">
        <v>355</v>
      </c>
      <c r="E167" t="s">
        <v>4</v>
      </c>
      <c r="F167" s="99">
        <v>46543</v>
      </c>
      <c r="G167" t="s">
        <v>30</v>
      </c>
      <c r="H167" t="s">
        <v>14</v>
      </c>
      <c r="I167" s="98">
        <v>-3931000</v>
      </c>
      <c r="J167">
        <v>100.998</v>
      </c>
      <c r="K167">
        <v>238</v>
      </c>
      <c r="L167" s="98">
        <v>-11872</v>
      </c>
      <c r="M167">
        <v>-229</v>
      </c>
      <c r="N167" t="s">
        <v>263</v>
      </c>
      <c r="O167" s="98">
        <v>-2415</v>
      </c>
      <c r="P167" s="98">
        <v>-2441</v>
      </c>
      <c r="Q167" s="98">
        <v>-5815</v>
      </c>
      <c r="R167">
        <v>-18.760000000000002</v>
      </c>
      <c r="S167" s="98">
        <v>-3970231</v>
      </c>
      <c r="T167" t="s">
        <v>1302</v>
      </c>
      <c r="U167">
        <v>100.696</v>
      </c>
      <c r="V167" s="98">
        <v>-3931000</v>
      </c>
      <c r="W167" t="s">
        <v>256</v>
      </c>
      <c r="X167" t="s">
        <v>10</v>
      </c>
      <c r="Y167" s="98">
        <v>-3985336</v>
      </c>
      <c r="Z167" s="98">
        <v>3985336</v>
      </c>
      <c r="AA167" t="b">
        <v>0</v>
      </c>
    </row>
    <row r="168" spans="1:27" x14ac:dyDescent="0.35">
      <c r="A168" t="s">
        <v>356</v>
      </c>
      <c r="B168" t="s">
        <v>356</v>
      </c>
      <c r="C168" t="s">
        <v>357</v>
      </c>
      <c r="D168" t="s">
        <v>355</v>
      </c>
      <c r="E168" t="s">
        <v>283</v>
      </c>
      <c r="F168" s="99">
        <v>45826</v>
      </c>
      <c r="G168" t="s">
        <v>30</v>
      </c>
      <c r="H168" t="s">
        <v>14</v>
      </c>
      <c r="I168" s="98">
        <v>-30000</v>
      </c>
      <c r="J168">
        <v>113.64400000000001</v>
      </c>
      <c r="K168">
        <v>227</v>
      </c>
      <c r="L168">
        <v>-58</v>
      </c>
      <c r="M168">
        <v>-5</v>
      </c>
      <c r="N168" t="s">
        <v>263</v>
      </c>
      <c r="O168">
        <v>-16</v>
      </c>
      <c r="P168">
        <v>-16</v>
      </c>
      <c r="Q168">
        <v>-36</v>
      </c>
      <c r="R168">
        <v>-0.12</v>
      </c>
      <c r="S168" s="98">
        <v>-37724</v>
      </c>
      <c r="T168" t="s">
        <v>1302</v>
      </c>
      <c r="U168">
        <v>113.47</v>
      </c>
      <c r="V168" s="98">
        <v>-30000</v>
      </c>
      <c r="W168" t="s">
        <v>256</v>
      </c>
      <c r="X168" t="s">
        <v>10</v>
      </c>
      <c r="Y168" s="98">
        <v>-38394</v>
      </c>
      <c r="Z168" s="98">
        <v>38394</v>
      </c>
      <c r="AA168" t="b">
        <v>0</v>
      </c>
    </row>
    <row r="169" spans="1:27" x14ac:dyDescent="0.35">
      <c r="A169" t="s">
        <v>841</v>
      </c>
      <c r="B169" t="s">
        <v>841</v>
      </c>
      <c r="C169" t="s">
        <v>842</v>
      </c>
      <c r="D169" t="s">
        <v>135</v>
      </c>
      <c r="E169" t="s">
        <v>4</v>
      </c>
      <c r="F169" s="99">
        <v>45406</v>
      </c>
      <c r="G169" t="s">
        <v>30</v>
      </c>
      <c r="H169" t="s">
        <v>14</v>
      </c>
      <c r="I169" s="98">
        <v>3000000</v>
      </c>
      <c r="J169">
        <v>104.047</v>
      </c>
      <c r="K169">
        <v>267</v>
      </c>
      <c r="L169" s="98">
        <v>3330</v>
      </c>
      <c r="M169">
        <v>277</v>
      </c>
      <c r="N169" t="s">
        <v>263</v>
      </c>
      <c r="O169" s="98">
        <v>1015</v>
      </c>
      <c r="P169" s="98">
        <v>1025</v>
      </c>
      <c r="Q169" s="98">
        <v>2731</v>
      </c>
      <c r="R169">
        <v>8.81</v>
      </c>
      <c r="S169" s="98">
        <v>3121410</v>
      </c>
      <c r="T169" t="s">
        <v>1302</v>
      </c>
      <c r="U169">
        <v>103.93600000000001</v>
      </c>
      <c r="V169" s="98">
        <v>3000000</v>
      </c>
      <c r="W169" t="s">
        <v>256</v>
      </c>
      <c r="X169" t="s">
        <v>10</v>
      </c>
      <c r="Y169" s="98">
        <v>3176889</v>
      </c>
      <c r="Z169" s="98">
        <v>3176889</v>
      </c>
      <c r="AA169" t="b">
        <v>0</v>
      </c>
    </row>
    <row r="170" spans="1:27" x14ac:dyDescent="0.35">
      <c r="A170" t="s">
        <v>358</v>
      </c>
      <c r="B170" t="s">
        <v>358</v>
      </c>
      <c r="C170" t="s">
        <v>359</v>
      </c>
      <c r="D170" t="s">
        <v>135</v>
      </c>
      <c r="E170" t="s">
        <v>4</v>
      </c>
      <c r="F170" s="99">
        <v>44883</v>
      </c>
      <c r="G170" t="s">
        <v>30</v>
      </c>
      <c r="H170" t="s">
        <v>14</v>
      </c>
      <c r="I170" s="98">
        <v>-1000000</v>
      </c>
      <c r="J170">
        <v>105.093</v>
      </c>
      <c r="K170">
        <v>208</v>
      </c>
      <c r="L170" s="98">
        <v>-1400</v>
      </c>
      <c r="M170">
        <v>-113</v>
      </c>
      <c r="N170" t="s">
        <v>263</v>
      </c>
      <c r="O170">
        <v>-205</v>
      </c>
      <c r="P170">
        <v>-207</v>
      </c>
      <c r="Q170">
        <v>-430</v>
      </c>
      <c r="R170">
        <v>-1.39</v>
      </c>
      <c r="S170" s="98">
        <v>-1050930</v>
      </c>
      <c r="T170" t="s">
        <v>1302</v>
      </c>
      <c r="U170">
        <v>104.953</v>
      </c>
      <c r="V170" s="98">
        <v>-1000000</v>
      </c>
      <c r="W170" t="s">
        <v>256</v>
      </c>
      <c r="X170" t="s">
        <v>10</v>
      </c>
      <c r="Y170" s="98">
        <v>-1091278</v>
      </c>
      <c r="Z170" s="98">
        <v>1091278</v>
      </c>
      <c r="AA170" t="b">
        <v>0</v>
      </c>
    </row>
    <row r="171" spans="1:27" x14ac:dyDescent="0.35">
      <c r="A171" t="s">
        <v>587</v>
      </c>
      <c r="B171" t="s">
        <v>587</v>
      </c>
      <c r="C171" t="s">
        <v>361</v>
      </c>
      <c r="D171" t="s">
        <v>140</v>
      </c>
      <c r="E171" t="s">
        <v>4</v>
      </c>
      <c r="F171" s="99">
        <v>47270</v>
      </c>
      <c r="G171" t="s">
        <v>30</v>
      </c>
      <c r="H171" t="s">
        <v>14</v>
      </c>
      <c r="I171" s="98">
        <v>300000</v>
      </c>
      <c r="J171">
        <v>100.355</v>
      </c>
      <c r="K171">
        <v>317</v>
      </c>
      <c r="L171">
        <v>477</v>
      </c>
      <c r="M171">
        <v>24</v>
      </c>
      <c r="N171" t="s">
        <v>263</v>
      </c>
      <c r="O171">
        <v>226</v>
      </c>
      <c r="P171">
        <v>228</v>
      </c>
      <c r="Q171">
        <v>723</v>
      </c>
      <c r="R171">
        <v>2.33</v>
      </c>
      <c r="S171" s="98">
        <v>301065</v>
      </c>
      <c r="T171" t="s">
        <v>1302</v>
      </c>
      <c r="U171">
        <v>100.196</v>
      </c>
      <c r="V171" s="98">
        <v>300000</v>
      </c>
      <c r="W171" t="s">
        <v>256</v>
      </c>
      <c r="X171" t="s">
        <v>10</v>
      </c>
      <c r="Y171" s="98">
        <v>302719</v>
      </c>
      <c r="Z171" s="98">
        <v>302719</v>
      </c>
      <c r="AA171" t="b">
        <v>0</v>
      </c>
    </row>
    <row r="172" spans="1:27" x14ac:dyDescent="0.35">
      <c r="A172" t="s">
        <v>991</v>
      </c>
      <c r="B172" t="s">
        <v>991</v>
      </c>
      <c r="C172" t="s">
        <v>992</v>
      </c>
      <c r="D172" t="s">
        <v>140</v>
      </c>
      <c r="E172" t="s">
        <v>4</v>
      </c>
      <c r="F172" s="99">
        <v>46000</v>
      </c>
      <c r="G172" t="s">
        <v>30</v>
      </c>
      <c r="H172" t="s">
        <v>14</v>
      </c>
      <c r="I172" s="98">
        <v>-800000</v>
      </c>
      <c r="J172">
        <v>119.82</v>
      </c>
      <c r="K172">
        <v>258</v>
      </c>
      <c r="L172" s="98">
        <v>-2296</v>
      </c>
      <c r="M172">
        <v>-137</v>
      </c>
      <c r="N172" t="s">
        <v>263</v>
      </c>
      <c r="O172">
        <v>-428</v>
      </c>
      <c r="P172">
        <v>-432</v>
      </c>
      <c r="Q172" s="98">
        <v>-1114</v>
      </c>
      <c r="R172">
        <v>-3.59</v>
      </c>
      <c r="S172" s="98">
        <v>-958560</v>
      </c>
      <c r="T172" t="s">
        <v>1302</v>
      </c>
      <c r="U172">
        <v>119.533</v>
      </c>
      <c r="V172" s="98">
        <v>-800000</v>
      </c>
      <c r="W172" t="s">
        <v>256</v>
      </c>
      <c r="X172" t="s">
        <v>10</v>
      </c>
      <c r="Y172" s="98">
        <v>-1004598</v>
      </c>
      <c r="Z172" s="98">
        <v>1004598</v>
      </c>
      <c r="AA172" t="b">
        <v>0</v>
      </c>
    </row>
    <row r="173" spans="1:27" x14ac:dyDescent="0.35">
      <c r="A173" t="s">
        <v>360</v>
      </c>
      <c r="B173" t="s">
        <v>360</v>
      </c>
      <c r="C173" t="s">
        <v>361</v>
      </c>
      <c r="D173" t="s">
        <v>140</v>
      </c>
      <c r="E173" t="s">
        <v>4</v>
      </c>
      <c r="F173" s="99">
        <v>45462</v>
      </c>
      <c r="G173" t="s">
        <v>30</v>
      </c>
      <c r="H173" t="s">
        <v>14</v>
      </c>
      <c r="I173" s="98">
        <v>3500000</v>
      </c>
      <c r="J173">
        <v>102.71299999999999</v>
      </c>
      <c r="K173">
        <v>255</v>
      </c>
      <c r="L173" s="98">
        <v>6440</v>
      </c>
      <c r="M173">
        <v>276</v>
      </c>
      <c r="N173" t="s">
        <v>263</v>
      </c>
      <c r="O173" s="98">
        <v>1144</v>
      </c>
      <c r="P173" s="98">
        <v>1155</v>
      </c>
      <c r="Q173" s="98">
        <v>2948</v>
      </c>
      <c r="R173">
        <v>9.51</v>
      </c>
      <c r="S173" s="98">
        <v>3594955</v>
      </c>
      <c r="T173" t="s">
        <v>1302</v>
      </c>
      <c r="U173">
        <v>102.529</v>
      </c>
      <c r="V173" s="98">
        <v>3500000</v>
      </c>
      <c r="W173" t="s">
        <v>256</v>
      </c>
      <c r="X173" t="s">
        <v>10</v>
      </c>
      <c r="Y173" s="98">
        <v>3634654</v>
      </c>
      <c r="Z173" s="98">
        <v>3634654</v>
      </c>
      <c r="AA173" t="b">
        <v>0</v>
      </c>
    </row>
    <row r="174" spans="1:27" x14ac:dyDescent="0.35">
      <c r="A174" t="s">
        <v>362</v>
      </c>
      <c r="B174" t="s">
        <v>362</v>
      </c>
      <c r="C174" t="s">
        <v>363</v>
      </c>
      <c r="D174" t="s">
        <v>364</v>
      </c>
      <c r="E174" t="s">
        <v>4</v>
      </c>
      <c r="F174" s="99">
        <v>46949</v>
      </c>
      <c r="G174" t="s">
        <v>30</v>
      </c>
      <c r="H174" t="s">
        <v>14</v>
      </c>
      <c r="I174" s="98">
        <v>1000000</v>
      </c>
      <c r="J174">
        <v>100.925</v>
      </c>
      <c r="K174">
        <v>200</v>
      </c>
      <c r="L174" s="98">
        <v>1840</v>
      </c>
      <c r="M174">
        <v>48</v>
      </c>
      <c r="N174" t="s">
        <v>263</v>
      </c>
      <c r="O174">
        <v>720</v>
      </c>
      <c r="P174">
        <v>728</v>
      </c>
      <c r="Q174" s="98">
        <v>1454</v>
      </c>
      <c r="R174">
        <v>4.6900000000000004</v>
      </c>
      <c r="S174" s="98">
        <v>1009250</v>
      </c>
      <c r="T174" t="s">
        <v>1302</v>
      </c>
      <c r="U174">
        <v>100.741</v>
      </c>
      <c r="V174" s="98">
        <v>1000000</v>
      </c>
      <c r="W174" t="s">
        <v>256</v>
      </c>
      <c r="X174" t="s">
        <v>10</v>
      </c>
      <c r="Y174" s="98">
        <v>1010497</v>
      </c>
      <c r="Z174" s="98">
        <v>1010497</v>
      </c>
      <c r="AA174" t="b">
        <v>0</v>
      </c>
    </row>
    <row r="175" spans="1:27" x14ac:dyDescent="0.35">
      <c r="A175" t="s">
        <v>367</v>
      </c>
      <c r="B175" t="s">
        <v>367</v>
      </c>
      <c r="C175" t="s">
        <v>368</v>
      </c>
      <c r="D175" t="s">
        <v>364</v>
      </c>
      <c r="E175" t="s">
        <v>4</v>
      </c>
      <c r="F175" s="99">
        <v>45329</v>
      </c>
      <c r="G175" t="s">
        <v>30</v>
      </c>
      <c r="H175" t="s">
        <v>14</v>
      </c>
      <c r="I175">
        <v>0</v>
      </c>
      <c r="J175">
        <v>113.32899999999999</v>
      </c>
      <c r="K175">
        <v>153</v>
      </c>
      <c r="L175">
        <v>0</v>
      </c>
      <c r="M175">
        <v>0</v>
      </c>
      <c r="N175" t="s">
        <v>263</v>
      </c>
      <c r="O175">
        <v>0</v>
      </c>
      <c r="P175">
        <v>0</v>
      </c>
      <c r="Q175">
        <v>0</v>
      </c>
      <c r="R175">
        <v>0</v>
      </c>
      <c r="S175">
        <v>0</v>
      </c>
      <c r="T175" t="s">
        <v>31</v>
      </c>
      <c r="U175">
        <v>113.32899999999999</v>
      </c>
      <c r="V175">
        <v>0</v>
      </c>
      <c r="W175" t="s">
        <v>256</v>
      </c>
      <c r="X175" t="s">
        <v>10</v>
      </c>
      <c r="Y175">
        <v>0</v>
      </c>
      <c r="Z175">
        <v>0</v>
      </c>
    </row>
    <row r="176" spans="1:27" x14ac:dyDescent="0.35">
      <c r="A176" t="s">
        <v>1340</v>
      </c>
      <c r="B176" t="s">
        <v>1340</v>
      </c>
      <c r="C176" t="s">
        <v>1341</v>
      </c>
      <c r="D176" t="s">
        <v>364</v>
      </c>
      <c r="E176" t="s">
        <v>283</v>
      </c>
      <c r="F176" s="99">
        <v>45017</v>
      </c>
      <c r="G176" t="s">
        <v>30</v>
      </c>
      <c r="H176" t="s">
        <v>14</v>
      </c>
      <c r="I176" s="98">
        <v>3181000</v>
      </c>
      <c r="J176">
        <v>109.54</v>
      </c>
      <c r="K176">
        <v>156</v>
      </c>
      <c r="L176" s="98">
        <v>-4752</v>
      </c>
      <c r="M176">
        <v>0</v>
      </c>
      <c r="N176" t="s">
        <v>263</v>
      </c>
      <c r="O176">
        <v>875</v>
      </c>
      <c r="P176">
        <v>890</v>
      </c>
      <c r="Q176" s="98">
        <v>1388</v>
      </c>
      <c r="R176">
        <v>4.4800000000000004</v>
      </c>
      <c r="S176" s="98">
        <v>3855523</v>
      </c>
      <c r="T176" t="s">
        <v>1302</v>
      </c>
      <c r="U176">
        <v>108.703</v>
      </c>
      <c r="V176">
        <v>0</v>
      </c>
      <c r="W176" t="s">
        <v>256</v>
      </c>
      <c r="X176" t="s">
        <v>10</v>
      </c>
      <c r="Y176" s="98">
        <v>3967773</v>
      </c>
      <c r="Z176" s="98">
        <v>3967773</v>
      </c>
      <c r="AA176" t="b">
        <v>0</v>
      </c>
    </row>
    <row r="177" spans="1:27" x14ac:dyDescent="0.35">
      <c r="A177" t="s">
        <v>1241</v>
      </c>
      <c r="B177" t="s">
        <v>1241</v>
      </c>
      <c r="C177" t="s">
        <v>1242</v>
      </c>
      <c r="D177" t="s">
        <v>371</v>
      </c>
      <c r="E177" t="s">
        <v>4</v>
      </c>
      <c r="F177" s="99">
        <v>45103</v>
      </c>
      <c r="G177" t="s">
        <v>30</v>
      </c>
      <c r="H177" t="s">
        <v>14</v>
      </c>
      <c r="I177" s="98">
        <v>5100000</v>
      </c>
      <c r="J177">
        <v>113.366</v>
      </c>
      <c r="K177">
        <v>160</v>
      </c>
      <c r="L177">
        <v>102</v>
      </c>
      <c r="M177">
        <v>873</v>
      </c>
      <c r="N177" t="s">
        <v>263</v>
      </c>
      <c r="O177" s="98">
        <v>1648</v>
      </c>
      <c r="P177" s="98">
        <v>1707</v>
      </c>
      <c r="Q177" s="98">
        <v>2728</v>
      </c>
      <c r="R177">
        <v>8.8000000000000007</v>
      </c>
      <c r="S177" s="98">
        <v>5781666</v>
      </c>
      <c r="T177" t="s">
        <v>1302</v>
      </c>
      <c r="U177">
        <v>113.364</v>
      </c>
      <c r="V177" s="98">
        <v>5100000</v>
      </c>
      <c r="W177" t="s">
        <v>256</v>
      </c>
      <c r="X177" t="s">
        <v>10</v>
      </c>
      <c r="Y177" s="98">
        <v>5901306</v>
      </c>
      <c r="Z177" s="98">
        <v>5901306</v>
      </c>
      <c r="AA177" t="b">
        <v>0</v>
      </c>
    </row>
    <row r="178" spans="1:27" x14ac:dyDescent="0.35">
      <c r="A178" t="s">
        <v>372</v>
      </c>
      <c r="B178" t="s">
        <v>372</v>
      </c>
      <c r="C178" t="s">
        <v>373</v>
      </c>
      <c r="D178" t="s">
        <v>152</v>
      </c>
      <c r="E178" t="s">
        <v>4</v>
      </c>
      <c r="F178" s="99">
        <v>47098</v>
      </c>
      <c r="G178" t="s">
        <v>30</v>
      </c>
      <c r="H178" t="s">
        <v>14</v>
      </c>
      <c r="I178" s="98">
        <v>-2934000</v>
      </c>
      <c r="J178">
        <v>104.188</v>
      </c>
      <c r="K178">
        <v>400</v>
      </c>
      <c r="L178" s="98">
        <v>-9359</v>
      </c>
      <c r="M178">
        <v>-371</v>
      </c>
      <c r="N178" t="s">
        <v>263</v>
      </c>
      <c r="O178" s="98">
        <v>-2020</v>
      </c>
      <c r="P178" s="98">
        <v>-2041</v>
      </c>
      <c r="Q178" s="98">
        <v>-8172</v>
      </c>
      <c r="R178">
        <v>-26.36</v>
      </c>
      <c r="S178" s="98">
        <v>-3056876</v>
      </c>
      <c r="T178" t="s">
        <v>1302</v>
      </c>
      <c r="U178">
        <v>103.869</v>
      </c>
      <c r="V178" s="98">
        <v>-2934000</v>
      </c>
      <c r="W178" t="s">
        <v>256</v>
      </c>
      <c r="X178" t="s">
        <v>10</v>
      </c>
      <c r="Y178" s="98">
        <v>-3108625</v>
      </c>
      <c r="Z178" s="98">
        <v>3108625</v>
      </c>
      <c r="AA178" t="b">
        <v>0</v>
      </c>
    </row>
    <row r="179" spans="1:27" x14ac:dyDescent="0.35">
      <c r="A179" t="s">
        <v>916</v>
      </c>
      <c r="B179" t="s">
        <v>916</v>
      </c>
      <c r="C179" t="s">
        <v>917</v>
      </c>
      <c r="D179" t="s">
        <v>152</v>
      </c>
      <c r="E179" t="s">
        <v>4</v>
      </c>
      <c r="F179" s="99">
        <v>46184</v>
      </c>
      <c r="G179" t="s">
        <v>30</v>
      </c>
      <c r="H179" t="s">
        <v>14</v>
      </c>
      <c r="I179" s="98">
        <v>11000000</v>
      </c>
      <c r="J179">
        <v>102.604</v>
      </c>
      <c r="K179">
        <v>368</v>
      </c>
      <c r="L179" s="98">
        <v>34430</v>
      </c>
      <c r="M179" s="98">
        <v>1130</v>
      </c>
      <c r="N179" t="s">
        <v>263</v>
      </c>
      <c r="O179" s="98">
        <v>5397</v>
      </c>
      <c r="P179" s="98">
        <v>5450</v>
      </c>
      <c r="Q179" s="98">
        <v>20063</v>
      </c>
      <c r="R179">
        <v>64.72</v>
      </c>
      <c r="S179" s="98">
        <v>11286440</v>
      </c>
      <c r="T179" t="s">
        <v>1302</v>
      </c>
      <c r="U179">
        <v>102.291</v>
      </c>
      <c r="V179" s="98">
        <v>11000000</v>
      </c>
      <c r="W179" t="s">
        <v>256</v>
      </c>
      <c r="X179" t="s">
        <v>10</v>
      </c>
      <c r="Y179" s="98">
        <v>11458221</v>
      </c>
      <c r="Z179" s="98">
        <v>11458221</v>
      </c>
      <c r="AA179" t="b">
        <v>0</v>
      </c>
    </row>
    <row r="180" spans="1:27" x14ac:dyDescent="0.35">
      <c r="A180" t="s">
        <v>374</v>
      </c>
      <c r="B180" t="s">
        <v>374</v>
      </c>
      <c r="C180" t="s">
        <v>375</v>
      </c>
      <c r="D180" t="s">
        <v>152</v>
      </c>
      <c r="E180" t="s">
        <v>4</v>
      </c>
      <c r="F180" s="99">
        <v>45741</v>
      </c>
      <c r="G180" t="s">
        <v>30</v>
      </c>
      <c r="H180" t="s">
        <v>14</v>
      </c>
      <c r="I180" s="98">
        <v>1550000</v>
      </c>
      <c r="J180">
        <v>105.816</v>
      </c>
      <c r="K180">
        <v>355</v>
      </c>
      <c r="L180" s="98">
        <v>5224</v>
      </c>
      <c r="M180">
        <v>191</v>
      </c>
      <c r="N180" t="s">
        <v>263</v>
      </c>
      <c r="O180">
        <v>649</v>
      </c>
      <c r="P180">
        <v>655</v>
      </c>
      <c r="Q180" s="98">
        <v>2328</v>
      </c>
      <c r="R180">
        <v>7.51</v>
      </c>
      <c r="S180" s="98">
        <v>1640148</v>
      </c>
      <c r="T180" t="s">
        <v>1302</v>
      </c>
      <c r="U180">
        <v>105.479</v>
      </c>
      <c r="V180" s="98">
        <v>1550000</v>
      </c>
      <c r="W180" t="s">
        <v>256</v>
      </c>
      <c r="X180" t="s">
        <v>10</v>
      </c>
      <c r="Y180" s="98">
        <v>1684100</v>
      </c>
      <c r="Z180" s="98">
        <v>1684100</v>
      </c>
      <c r="AA180" t="b">
        <v>0</v>
      </c>
    </row>
    <row r="181" spans="1:27" x14ac:dyDescent="0.35">
      <c r="A181" t="s">
        <v>376</v>
      </c>
      <c r="B181" t="s">
        <v>376</v>
      </c>
      <c r="C181" t="s">
        <v>377</v>
      </c>
      <c r="D181" t="s">
        <v>378</v>
      </c>
      <c r="E181" t="s">
        <v>4</v>
      </c>
      <c r="F181" s="99">
        <v>45768</v>
      </c>
      <c r="G181" t="s">
        <v>30</v>
      </c>
      <c r="H181" t="s">
        <v>14</v>
      </c>
      <c r="I181" s="98">
        <v>3398000</v>
      </c>
      <c r="J181">
        <v>107.967</v>
      </c>
      <c r="K181">
        <v>212</v>
      </c>
      <c r="L181" s="98">
        <v>3602</v>
      </c>
      <c r="M181">
        <v>326</v>
      </c>
      <c r="N181" t="s">
        <v>263</v>
      </c>
      <c r="O181" s="98">
        <v>1518</v>
      </c>
      <c r="P181" s="98">
        <v>1533</v>
      </c>
      <c r="Q181" s="98">
        <v>3254</v>
      </c>
      <c r="R181">
        <v>10.5</v>
      </c>
      <c r="S181" s="98">
        <v>3668719</v>
      </c>
      <c r="T181" t="s">
        <v>1302</v>
      </c>
      <c r="U181">
        <v>107.861</v>
      </c>
      <c r="V181" s="98">
        <v>3398000</v>
      </c>
      <c r="W181" t="s">
        <v>256</v>
      </c>
      <c r="X181" t="s">
        <v>10</v>
      </c>
      <c r="Y181" s="98">
        <v>3734863</v>
      </c>
      <c r="Z181" s="98">
        <v>3734863</v>
      </c>
      <c r="AA181" t="b">
        <v>0</v>
      </c>
    </row>
    <row r="182" spans="1:27" x14ac:dyDescent="0.35">
      <c r="A182" t="s">
        <v>379</v>
      </c>
      <c r="B182" t="s">
        <v>379</v>
      </c>
      <c r="C182" t="s">
        <v>380</v>
      </c>
      <c r="D182" t="s">
        <v>381</v>
      </c>
      <c r="E182" t="s">
        <v>266</v>
      </c>
      <c r="F182" s="99">
        <v>46289</v>
      </c>
      <c r="G182" t="s">
        <v>30</v>
      </c>
      <c r="H182" t="s">
        <v>14</v>
      </c>
      <c r="I182">
        <v>0</v>
      </c>
      <c r="J182">
        <v>98.585999999999999</v>
      </c>
      <c r="K182">
        <v>435</v>
      </c>
      <c r="L182">
        <v>0</v>
      </c>
      <c r="M182">
        <v>0</v>
      </c>
      <c r="N182" t="s">
        <v>250</v>
      </c>
      <c r="O182">
        <v>0</v>
      </c>
      <c r="P182">
        <v>0</v>
      </c>
      <c r="Q182">
        <v>0</v>
      </c>
      <c r="R182">
        <v>0</v>
      </c>
      <c r="S182">
        <v>0</v>
      </c>
      <c r="T182" t="s">
        <v>31</v>
      </c>
      <c r="U182">
        <v>98.585999999999999</v>
      </c>
      <c r="V182">
        <v>0</v>
      </c>
      <c r="W182" t="s">
        <v>256</v>
      </c>
      <c r="X182" t="s">
        <v>10</v>
      </c>
      <c r="Y182">
        <v>0</v>
      </c>
      <c r="Z182">
        <v>0</v>
      </c>
    </row>
    <row r="183" spans="1:27" x14ac:dyDescent="0.35">
      <c r="A183" t="s">
        <v>382</v>
      </c>
      <c r="B183" t="s">
        <v>382</v>
      </c>
      <c r="C183" t="s">
        <v>383</v>
      </c>
      <c r="D183" t="s">
        <v>162</v>
      </c>
      <c r="E183" t="s">
        <v>4</v>
      </c>
      <c r="F183" s="99">
        <v>45320</v>
      </c>
      <c r="G183" t="s">
        <v>30</v>
      </c>
      <c r="H183" t="s">
        <v>14</v>
      </c>
      <c r="I183" s="98">
        <v>-1500000</v>
      </c>
      <c r="J183">
        <v>108.4</v>
      </c>
      <c r="K183">
        <v>338</v>
      </c>
      <c r="L183" s="98">
        <v>-5865</v>
      </c>
      <c r="M183">
        <v>-231</v>
      </c>
      <c r="N183" t="s">
        <v>263</v>
      </c>
      <c r="O183">
        <v>-481</v>
      </c>
      <c r="P183">
        <v>-485</v>
      </c>
      <c r="Q183" s="98">
        <v>-1640</v>
      </c>
      <c r="R183">
        <v>-5.29</v>
      </c>
      <c r="S183" s="98">
        <v>-1626000</v>
      </c>
      <c r="T183" t="s">
        <v>1302</v>
      </c>
      <c r="U183">
        <v>108.009</v>
      </c>
      <c r="V183" s="98">
        <v>-1500000</v>
      </c>
      <c r="W183" t="s">
        <v>256</v>
      </c>
      <c r="X183" t="s">
        <v>10</v>
      </c>
      <c r="Y183" s="98">
        <v>-1691932</v>
      </c>
      <c r="Z183" s="98">
        <v>1691932</v>
      </c>
      <c r="AA183" t="b">
        <v>0</v>
      </c>
    </row>
    <row r="184" spans="1:27" x14ac:dyDescent="0.35">
      <c r="A184" t="s">
        <v>384</v>
      </c>
      <c r="B184" t="s">
        <v>384</v>
      </c>
      <c r="C184" t="s">
        <v>385</v>
      </c>
      <c r="D184" t="s">
        <v>165</v>
      </c>
      <c r="E184" t="s">
        <v>4</v>
      </c>
      <c r="F184" s="99">
        <v>45310</v>
      </c>
      <c r="G184" t="s">
        <v>30</v>
      </c>
      <c r="H184" t="s">
        <v>14</v>
      </c>
      <c r="I184" s="98">
        <v>-3300000</v>
      </c>
      <c r="J184">
        <v>103.565</v>
      </c>
      <c r="K184">
        <v>225</v>
      </c>
      <c r="L184" s="98">
        <v>-6435</v>
      </c>
      <c r="M184">
        <v>-260</v>
      </c>
      <c r="N184" t="s">
        <v>263</v>
      </c>
      <c r="O184" s="98">
        <v>-1040</v>
      </c>
      <c r="P184" s="98">
        <v>-1050</v>
      </c>
      <c r="Q184" s="98">
        <v>-2356</v>
      </c>
      <c r="R184">
        <v>-7.6</v>
      </c>
      <c r="S184" s="98">
        <v>-3417645</v>
      </c>
      <c r="T184" t="s">
        <v>1302</v>
      </c>
      <c r="U184">
        <v>103.37</v>
      </c>
      <c r="V184" s="98">
        <v>-3300000</v>
      </c>
      <c r="W184" t="s">
        <v>256</v>
      </c>
      <c r="X184" t="s">
        <v>10</v>
      </c>
      <c r="Y184" s="98">
        <v>-3470931</v>
      </c>
      <c r="Z184" s="98">
        <v>3470931</v>
      </c>
      <c r="AA184" t="b">
        <v>0</v>
      </c>
    </row>
    <row r="185" spans="1:27" x14ac:dyDescent="0.35">
      <c r="A185" t="s">
        <v>996</v>
      </c>
      <c r="B185" t="s">
        <v>996</v>
      </c>
      <c r="C185" t="s">
        <v>997</v>
      </c>
      <c r="D185" t="s">
        <v>388</v>
      </c>
      <c r="E185" t="s">
        <v>4</v>
      </c>
      <c r="F185" s="99">
        <v>46491</v>
      </c>
      <c r="G185" t="s">
        <v>30</v>
      </c>
      <c r="H185" t="s">
        <v>14</v>
      </c>
      <c r="I185" s="98">
        <v>-3500000</v>
      </c>
      <c r="J185">
        <v>104.211</v>
      </c>
      <c r="K185">
        <v>284</v>
      </c>
      <c r="L185" s="98">
        <v>-7385</v>
      </c>
      <c r="M185">
        <v>-300</v>
      </c>
      <c r="N185" t="s">
        <v>263</v>
      </c>
      <c r="O185" s="98">
        <v>-2112</v>
      </c>
      <c r="P185" s="98">
        <v>-2133</v>
      </c>
      <c r="Q185" s="98">
        <v>-6058</v>
      </c>
      <c r="R185">
        <v>-19.54</v>
      </c>
      <c r="S185" s="98">
        <v>-3647385</v>
      </c>
      <c r="T185" t="s">
        <v>1302</v>
      </c>
      <c r="U185">
        <v>104</v>
      </c>
      <c r="V185" s="98">
        <v>-3500000</v>
      </c>
      <c r="W185" t="s">
        <v>256</v>
      </c>
      <c r="X185" t="s">
        <v>10</v>
      </c>
      <c r="Y185" s="98">
        <v>-3683044</v>
      </c>
      <c r="Z185" s="98">
        <v>3683044</v>
      </c>
      <c r="AA185" t="b">
        <v>0</v>
      </c>
    </row>
    <row r="186" spans="1:27" x14ac:dyDescent="0.35">
      <c r="A186" t="s">
        <v>389</v>
      </c>
      <c r="B186" t="s">
        <v>389</v>
      </c>
      <c r="C186" t="s">
        <v>390</v>
      </c>
      <c r="D186" t="s">
        <v>388</v>
      </c>
      <c r="E186" t="s">
        <v>283</v>
      </c>
      <c r="F186" s="99">
        <v>44820</v>
      </c>
      <c r="G186" t="s">
        <v>30</v>
      </c>
      <c r="H186" t="s">
        <v>14</v>
      </c>
      <c r="I186" s="98">
        <v>1650000</v>
      </c>
      <c r="J186">
        <v>102.767</v>
      </c>
      <c r="K186">
        <v>183</v>
      </c>
      <c r="L186">
        <v>-4</v>
      </c>
      <c r="M186">
        <v>181</v>
      </c>
      <c r="N186" t="s">
        <v>263</v>
      </c>
      <c r="O186">
        <v>291</v>
      </c>
      <c r="P186">
        <v>295</v>
      </c>
      <c r="Q186">
        <v>539</v>
      </c>
      <c r="R186">
        <v>1.74</v>
      </c>
      <c r="S186" s="98">
        <v>1876223</v>
      </c>
      <c r="T186" t="s">
        <v>1302</v>
      </c>
      <c r="U186">
        <v>102.767</v>
      </c>
      <c r="V186" s="98">
        <v>1650000</v>
      </c>
      <c r="W186" t="s">
        <v>256</v>
      </c>
      <c r="X186" t="s">
        <v>10</v>
      </c>
      <c r="Y186" s="98">
        <v>1885236</v>
      </c>
      <c r="Z186" s="98">
        <v>1885236</v>
      </c>
      <c r="AA186" t="b">
        <v>0</v>
      </c>
    </row>
    <row r="187" spans="1:27" x14ac:dyDescent="0.35">
      <c r="A187" t="s">
        <v>386</v>
      </c>
      <c r="B187" t="s">
        <v>386</v>
      </c>
      <c r="C187" t="s">
        <v>387</v>
      </c>
      <c r="D187" t="s">
        <v>388</v>
      </c>
      <c r="E187" t="s">
        <v>266</v>
      </c>
      <c r="F187" s="99">
        <v>44820</v>
      </c>
      <c r="G187" t="s">
        <v>30</v>
      </c>
      <c r="H187" t="s">
        <v>14</v>
      </c>
      <c r="I187" s="98">
        <v>615000</v>
      </c>
      <c r="J187">
        <v>103.479</v>
      </c>
      <c r="K187">
        <v>229</v>
      </c>
      <c r="L187" s="98">
        <v>-1584</v>
      </c>
      <c r="M187">
        <v>68</v>
      </c>
      <c r="N187" t="s">
        <v>263</v>
      </c>
      <c r="O187">
        <v>82</v>
      </c>
      <c r="P187">
        <v>84</v>
      </c>
      <c r="Q187">
        <v>191</v>
      </c>
      <c r="R187">
        <v>0.62</v>
      </c>
      <c r="S187" s="98">
        <v>535912</v>
      </c>
      <c r="T187" t="s">
        <v>1346</v>
      </c>
      <c r="U187">
        <v>103.785</v>
      </c>
      <c r="V187" s="98">
        <v>615000</v>
      </c>
      <c r="W187" t="s">
        <v>256</v>
      </c>
      <c r="X187" t="s">
        <v>10</v>
      </c>
      <c r="Y187" s="98">
        <v>540294</v>
      </c>
      <c r="Z187" s="98">
        <v>540294</v>
      </c>
      <c r="AA187" t="b">
        <v>0</v>
      </c>
    </row>
    <row r="188" spans="1:27" x14ac:dyDescent="0.35">
      <c r="A188" t="s">
        <v>391</v>
      </c>
      <c r="B188" t="s">
        <v>391</v>
      </c>
      <c r="C188" t="s">
        <v>392</v>
      </c>
      <c r="D188" t="s">
        <v>388</v>
      </c>
      <c r="E188" t="s">
        <v>4</v>
      </c>
      <c r="F188" s="99">
        <v>44287</v>
      </c>
      <c r="G188" t="s">
        <v>30</v>
      </c>
      <c r="H188" t="s">
        <v>14</v>
      </c>
      <c r="I188" s="98">
        <v>-1050000</v>
      </c>
      <c r="J188">
        <v>100.64100000000001</v>
      </c>
      <c r="K188">
        <v>122</v>
      </c>
      <c r="L188">
        <v>-105</v>
      </c>
      <c r="M188">
        <v>-68</v>
      </c>
      <c r="N188" t="s">
        <v>263</v>
      </c>
      <c r="O188">
        <v>-41</v>
      </c>
      <c r="P188">
        <v>-41</v>
      </c>
      <c r="Q188">
        <v>-51</v>
      </c>
      <c r="R188">
        <v>-0.16</v>
      </c>
      <c r="S188" s="98">
        <v>-1056731</v>
      </c>
      <c r="T188" t="s">
        <v>1302</v>
      </c>
      <c r="U188">
        <v>100.631</v>
      </c>
      <c r="V188" s="98">
        <v>-1050000</v>
      </c>
      <c r="W188" t="s">
        <v>256</v>
      </c>
      <c r="X188" t="s">
        <v>10</v>
      </c>
      <c r="Y188" s="98">
        <v>-1071966</v>
      </c>
      <c r="Z188" s="98">
        <v>1071966</v>
      </c>
      <c r="AA188" t="b">
        <v>0</v>
      </c>
    </row>
    <row r="189" spans="1:27" x14ac:dyDescent="0.35">
      <c r="A189" t="s">
        <v>1318</v>
      </c>
      <c r="B189" t="s">
        <v>1318</v>
      </c>
      <c r="C189" t="s">
        <v>1320</v>
      </c>
      <c r="D189" t="s">
        <v>1322</v>
      </c>
      <c r="E189" t="s">
        <v>4</v>
      </c>
      <c r="F189" s="99">
        <v>45718</v>
      </c>
      <c r="G189" t="s">
        <v>30</v>
      </c>
      <c r="H189" t="s">
        <v>14</v>
      </c>
      <c r="I189" s="98">
        <v>-5000000</v>
      </c>
      <c r="J189">
        <v>98.096000000000004</v>
      </c>
      <c r="K189">
        <v>385</v>
      </c>
      <c r="L189" s="98">
        <v>-7050</v>
      </c>
      <c r="M189">
        <v>0</v>
      </c>
      <c r="N189" t="s">
        <v>263</v>
      </c>
      <c r="O189" s="98">
        <v>-1952</v>
      </c>
      <c r="P189" s="98">
        <v>-1972</v>
      </c>
      <c r="Q189" s="98">
        <v>-7600</v>
      </c>
      <c r="R189">
        <v>-24.52</v>
      </c>
      <c r="S189" s="98">
        <v>-4904800</v>
      </c>
      <c r="T189" t="s">
        <v>1302</v>
      </c>
      <c r="U189">
        <v>97.954999999999998</v>
      </c>
      <c r="V189" s="98">
        <v>-5000000</v>
      </c>
      <c r="W189" t="s">
        <v>256</v>
      </c>
      <c r="X189" t="s">
        <v>10</v>
      </c>
      <c r="Y189" s="98">
        <v>-5009482</v>
      </c>
      <c r="Z189" s="98">
        <v>5009482</v>
      </c>
      <c r="AA189" t="b">
        <v>0</v>
      </c>
    </row>
    <row r="190" spans="1:27" x14ac:dyDescent="0.35">
      <c r="A190" t="s">
        <v>393</v>
      </c>
      <c r="B190" t="s">
        <v>393</v>
      </c>
      <c r="C190" t="s">
        <v>394</v>
      </c>
      <c r="D190" t="s">
        <v>395</v>
      </c>
      <c r="E190" t="s">
        <v>4</v>
      </c>
      <c r="F190" s="99">
        <v>46562</v>
      </c>
      <c r="G190" t="s">
        <v>30</v>
      </c>
      <c r="H190" t="s">
        <v>14</v>
      </c>
      <c r="I190" s="98">
        <v>400000</v>
      </c>
      <c r="J190">
        <v>98.085999999999999</v>
      </c>
      <c r="K190">
        <v>362</v>
      </c>
      <c r="L190" s="98">
        <v>2420</v>
      </c>
      <c r="M190">
        <v>-134</v>
      </c>
      <c r="N190" t="s">
        <v>263</v>
      </c>
      <c r="O190">
        <v>233</v>
      </c>
      <c r="P190">
        <v>235</v>
      </c>
      <c r="Q190">
        <v>851</v>
      </c>
      <c r="R190">
        <v>2.74</v>
      </c>
      <c r="S190" s="98">
        <v>392344</v>
      </c>
      <c r="T190" t="s">
        <v>1302</v>
      </c>
      <c r="U190">
        <v>97.480999999999995</v>
      </c>
      <c r="V190" s="98">
        <v>400000</v>
      </c>
      <c r="W190" t="s">
        <v>256</v>
      </c>
      <c r="X190" t="s">
        <v>10</v>
      </c>
      <c r="Y190" s="98">
        <v>393825</v>
      </c>
      <c r="Z190" s="98">
        <v>393825</v>
      </c>
      <c r="AA190" t="b">
        <v>0</v>
      </c>
    </row>
    <row r="191" spans="1:27" x14ac:dyDescent="0.35">
      <c r="A191" t="s">
        <v>396</v>
      </c>
      <c r="B191" t="s">
        <v>396</v>
      </c>
      <c r="C191" t="s">
        <v>397</v>
      </c>
      <c r="D191" t="s">
        <v>395</v>
      </c>
      <c r="E191" t="s">
        <v>4</v>
      </c>
      <c r="F191" s="99">
        <v>46423</v>
      </c>
      <c r="G191" t="s">
        <v>30</v>
      </c>
      <c r="H191" t="s">
        <v>14</v>
      </c>
      <c r="I191" s="98">
        <v>-2900000</v>
      </c>
      <c r="J191">
        <v>98.180999999999997</v>
      </c>
      <c r="K191">
        <v>326</v>
      </c>
      <c r="L191" s="98">
        <v>-14906</v>
      </c>
      <c r="M191">
        <v>-199</v>
      </c>
      <c r="N191" t="s">
        <v>263</v>
      </c>
      <c r="O191" s="98">
        <v>-1620</v>
      </c>
      <c r="P191" s="98">
        <v>-1637</v>
      </c>
      <c r="Q191" s="98">
        <v>-5335</v>
      </c>
      <c r="R191">
        <v>-17.21</v>
      </c>
      <c r="S191" s="98">
        <v>-2847249</v>
      </c>
      <c r="T191" t="s">
        <v>1302</v>
      </c>
      <c r="U191">
        <v>97.667000000000002</v>
      </c>
      <c r="V191" s="98">
        <v>-2900000</v>
      </c>
      <c r="W191" t="s">
        <v>256</v>
      </c>
      <c r="X191" t="s">
        <v>10</v>
      </c>
      <c r="Y191" s="98">
        <v>-2902662</v>
      </c>
      <c r="Z191" s="98">
        <v>2902662</v>
      </c>
      <c r="AA191" t="b">
        <v>0</v>
      </c>
    </row>
    <row r="192" spans="1:27" x14ac:dyDescent="0.35">
      <c r="A192" t="s">
        <v>400</v>
      </c>
      <c r="B192" t="s">
        <v>400</v>
      </c>
      <c r="C192" t="s">
        <v>401</v>
      </c>
      <c r="D192" t="s">
        <v>395</v>
      </c>
      <c r="E192" t="s">
        <v>4</v>
      </c>
      <c r="F192" s="99">
        <v>45382</v>
      </c>
      <c r="G192" t="s">
        <v>30</v>
      </c>
      <c r="H192" t="s">
        <v>14</v>
      </c>
      <c r="I192" s="98">
        <v>7100000</v>
      </c>
      <c r="J192">
        <v>110.869</v>
      </c>
      <c r="K192">
        <v>300</v>
      </c>
      <c r="L192" s="98">
        <v>31382</v>
      </c>
      <c r="M192" s="98">
        <v>1143</v>
      </c>
      <c r="N192" t="s">
        <v>263</v>
      </c>
      <c r="O192" s="98">
        <v>2446</v>
      </c>
      <c r="P192" s="98">
        <v>2471</v>
      </c>
      <c r="Q192" s="98">
        <v>7421</v>
      </c>
      <c r="R192">
        <v>23.94</v>
      </c>
      <c r="S192" s="98">
        <v>7871699</v>
      </c>
      <c r="T192" t="s">
        <v>1302</v>
      </c>
      <c r="U192">
        <v>110.42700000000001</v>
      </c>
      <c r="V192" s="98">
        <v>7100000</v>
      </c>
      <c r="W192" t="s">
        <v>256</v>
      </c>
      <c r="X192" t="s">
        <v>10</v>
      </c>
      <c r="Y192" s="98">
        <v>8127688</v>
      </c>
      <c r="Z192" s="98">
        <v>8127688</v>
      </c>
      <c r="AA192" t="b">
        <v>0</v>
      </c>
    </row>
    <row r="193" spans="1:27" x14ac:dyDescent="0.35">
      <c r="A193" t="s">
        <v>402</v>
      </c>
      <c r="B193" t="s">
        <v>402</v>
      </c>
      <c r="C193" t="s">
        <v>403</v>
      </c>
      <c r="D193" t="s">
        <v>395</v>
      </c>
      <c r="E193" t="s">
        <v>4</v>
      </c>
      <c r="F193" s="99">
        <v>45264</v>
      </c>
      <c r="G193" t="s">
        <v>30</v>
      </c>
      <c r="H193" t="s">
        <v>14</v>
      </c>
      <c r="I193" s="98">
        <v>-1800000</v>
      </c>
      <c r="J193">
        <v>101.32899999999999</v>
      </c>
      <c r="K193">
        <v>304</v>
      </c>
      <c r="L193" s="98">
        <v>-8946</v>
      </c>
      <c r="M193">
        <v>-254</v>
      </c>
      <c r="N193" t="s">
        <v>263</v>
      </c>
      <c r="O193">
        <v>-487</v>
      </c>
      <c r="P193">
        <v>-492</v>
      </c>
      <c r="Q193" s="98">
        <v>-1495</v>
      </c>
      <c r="R193">
        <v>-4.82</v>
      </c>
      <c r="S193" s="98">
        <v>-1823922</v>
      </c>
      <c r="T193" t="s">
        <v>1302</v>
      </c>
      <c r="U193">
        <v>100.83199999999999</v>
      </c>
      <c r="V193" s="98">
        <v>-1800000</v>
      </c>
      <c r="W193" t="s">
        <v>256</v>
      </c>
      <c r="X193" t="s">
        <v>10</v>
      </c>
      <c r="Y193" s="98">
        <v>-1874381</v>
      </c>
      <c r="Z193" s="98">
        <v>1874381</v>
      </c>
      <c r="AA193" t="b">
        <v>0</v>
      </c>
    </row>
    <row r="194" spans="1:27" x14ac:dyDescent="0.35">
      <c r="A194" t="s">
        <v>406</v>
      </c>
      <c r="B194" t="s">
        <v>406</v>
      </c>
      <c r="C194" t="s">
        <v>407</v>
      </c>
      <c r="D194" t="s">
        <v>395</v>
      </c>
      <c r="E194" t="s">
        <v>4</v>
      </c>
      <c r="F194" s="99">
        <v>44635</v>
      </c>
      <c r="G194" t="s">
        <v>30</v>
      </c>
      <c r="H194" t="s">
        <v>14</v>
      </c>
      <c r="I194" s="98">
        <v>4000000</v>
      </c>
      <c r="J194">
        <v>102.822</v>
      </c>
      <c r="K194">
        <v>211</v>
      </c>
      <c r="L194" s="98">
        <v>14800</v>
      </c>
      <c r="M194">
        <v>411</v>
      </c>
      <c r="N194" t="s">
        <v>263</v>
      </c>
      <c r="O194">
        <v>541</v>
      </c>
      <c r="P194">
        <v>545</v>
      </c>
      <c r="Q194" s="98">
        <v>1153</v>
      </c>
      <c r="R194">
        <v>3.72</v>
      </c>
      <c r="S194" s="98">
        <v>4112880</v>
      </c>
      <c r="T194" t="s">
        <v>1302</v>
      </c>
      <c r="U194">
        <v>102.452</v>
      </c>
      <c r="V194" s="98">
        <v>4000000</v>
      </c>
      <c r="W194" t="s">
        <v>256</v>
      </c>
      <c r="X194" t="s">
        <v>10</v>
      </c>
      <c r="Y194" s="98">
        <v>4211510</v>
      </c>
      <c r="Z194" s="98">
        <v>4211510</v>
      </c>
      <c r="AA194" t="b">
        <v>0</v>
      </c>
    </row>
    <row r="195" spans="1:27" x14ac:dyDescent="0.35">
      <c r="A195" t="s">
        <v>408</v>
      </c>
      <c r="B195" t="s">
        <v>408</v>
      </c>
      <c r="C195" t="s">
        <v>409</v>
      </c>
      <c r="D195" t="s">
        <v>410</v>
      </c>
      <c r="E195" t="s">
        <v>4</v>
      </c>
      <c r="F195" s="99">
        <v>46064</v>
      </c>
      <c r="G195" t="s">
        <v>30</v>
      </c>
      <c r="H195" t="s">
        <v>14</v>
      </c>
      <c r="I195" s="98">
        <v>-1565000</v>
      </c>
      <c r="J195">
        <v>99.644999999999996</v>
      </c>
      <c r="K195">
        <v>192</v>
      </c>
      <c r="L195" s="98">
        <v>-3083</v>
      </c>
      <c r="M195">
        <v>-59</v>
      </c>
      <c r="N195" t="s">
        <v>250</v>
      </c>
      <c r="O195">
        <v>-784</v>
      </c>
      <c r="P195">
        <v>-792</v>
      </c>
      <c r="Q195" s="98">
        <v>-1519</v>
      </c>
      <c r="R195">
        <v>-4.9000000000000004</v>
      </c>
      <c r="S195" s="98">
        <v>-1559444</v>
      </c>
      <c r="T195" t="s">
        <v>1302</v>
      </c>
      <c r="U195">
        <v>99.447999999999993</v>
      </c>
      <c r="V195" s="98">
        <v>-1565000</v>
      </c>
      <c r="W195" t="s">
        <v>256</v>
      </c>
      <c r="X195" t="s">
        <v>10</v>
      </c>
      <c r="Y195" s="98">
        <v>-1570233</v>
      </c>
      <c r="Z195" s="98">
        <v>1570233</v>
      </c>
      <c r="AA195" t="b">
        <v>0</v>
      </c>
    </row>
    <row r="196" spans="1:27" x14ac:dyDescent="0.35">
      <c r="A196" t="s">
        <v>932</v>
      </c>
      <c r="B196" t="s">
        <v>932</v>
      </c>
      <c r="C196" t="s">
        <v>933</v>
      </c>
      <c r="D196" t="s">
        <v>410</v>
      </c>
      <c r="E196" t="s">
        <v>4</v>
      </c>
      <c r="F196" s="99">
        <v>45020</v>
      </c>
      <c r="G196" t="s">
        <v>30</v>
      </c>
      <c r="H196" t="s">
        <v>14</v>
      </c>
      <c r="I196" s="98">
        <v>-5240000</v>
      </c>
      <c r="J196">
        <v>104.804</v>
      </c>
      <c r="K196">
        <v>150</v>
      </c>
      <c r="L196" s="98">
        <v>-8698</v>
      </c>
      <c r="M196">
        <v>-431</v>
      </c>
      <c r="N196" t="s">
        <v>250</v>
      </c>
      <c r="O196" s="98">
        <v>-1279</v>
      </c>
      <c r="P196" s="98">
        <v>-1290</v>
      </c>
      <c r="Q196" s="98">
        <v>-1929</v>
      </c>
      <c r="R196">
        <v>-6.22</v>
      </c>
      <c r="S196" s="98">
        <v>-5491730</v>
      </c>
      <c r="T196" t="s">
        <v>1302</v>
      </c>
      <c r="U196">
        <v>104.63800000000001</v>
      </c>
      <c r="V196" s="98">
        <v>-5240000</v>
      </c>
      <c r="W196" t="s">
        <v>256</v>
      </c>
      <c r="X196" t="s">
        <v>10</v>
      </c>
      <c r="Y196" s="98">
        <v>-5586480</v>
      </c>
      <c r="Z196" s="98">
        <v>5586480</v>
      </c>
      <c r="AA196" t="b">
        <v>0</v>
      </c>
    </row>
    <row r="197" spans="1:27" x14ac:dyDescent="0.35">
      <c r="A197" t="s">
        <v>417</v>
      </c>
      <c r="B197" t="s">
        <v>417</v>
      </c>
      <c r="C197" t="s">
        <v>418</v>
      </c>
      <c r="D197" t="s">
        <v>186</v>
      </c>
      <c r="E197" t="s">
        <v>4</v>
      </c>
      <c r="F197" s="99">
        <v>45386</v>
      </c>
      <c r="G197" t="s">
        <v>30</v>
      </c>
      <c r="H197" t="s">
        <v>14</v>
      </c>
      <c r="I197" s="98">
        <v>593000</v>
      </c>
      <c r="J197">
        <v>101.46299999999999</v>
      </c>
      <c r="K197">
        <v>183</v>
      </c>
      <c r="L197" s="98">
        <v>1109</v>
      </c>
      <c r="M197">
        <v>28</v>
      </c>
      <c r="N197" t="s">
        <v>263</v>
      </c>
      <c r="O197">
        <v>198</v>
      </c>
      <c r="P197">
        <v>200</v>
      </c>
      <c r="Q197">
        <v>365</v>
      </c>
      <c r="R197">
        <v>1.18</v>
      </c>
      <c r="S197" s="98">
        <v>601676</v>
      </c>
      <c r="T197" t="s">
        <v>1302</v>
      </c>
      <c r="U197">
        <v>101.276</v>
      </c>
      <c r="V197" s="98">
        <v>593000</v>
      </c>
      <c r="W197" t="s">
        <v>256</v>
      </c>
      <c r="X197" t="s">
        <v>10</v>
      </c>
      <c r="Y197" s="98">
        <v>607931</v>
      </c>
      <c r="Z197" s="98">
        <v>607931</v>
      </c>
      <c r="AA197" t="b">
        <v>0</v>
      </c>
    </row>
    <row r="198" spans="1:27" x14ac:dyDescent="0.35">
      <c r="A198" t="s">
        <v>844</v>
      </c>
      <c r="B198" t="s">
        <v>844</v>
      </c>
      <c r="C198" t="s">
        <v>845</v>
      </c>
      <c r="D198" t="s">
        <v>186</v>
      </c>
      <c r="E198" t="s">
        <v>4</v>
      </c>
      <c r="F198" s="99">
        <v>44253</v>
      </c>
      <c r="G198" t="s">
        <v>30</v>
      </c>
      <c r="H198" t="s">
        <v>14</v>
      </c>
      <c r="I198" s="98">
        <v>-1648000</v>
      </c>
      <c r="J198">
        <v>100.658</v>
      </c>
      <c r="K198">
        <v>52</v>
      </c>
      <c r="L198">
        <v>363</v>
      </c>
      <c r="M198">
        <v>-154</v>
      </c>
      <c r="N198" t="s">
        <v>263</v>
      </c>
      <c r="O198">
        <v>-49</v>
      </c>
      <c r="P198">
        <v>-50</v>
      </c>
      <c r="Q198">
        <v>-26</v>
      </c>
      <c r="R198">
        <v>-0.08</v>
      </c>
      <c r="S198" s="98">
        <v>-1658844</v>
      </c>
      <c r="T198" t="s">
        <v>1302</v>
      </c>
      <c r="U198">
        <v>100.68</v>
      </c>
      <c r="V198" s="98">
        <v>-1648000</v>
      </c>
      <c r="W198" t="s">
        <v>256</v>
      </c>
      <c r="X198" t="s">
        <v>10</v>
      </c>
      <c r="Y198" s="98">
        <v>-1684982</v>
      </c>
      <c r="Z198" s="98">
        <v>1684982</v>
      </c>
      <c r="AA198" t="b">
        <v>0</v>
      </c>
    </row>
    <row r="199" spans="1:27" x14ac:dyDescent="0.35">
      <c r="A199" t="s">
        <v>924</v>
      </c>
      <c r="B199" t="s">
        <v>924</v>
      </c>
      <c r="C199" t="s">
        <v>925</v>
      </c>
      <c r="D199" t="s">
        <v>926</v>
      </c>
      <c r="E199" t="s">
        <v>4</v>
      </c>
      <c r="F199" s="99">
        <v>46047</v>
      </c>
      <c r="G199" t="s">
        <v>30</v>
      </c>
      <c r="H199" t="s">
        <v>14</v>
      </c>
      <c r="I199" s="98">
        <v>-400000</v>
      </c>
      <c r="J199">
        <v>89.908000000000001</v>
      </c>
      <c r="K199">
        <v>560</v>
      </c>
      <c r="L199" s="98">
        <v>-1060</v>
      </c>
      <c r="M199">
        <v>-39</v>
      </c>
      <c r="N199" t="s">
        <v>263</v>
      </c>
      <c r="O199">
        <v>-167</v>
      </c>
      <c r="P199">
        <v>-169</v>
      </c>
      <c r="Q199">
        <v>-947</v>
      </c>
      <c r="R199">
        <v>-3.06</v>
      </c>
      <c r="S199" s="98">
        <v>-359632</v>
      </c>
      <c r="T199" t="s">
        <v>1302</v>
      </c>
      <c r="U199">
        <v>89.643000000000001</v>
      </c>
      <c r="V199" s="98">
        <v>-400000</v>
      </c>
      <c r="W199" t="s">
        <v>256</v>
      </c>
      <c r="X199" t="s">
        <v>10</v>
      </c>
      <c r="Y199" s="98">
        <v>-365902</v>
      </c>
      <c r="Z199" s="98">
        <v>365902</v>
      </c>
      <c r="AA199" t="b">
        <v>0</v>
      </c>
    </row>
    <row r="200" spans="1:27" x14ac:dyDescent="0.35">
      <c r="A200" t="s">
        <v>1261</v>
      </c>
      <c r="B200" t="s">
        <v>1261</v>
      </c>
      <c r="C200" t="s">
        <v>1262</v>
      </c>
      <c r="D200" t="s">
        <v>926</v>
      </c>
      <c r="E200" t="s">
        <v>4</v>
      </c>
      <c r="F200" s="99">
        <v>45132</v>
      </c>
      <c r="G200" t="s">
        <v>30</v>
      </c>
      <c r="H200" t="s">
        <v>14</v>
      </c>
      <c r="I200">
        <v>0</v>
      </c>
      <c r="J200">
        <v>92.474999999999994</v>
      </c>
      <c r="K200">
        <v>573</v>
      </c>
      <c r="L200">
        <v>0</v>
      </c>
      <c r="M200">
        <v>0</v>
      </c>
      <c r="N200" t="s">
        <v>263</v>
      </c>
      <c r="O200">
        <v>0</v>
      </c>
      <c r="P200">
        <v>0</v>
      </c>
      <c r="Q200">
        <v>0</v>
      </c>
      <c r="R200">
        <v>0</v>
      </c>
      <c r="S200">
        <v>0</v>
      </c>
      <c r="T200" t="s">
        <v>31</v>
      </c>
      <c r="U200">
        <v>92.474999999999994</v>
      </c>
      <c r="V200">
        <v>0</v>
      </c>
      <c r="W200" t="s">
        <v>256</v>
      </c>
      <c r="X200" t="s">
        <v>10</v>
      </c>
      <c r="Y200">
        <v>0</v>
      </c>
      <c r="Z200">
        <v>0</v>
      </c>
    </row>
    <row r="201" spans="1:27" x14ac:dyDescent="0.35">
      <c r="A201" t="s">
        <v>419</v>
      </c>
      <c r="B201" t="s">
        <v>419</v>
      </c>
      <c r="C201" t="s">
        <v>420</v>
      </c>
      <c r="D201" t="s">
        <v>421</v>
      </c>
      <c r="E201" t="s">
        <v>4</v>
      </c>
      <c r="F201" s="99">
        <v>46465</v>
      </c>
      <c r="G201" t="s">
        <v>30</v>
      </c>
      <c r="H201" t="s">
        <v>14</v>
      </c>
      <c r="I201">
        <v>0</v>
      </c>
      <c r="J201">
        <v>105.95</v>
      </c>
      <c r="K201">
        <v>241</v>
      </c>
      <c r="L201">
        <v>0</v>
      </c>
      <c r="M201">
        <v>0</v>
      </c>
      <c r="N201" t="s">
        <v>263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31</v>
      </c>
      <c r="U201">
        <v>105.95</v>
      </c>
      <c r="V201">
        <v>0</v>
      </c>
      <c r="W201" t="s">
        <v>256</v>
      </c>
      <c r="X201" t="s">
        <v>10</v>
      </c>
      <c r="Y201">
        <v>0</v>
      </c>
      <c r="Z201">
        <v>0</v>
      </c>
    </row>
    <row r="202" spans="1:27" x14ac:dyDescent="0.35">
      <c r="A202" t="s">
        <v>422</v>
      </c>
      <c r="B202" t="s">
        <v>422</v>
      </c>
      <c r="C202" t="s">
        <v>423</v>
      </c>
      <c r="D202" t="s">
        <v>209</v>
      </c>
      <c r="E202" t="s">
        <v>4</v>
      </c>
      <c r="F202" s="99">
        <v>47138</v>
      </c>
      <c r="G202" t="s">
        <v>30</v>
      </c>
      <c r="H202" t="s">
        <v>14</v>
      </c>
      <c r="I202" s="98">
        <v>4700000</v>
      </c>
      <c r="J202">
        <v>99.233000000000004</v>
      </c>
      <c r="K202">
        <v>296</v>
      </c>
      <c r="L202" s="98">
        <v>9635</v>
      </c>
      <c r="M202">
        <v>534</v>
      </c>
      <c r="N202" t="s">
        <v>263</v>
      </c>
      <c r="O202" s="98">
        <v>3409</v>
      </c>
      <c r="P202" s="98">
        <v>3449</v>
      </c>
      <c r="Q202" s="98">
        <v>10218</v>
      </c>
      <c r="R202">
        <v>32.96</v>
      </c>
      <c r="S202" s="98">
        <v>4663951</v>
      </c>
      <c r="T202" t="s">
        <v>1302</v>
      </c>
      <c r="U202">
        <v>99.028000000000006</v>
      </c>
      <c r="V202" s="98">
        <v>4700000</v>
      </c>
      <c r="W202" t="s">
        <v>256</v>
      </c>
      <c r="X202" t="s">
        <v>10</v>
      </c>
      <c r="Y202" s="98">
        <v>4670711</v>
      </c>
      <c r="Z202" s="98">
        <v>4670711</v>
      </c>
      <c r="AA202" t="b">
        <v>0</v>
      </c>
    </row>
    <row r="203" spans="1:27" x14ac:dyDescent="0.35">
      <c r="A203" t="s">
        <v>935</v>
      </c>
      <c r="B203" t="s">
        <v>935</v>
      </c>
      <c r="C203" t="s">
        <v>936</v>
      </c>
      <c r="D203" t="s">
        <v>937</v>
      </c>
      <c r="E203" t="s">
        <v>4</v>
      </c>
      <c r="F203" s="99">
        <v>44995</v>
      </c>
      <c r="G203" t="s">
        <v>30</v>
      </c>
      <c r="H203" t="s">
        <v>14</v>
      </c>
      <c r="I203" s="98">
        <v>-408000</v>
      </c>
      <c r="J203">
        <v>108.304</v>
      </c>
      <c r="K203">
        <v>174</v>
      </c>
      <c r="L203">
        <v>-392</v>
      </c>
      <c r="M203">
        <v>-54</v>
      </c>
      <c r="N203" t="s">
        <v>263</v>
      </c>
      <c r="O203">
        <v>-99</v>
      </c>
      <c r="P203">
        <v>-100</v>
      </c>
      <c r="Q203">
        <v>-174</v>
      </c>
      <c r="R203">
        <v>-0.56000000000000005</v>
      </c>
      <c r="S203" s="98">
        <v>-441880</v>
      </c>
      <c r="T203" t="s">
        <v>1302</v>
      </c>
      <c r="U203">
        <v>108.208</v>
      </c>
      <c r="V203" s="98">
        <v>-408000</v>
      </c>
      <c r="W203" t="s">
        <v>256</v>
      </c>
      <c r="X203" t="s">
        <v>10</v>
      </c>
      <c r="Y203" s="98">
        <v>-455163</v>
      </c>
      <c r="Z203" s="98">
        <v>455163</v>
      </c>
      <c r="AA203" t="b">
        <v>0</v>
      </c>
    </row>
    <row r="204" spans="1:27" x14ac:dyDescent="0.35">
      <c r="A204" t="s">
        <v>429</v>
      </c>
      <c r="B204" t="s">
        <v>429</v>
      </c>
      <c r="C204" t="s">
        <v>430</v>
      </c>
      <c r="D204" t="s">
        <v>428</v>
      </c>
      <c r="E204" t="s">
        <v>266</v>
      </c>
      <c r="F204" s="99">
        <v>47212</v>
      </c>
      <c r="G204" t="s">
        <v>30</v>
      </c>
      <c r="H204" t="s">
        <v>14</v>
      </c>
      <c r="I204" s="98">
        <v>-8000000</v>
      </c>
      <c r="J204">
        <v>121.018</v>
      </c>
      <c r="K204">
        <v>328</v>
      </c>
      <c r="L204" s="98">
        <v>-34182</v>
      </c>
      <c r="M204" s="98">
        <v>-1380</v>
      </c>
      <c r="N204" t="s">
        <v>263</v>
      </c>
      <c r="O204" s="98">
        <v>-5225</v>
      </c>
      <c r="P204" s="98">
        <v>-5310</v>
      </c>
      <c r="Q204" s="98">
        <v>-17407</v>
      </c>
      <c r="R204">
        <v>-56.15</v>
      </c>
      <c r="S204" s="98">
        <v>-8152792</v>
      </c>
      <c r="T204" t="s">
        <v>1302</v>
      </c>
      <c r="U204">
        <v>120.511</v>
      </c>
      <c r="V204" s="98">
        <v>-8000000</v>
      </c>
      <c r="W204" t="s">
        <v>256</v>
      </c>
      <c r="X204" t="s">
        <v>10</v>
      </c>
      <c r="Y204" s="98">
        <v>-8208792</v>
      </c>
      <c r="Z204" s="98">
        <v>8208792</v>
      </c>
      <c r="AA204" t="b">
        <v>0</v>
      </c>
    </row>
    <row r="205" spans="1:27" x14ac:dyDescent="0.35">
      <c r="A205" t="s">
        <v>433</v>
      </c>
      <c r="B205" t="s">
        <v>433</v>
      </c>
      <c r="C205" t="s">
        <v>434</v>
      </c>
      <c r="D205" t="s">
        <v>428</v>
      </c>
      <c r="E205" t="s">
        <v>4</v>
      </c>
      <c r="F205" s="99">
        <v>46169</v>
      </c>
      <c r="G205" t="s">
        <v>30</v>
      </c>
      <c r="H205" t="s">
        <v>14</v>
      </c>
      <c r="I205" s="98">
        <v>8477000</v>
      </c>
      <c r="J205">
        <v>101.22</v>
      </c>
      <c r="K205">
        <v>285</v>
      </c>
      <c r="L205" s="98">
        <v>18988</v>
      </c>
      <c r="M205">
        <v>610</v>
      </c>
      <c r="N205" t="s">
        <v>263</v>
      </c>
      <c r="O205" s="98">
        <v>4383</v>
      </c>
      <c r="P205" s="98">
        <v>4426</v>
      </c>
      <c r="Q205" s="98">
        <v>12614</v>
      </c>
      <c r="R205">
        <v>40.69</v>
      </c>
      <c r="S205" s="98">
        <v>8580419</v>
      </c>
      <c r="T205" t="s">
        <v>1302</v>
      </c>
      <c r="U205">
        <v>100.996</v>
      </c>
      <c r="V205" s="98">
        <v>8477000</v>
      </c>
      <c r="W205" t="s">
        <v>256</v>
      </c>
      <c r="X205" t="s">
        <v>10</v>
      </c>
      <c r="Y205" s="98">
        <v>8626143</v>
      </c>
      <c r="Z205" s="98">
        <v>8626143</v>
      </c>
      <c r="AA205" t="b">
        <v>0</v>
      </c>
    </row>
    <row r="206" spans="1:27" x14ac:dyDescent="0.35">
      <c r="A206" t="s">
        <v>435</v>
      </c>
      <c r="B206" t="s">
        <v>435</v>
      </c>
      <c r="C206" t="s">
        <v>436</v>
      </c>
      <c r="D206" t="s">
        <v>428</v>
      </c>
      <c r="E206" t="s">
        <v>283</v>
      </c>
      <c r="F206" s="99">
        <v>45841</v>
      </c>
      <c r="G206" t="s">
        <v>30</v>
      </c>
      <c r="H206" t="s">
        <v>14</v>
      </c>
      <c r="I206" s="98">
        <v>-1000000</v>
      </c>
      <c r="J206">
        <v>107.6</v>
      </c>
      <c r="K206">
        <v>291</v>
      </c>
      <c r="L206" s="98">
        <v>-1370</v>
      </c>
      <c r="M206">
        <v>-148</v>
      </c>
      <c r="N206" t="s">
        <v>263</v>
      </c>
      <c r="O206">
        <v>-495</v>
      </c>
      <c r="P206">
        <v>-503</v>
      </c>
      <c r="Q206" s="98">
        <v>-1463</v>
      </c>
      <c r="R206">
        <v>-4.72</v>
      </c>
      <c r="S206" s="98">
        <v>-1190582</v>
      </c>
      <c r="T206" t="s">
        <v>1302</v>
      </c>
      <c r="U206">
        <v>107.476</v>
      </c>
      <c r="V206" s="98">
        <v>-1000000</v>
      </c>
      <c r="W206" t="s">
        <v>256</v>
      </c>
      <c r="X206" t="s">
        <v>10</v>
      </c>
      <c r="Y206" s="98">
        <v>-1195657</v>
      </c>
      <c r="Z206" s="98">
        <v>1195657</v>
      </c>
      <c r="AA206" t="b">
        <v>0</v>
      </c>
    </row>
    <row r="207" spans="1:27" x14ac:dyDescent="0.35">
      <c r="A207" t="s">
        <v>437</v>
      </c>
      <c r="B207" t="s">
        <v>437</v>
      </c>
      <c r="C207" t="s">
        <v>438</v>
      </c>
      <c r="D207" t="s">
        <v>428</v>
      </c>
      <c r="E207" t="s">
        <v>266</v>
      </c>
      <c r="F207" s="99">
        <v>45476</v>
      </c>
      <c r="G207" t="s">
        <v>30</v>
      </c>
      <c r="H207" t="s">
        <v>14</v>
      </c>
      <c r="I207" s="98">
        <v>-11489000</v>
      </c>
      <c r="J207">
        <v>109.432</v>
      </c>
      <c r="K207">
        <v>314</v>
      </c>
      <c r="L207" s="98">
        <v>-24412</v>
      </c>
      <c r="M207" s="98">
        <v>-1680</v>
      </c>
      <c r="N207" t="s">
        <v>263</v>
      </c>
      <c r="O207" s="98">
        <v>-3470</v>
      </c>
      <c r="P207" s="98">
        <v>-3529</v>
      </c>
      <c r="Q207" s="98">
        <v>-11066</v>
      </c>
      <c r="R207">
        <v>-35.700000000000003</v>
      </c>
      <c r="S207" s="98">
        <v>-10587488</v>
      </c>
      <c r="T207" t="s">
        <v>1302</v>
      </c>
      <c r="U207">
        <v>109.18</v>
      </c>
      <c r="V207" s="98">
        <v>-11489000</v>
      </c>
      <c r="W207" t="s">
        <v>256</v>
      </c>
      <c r="X207" t="s">
        <v>10</v>
      </c>
      <c r="Y207" s="98">
        <v>-10661289</v>
      </c>
      <c r="Z207" s="98">
        <v>10661289</v>
      </c>
      <c r="AA207" t="b">
        <v>0</v>
      </c>
    </row>
    <row r="208" spans="1:27" x14ac:dyDescent="0.35">
      <c r="A208" t="s">
        <v>439</v>
      </c>
      <c r="B208" t="s">
        <v>439</v>
      </c>
      <c r="C208" t="s">
        <v>440</v>
      </c>
      <c r="D208" t="s">
        <v>216</v>
      </c>
      <c r="E208" t="s">
        <v>4</v>
      </c>
      <c r="F208" s="99">
        <v>47286</v>
      </c>
      <c r="G208" t="s">
        <v>30</v>
      </c>
      <c r="H208" t="s">
        <v>14</v>
      </c>
      <c r="I208" s="98">
        <v>2500000</v>
      </c>
      <c r="J208">
        <v>104.268</v>
      </c>
      <c r="K208">
        <v>364</v>
      </c>
      <c r="L208" s="98">
        <v>7325</v>
      </c>
      <c r="M208">
        <v>478</v>
      </c>
      <c r="N208" t="s">
        <v>263</v>
      </c>
      <c r="O208" s="98">
        <v>1894</v>
      </c>
      <c r="P208" s="98">
        <v>1915</v>
      </c>
      <c r="Q208" s="98">
        <v>6971</v>
      </c>
      <c r="R208">
        <v>22.49</v>
      </c>
      <c r="S208" s="98">
        <v>2606700</v>
      </c>
      <c r="T208" t="s">
        <v>1302</v>
      </c>
      <c r="U208">
        <v>103.97499999999999</v>
      </c>
      <c r="V208" s="98">
        <v>2500000</v>
      </c>
      <c r="W208" t="s">
        <v>256</v>
      </c>
      <c r="X208" t="s">
        <v>10</v>
      </c>
      <c r="Y208" s="98">
        <v>2645450</v>
      </c>
      <c r="Z208" s="98">
        <v>2645450</v>
      </c>
      <c r="AA208" t="b">
        <v>0</v>
      </c>
    </row>
    <row r="209" spans="1:27" x14ac:dyDescent="0.35">
      <c r="A209" t="s">
        <v>441</v>
      </c>
      <c r="B209" t="s">
        <v>441</v>
      </c>
      <c r="C209" t="s">
        <v>442</v>
      </c>
      <c r="D209" t="s">
        <v>216</v>
      </c>
      <c r="E209" t="s">
        <v>4</v>
      </c>
      <c r="F209" s="99">
        <v>46931</v>
      </c>
      <c r="G209" t="s">
        <v>30</v>
      </c>
      <c r="H209" t="s">
        <v>14</v>
      </c>
      <c r="I209" s="98">
        <v>-2300000</v>
      </c>
      <c r="J209">
        <v>109.346</v>
      </c>
      <c r="K209">
        <v>361</v>
      </c>
      <c r="L209" s="98">
        <v>-5888</v>
      </c>
      <c r="M209">
        <v>-735</v>
      </c>
      <c r="N209" t="s">
        <v>263</v>
      </c>
      <c r="O209" s="98">
        <v>-1621</v>
      </c>
      <c r="P209" s="98">
        <v>-1639</v>
      </c>
      <c r="Q209" s="98">
        <v>-5911</v>
      </c>
      <c r="R209">
        <v>-19.07</v>
      </c>
      <c r="S209" s="98">
        <v>-2514958</v>
      </c>
      <c r="T209" t="s">
        <v>1302</v>
      </c>
      <c r="U209">
        <v>109.09</v>
      </c>
      <c r="V209" s="98">
        <v>-2300000</v>
      </c>
      <c r="W209" t="s">
        <v>256</v>
      </c>
      <c r="X209" t="s">
        <v>10</v>
      </c>
      <c r="Y209" s="98">
        <v>-2554594</v>
      </c>
      <c r="Z209" s="98">
        <v>2554594</v>
      </c>
      <c r="AA209" t="b">
        <v>0</v>
      </c>
    </row>
    <row r="210" spans="1:27" x14ac:dyDescent="0.35">
      <c r="A210" t="s">
        <v>443</v>
      </c>
      <c r="B210" t="s">
        <v>443</v>
      </c>
      <c r="C210" t="s">
        <v>440</v>
      </c>
      <c r="D210" t="s">
        <v>216</v>
      </c>
      <c r="E210" t="s">
        <v>4</v>
      </c>
      <c r="F210" s="99">
        <v>46552</v>
      </c>
      <c r="G210" t="s">
        <v>30</v>
      </c>
      <c r="H210" t="s">
        <v>14</v>
      </c>
      <c r="I210">
        <v>0</v>
      </c>
      <c r="J210">
        <v>104.508</v>
      </c>
      <c r="K210">
        <v>357</v>
      </c>
      <c r="L210">
        <v>0</v>
      </c>
      <c r="M210">
        <v>0</v>
      </c>
      <c r="N210" t="s">
        <v>263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31</v>
      </c>
      <c r="U210">
        <v>104.508</v>
      </c>
      <c r="V210">
        <v>0</v>
      </c>
      <c r="W210" t="s">
        <v>256</v>
      </c>
      <c r="X210" t="s">
        <v>10</v>
      </c>
      <c r="Y210">
        <v>0</v>
      </c>
      <c r="Z210">
        <v>0</v>
      </c>
    </row>
    <row r="211" spans="1:27" x14ac:dyDescent="0.35">
      <c r="A211" t="s">
        <v>444</v>
      </c>
      <c r="B211" t="s">
        <v>444</v>
      </c>
      <c r="C211" t="s">
        <v>442</v>
      </c>
      <c r="D211" t="s">
        <v>216</v>
      </c>
      <c r="E211" t="s">
        <v>4</v>
      </c>
      <c r="F211" s="99">
        <v>46105</v>
      </c>
      <c r="G211" t="s">
        <v>30</v>
      </c>
      <c r="H211" t="s">
        <v>14</v>
      </c>
      <c r="I211" s="98">
        <v>1000000</v>
      </c>
      <c r="J211">
        <v>108.45399999999999</v>
      </c>
      <c r="K211">
        <v>337</v>
      </c>
      <c r="L211" s="98">
        <v>2210</v>
      </c>
      <c r="M211">
        <v>127</v>
      </c>
      <c r="N211" t="s">
        <v>263</v>
      </c>
      <c r="O211">
        <v>516</v>
      </c>
      <c r="P211">
        <v>522</v>
      </c>
      <c r="Q211" s="98">
        <v>1757</v>
      </c>
      <c r="R211">
        <v>5.67</v>
      </c>
      <c r="S211" s="98">
        <v>1084540</v>
      </c>
      <c r="T211" t="s">
        <v>1302</v>
      </c>
      <c r="U211">
        <v>108.233</v>
      </c>
      <c r="V211" s="98">
        <v>1000000</v>
      </c>
      <c r="W211" t="s">
        <v>256</v>
      </c>
      <c r="X211" t="s">
        <v>10</v>
      </c>
      <c r="Y211" s="98">
        <v>1113811</v>
      </c>
      <c r="Z211" s="98">
        <v>1113811</v>
      </c>
      <c r="AA211" t="b">
        <v>0</v>
      </c>
    </row>
    <row r="212" spans="1:27" x14ac:dyDescent="0.35">
      <c r="A212" t="s">
        <v>445</v>
      </c>
      <c r="B212" t="s">
        <v>445</v>
      </c>
      <c r="C212" t="s">
        <v>446</v>
      </c>
      <c r="D212" t="s">
        <v>216</v>
      </c>
      <c r="E212" t="s">
        <v>4</v>
      </c>
      <c r="F212" s="99">
        <v>45470</v>
      </c>
      <c r="G212" t="s">
        <v>30</v>
      </c>
      <c r="H212" t="s">
        <v>14</v>
      </c>
      <c r="I212" s="98">
        <v>-500000</v>
      </c>
      <c r="J212">
        <v>103.062</v>
      </c>
      <c r="K212">
        <v>300</v>
      </c>
      <c r="L212" s="98">
        <v>-1010</v>
      </c>
      <c r="M212">
        <v>-46</v>
      </c>
      <c r="N212" t="s">
        <v>263</v>
      </c>
      <c r="O212">
        <v>-175</v>
      </c>
      <c r="P212">
        <v>-177</v>
      </c>
      <c r="Q212">
        <v>-529</v>
      </c>
      <c r="R212">
        <v>-1.71</v>
      </c>
      <c r="S212" s="98">
        <v>-515310</v>
      </c>
      <c r="T212" t="s">
        <v>1302</v>
      </c>
      <c r="U212">
        <v>102.86</v>
      </c>
      <c r="V212" s="98">
        <v>-500000</v>
      </c>
      <c r="W212" t="s">
        <v>256</v>
      </c>
      <c r="X212" t="s">
        <v>10</v>
      </c>
      <c r="Y212" s="98">
        <v>-521598</v>
      </c>
      <c r="Z212" s="98">
        <v>521598</v>
      </c>
      <c r="AA212" t="b">
        <v>0</v>
      </c>
    </row>
    <row r="213" spans="1:27" x14ac:dyDescent="0.35">
      <c r="B213" t="s">
        <v>911</v>
      </c>
      <c r="C213" t="s">
        <v>911</v>
      </c>
      <c r="E213" t="s">
        <v>283</v>
      </c>
      <c r="G213" t="s">
        <v>448</v>
      </c>
      <c r="H213" t="s">
        <v>14</v>
      </c>
      <c r="I213" s="98">
        <v>1515000</v>
      </c>
      <c r="J213">
        <v>78.653000000000006</v>
      </c>
      <c r="L213">
        <v>0</v>
      </c>
      <c r="M213">
        <v>-13</v>
      </c>
      <c r="O213">
        <v>0</v>
      </c>
      <c r="P213">
        <v>0</v>
      </c>
      <c r="Q213">
        <v>0</v>
      </c>
      <c r="R213">
        <v>0</v>
      </c>
      <c r="S213" s="98">
        <v>-1318491</v>
      </c>
      <c r="U213">
        <v>78.653000000000006</v>
      </c>
      <c r="V213" s="98">
        <v>1515000</v>
      </c>
      <c r="W213" t="s">
        <v>449</v>
      </c>
      <c r="X213" t="s">
        <v>10</v>
      </c>
      <c r="Y213">
        <v>0</v>
      </c>
      <c r="Z213">
        <v>0</v>
      </c>
    </row>
    <row r="214" spans="1:27" x14ac:dyDescent="0.35">
      <c r="B214" t="s">
        <v>447</v>
      </c>
      <c r="C214" t="s">
        <v>447</v>
      </c>
      <c r="E214" t="s">
        <v>4</v>
      </c>
      <c r="G214" t="s">
        <v>448</v>
      </c>
      <c r="H214" t="s">
        <v>14</v>
      </c>
      <c r="I214" s="98">
        <v>-500000</v>
      </c>
      <c r="J214">
        <v>112.52200000000001</v>
      </c>
      <c r="L214">
        <v>0</v>
      </c>
      <c r="M214">
        <v>-15</v>
      </c>
      <c r="O214">
        <v>0</v>
      </c>
      <c r="P214">
        <v>0</v>
      </c>
      <c r="Q214">
        <v>0</v>
      </c>
      <c r="R214">
        <v>0</v>
      </c>
      <c r="S214" s="98">
        <v>562609</v>
      </c>
      <c r="U214">
        <v>112.52200000000001</v>
      </c>
      <c r="V214" s="98">
        <v>-500000</v>
      </c>
      <c r="W214" t="s">
        <v>449</v>
      </c>
      <c r="X214" t="s">
        <v>10</v>
      </c>
      <c r="Y214">
        <v>0</v>
      </c>
      <c r="Z214">
        <v>0</v>
      </c>
    </row>
    <row r="215" spans="1:27" x14ac:dyDescent="0.35">
      <c r="B215" t="s">
        <v>920</v>
      </c>
      <c r="C215" t="s">
        <v>920</v>
      </c>
      <c r="E215" t="s">
        <v>4</v>
      </c>
      <c r="G215" t="s">
        <v>448</v>
      </c>
      <c r="H215" t="s">
        <v>14</v>
      </c>
      <c r="I215" s="98">
        <v>-6000000</v>
      </c>
      <c r="J215">
        <v>105.10599999999999</v>
      </c>
      <c r="L215">
        <v>0</v>
      </c>
      <c r="M215">
        <v>-166</v>
      </c>
      <c r="O215">
        <v>0</v>
      </c>
      <c r="P215">
        <v>0</v>
      </c>
      <c r="Q215">
        <v>0</v>
      </c>
      <c r="R215">
        <v>0</v>
      </c>
      <c r="S215" s="98">
        <v>6306383</v>
      </c>
      <c r="U215">
        <v>105.10599999999999</v>
      </c>
      <c r="V215" s="98">
        <v>-6000000</v>
      </c>
      <c r="W215" t="s">
        <v>449</v>
      </c>
      <c r="X215" t="s">
        <v>10</v>
      </c>
      <c r="Y215">
        <v>0</v>
      </c>
      <c r="Z215">
        <v>0</v>
      </c>
    </row>
    <row r="216" spans="1:27" x14ac:dyDescent="0.35">
      <c r="B216" t="s">
        <v>466</v>
      </c>
      <c r="C216" t="s">
        <v>466</v>
      </c>
      <c r="E216" t="s">
        <v>4</v>
      </c>
      <c r="G216" t="s">
        <v>448</v>
      </c>
      <c r="H216" t="s">
        <v>14</v>
      </c>
      <c r="I216" s="98">
        <v>-2000000</v>
      </c>
      <c r="J216">
        <v>112.54600000000001</v>
      </c>
      <c r="L216">
        <v>0</v>
      </c>
      <c r="M216">
        <v>-104</v>
      </c>
      <c r="O216">
        <v>0</v>
      </c>
      <c r="P216">
        <v>0</v>
      </c>
      <c r="Q216">
        <v>0</v>
      </c>
      <c r="R216">
        <v>0</v>
      </c>
      <c r="S216" s="98">
        <v>2251284</v>
      </c>
      <c r="U216">
        <v>112.54600000000001</v>
      </c>
      <c r="V216" s="98">
        <v>-2000000</v>
      </c>
      <c r="W216" t="s">
        <v>449</v>
      </c>
      <c r="X216" t="s">
        <v>10</v>
      </c>
      <c r="Y216">
        <v>0</v>
      </c>
      <c r="Z216">
        <v>0</v>
      </c>
    </row>
    <row r="217" spans="1:27" x14ac:dyDescent="0.35">
      <c r="B217" t="s">
        <v>450</v>
      </c>
      <c r="C217" t="s">
        <v>450</v>
      </c>
      <c r="E217" t="s">
        <v>4</v>
      </c>
      <c r="G217" t="s">
        <v>448</v>
      </c>
      <c r="H217" t="s">
        <v>14</v>
      </c>
      <c r="I217" s="98">
        <v>2700000</v>
      </c>
      <c r="J217">
        <v>88.477999999999994</v>
      </c>
      <c r="L217">
        <v>0</v>
      </c>
      <c r="M217">
        <v>17</v>
      </c>
      <c r="O217">
        <v>0</v>
      </c>
      <c r="P217">
        <v>0</v>
      </c>
      <c r="Q217">
        <v>0</v>
      </c>
      <c r="R217">
        <v>0</v>
      </c>
      <c r="S217" s="98">
        <v>-2388914</v>
      </c>
      <c r="U217">
        <v>88.477999999999994</v>
      </c>
      <c r="V217" s="98">
        <v>2700000</v>
      </c>
      <c r="W217" t="s">
        <v>449</v>
      </c>
      <c r="X217" t="s">
        <v>10</v>
      </c>
      <c r="Y217">
        <v>0</v>
      </c>
      <c r="Z217">
        <v>0</v>
      </c>
    </row>
    <row r="218" spans="1:27" x14ac:dyDescent="0.35">
      <c r="B218" t="s">
        <v>544</v>
      </c>
      <c r="C218" t="s">
        <v>544</v>
      </c>
      <c r="E218" t="s">
        <v>4</v>
      </c>
      <c r="G218" t="s">
        <v>448</v>
      </c>
      <c r="H218" t="s">
        <v>14</v>
      </c>
      <c r="I218" s="98">
        <v>-1380000</v>
      </c>
      <c r="J218">
        <v>109.21899999999999</v>
      </c>
      <c r="L218">
        <v>0</v>
      </c>
      <c r="M218">
        <v>-41</v>
      </c>
      <c r="O218">
        <v>0</v>
      </c>
      <c r="P218">
        <v>0</v>
      </c>
      <c r="Q218">
        <v>0</v>
      </c>
      <c r="R218">
        <v>0</v>
      </c>
      <c r="S218" s="98">
        <v>1502105</v>
      </c>
      <c r="U218">
        <v>109.21899999999999</v>
      </c>
      <c r="V218" s="98">
        <v>-1380000</v>
      </c>
      <c r="W218" t="s">
        <v>449</v>
      </c>
      <c r="X218" t="s">
        <v>10</v>
      </c>
      <c r="Y218">
        <v>0</v>
      </c>
      <c r="Z218">
        <v>0</v>
      </c>
    </row>
    <row r="219" spans="1:27" x14ac:dyDescent="0.35">
      <c r="B219" t="s">
        <v>513</v>
      </c>
      <c r="C219" t="s">
        <v>513</v>
      </c>
      <c r="E219" t="s">
        <v>4</v>
      </c>
      <c r="G219" t="s">
        <v>448</v>
      </c>
      <c r="H219" t="s">
        <v>14</v>
      </c>
      <c r="I219" s="98">
        <v>-1200000</v>
      </c>
      <c r="J219">
        <v>107.24</v>
      </c>
      <c r="L219">
        <v>0</v>
      </c>
      <c r="M219">
        <v>-34</v>
      </c>
      <c r="O219">
        <v>0</v>
      </c>
      <c r="P219">
        <v>0</v>
      </c>
      <c r="Q219">
        <v>0</v>
      </c>
      <c r="R219">
        <v>0</v>
      </c>
      <c r="S219" s="98">
        <v>1288350</v>
      </c>
      <c r="U219">
        <v>107.24</v>
      </c>
      <c r="V219" s="98">
        <v>-1200000</v>
      </c>
      <c r="W219" t="s">
        <v>449</v>
      </c>
      <c r="X219" t="s">
        <v>10</v>
      </c>
      <c r="Y219">
        <v>0</v>
      </c>
      <c r="Z219">
        <v>0</v>
      </c>
    </row>
    <row r="220" spans="1:27" x14ac:dyDescent="0.35">
      <c r="B220" t="s">
        <v>451</v>
      </c>
      <c r="C220" t="s">
        <v>451</v>
      </c>
      <c r="E220" t="s">
        <v>4</v>
      </c>
      <c r="G220" t="s">
        <v>448</v>
      </c>
      <c r="H220" t="s">
        <v>14</v>
      </c>
      <c r="I220" s="98">
        <v>-6181000</v>
      </c>
      <c r="J220">
        <v>110.87</v>
      </c>
      <c r="L220">
        <v>0</v>
      </c>
      <c r="M220">
        <v>-180</v>
      </c>
      <c r="O220">
        <v>0</v>
      </c>
      <c r="P220">
        <v>0</v>
      </c>
      <c r="Q220">
        <v>0</v>
      </c>
      <c r="R220">
        <v>0</v>
      </c>
      <c r="S220" s="98">
        <v>6807932</v>
      </c>
      <c r="U220">
        <v>110.87</v>
      </c>
      <c r="V220" s="98">
        <v>-6181000</v>
      </c>
      <c r="W220" t="s">
        <v>449</v>
      </c>
      <c r="X220" t="s">
        <v>10</v>
      </c>
      <c r="Y220">
        <v>0</v>
      </c>
      <c r="Z220">
        <v>0</v>
      </c>
    </row>
    <row r="221" spans="1:27" x14ac:dyDescent="0.35">
      <c r="B221" t="s">
        <v>452</v>
      </c>
      <c r="C221" t="s">
        <v>452</v>
      </c>
      <c r="E221" t="s">
        <v>4</v>
      </c>
      <c r="G221" t="s">
        <v>448</v>
      </c>
      <c r="H221" t="s">
        <v>14</v>
      </c>
      <c r="I221" s="98">
        <v>-8167000</v>
      </c>
      <c r="J221">
        <v>107.19499999999999</v>
      </c>
      <c r="L221">
        <v>0</v>
      </c>
      <c r="M221">
        <v>-228</v>
      </c>
      <c r="O221">
        <v>0</v>
      </c>
      <c r="P221">
        <v>0</v>
      </c>
      <c r="Q221">
        <v>0</v>
      </c>
      <c r="R221">
        <v>0</v>
      </c>
      <c r="S221" s="98">
        <v>8642045</v>
      </c>
      <c r="U221">
        <v>107.19499999999999</v>
      </c>
      <c r="V221" s="98">
        <v>-8167000</v>
      </c>
      <c r="W221" t="s">
        <v>449</v>
      </c>
      <c r="X221" t="s">
        <v>10</v>
      </c>
      <c r="Y221">
        <v>0</v>
      </c>
      <c r="Z221">
        <v>0</v>
      </c>
    </row>
    <row r="222" spans="1:27" x14ac:dyDescent="0.35">
      <c r="B222" t="s">
        <v>454</v>
      </c>
      <c r="C222" t="s">
        <v>454</v>
      </c>
      <c r="E222" t="s">
        <v>4</v>
      </c>
      <c r="G222" t="s">
        <v>448</v>
      </c>
      <c r="H222" t="s">
        <v>14</v>
      </c>
      <c r="I222" s="98">
        <v>-1050000</v>
      </c>
      <c r="J222">
        <v>102.607</v>
      </c>
      <c r="L222">
        <v>0</v>
      </c>
      <c r="M222">
        <v>-28</v>
      </c>
      <c r="O222">
        <v>0</v>
      </c>
      <c r="P222">
        <v>0</v>
      </c>
      <c r="Q222">
        <v>0</v>
      </c>
      <c r="R222">
        <v>0</v>
      </c>
      <c r="S222" s="98">
        <v>1075399</v>
      </c>
      <c r="U222">
        <v>102.607</v>
      </c>
      <c r="V222" s="98">
        <v>-1050000</v>
      </c>
      <c r="W222" t="s">
        <v>449</v>
      </c>
      <c r="X222" t="s">
        <v>10</v>
      </c>
      <c r="Y222">
        <v>0</v>
      </c>
      <c r="Z222">
        <v>0</v>
      </c>
    </row>
    <row r="223" spans="1:27" x14ac:dyDescent="0.35">
      <c r="B223" t="s">
        <v>455</v>
      </c>
      <c r="C223" t="s">
        <v>455</v>
      </c>
      <c r="E223" t="s">
        <v>4</v>
      </c>
      <c r="G223" t="s">
        <v>448</v>
      </c>
      <c r="H223" t="s">
        <v>14</v>
      </c>
      <c r="I223" s="98">
        <v>-17971000</v>
      </c>
      <c r="J223">
        <v>101.35899999999999</v>
      </c>
      <c r="L223">
        <v>0</v>
      </c>
      <c r="M223">
        <v>-483</v>
      </c>
      <c r="O223">
        <v>0</v>
      </c>
      <c r="P223">
        <v>0</v>
      </c>
      <c r="Q223">
        <v>0</v>
      </c>
      <c r="R223">
        <v>0</v>
      </c>
      <c r="S223" s="98">
        <v>18289760</v>
      </c>
      <c r="U223">
        <v>101.35899999999999</v>
      </c>
      <c r="V223" s="98">
        <v>-17971000</v>
      </c>
      <c r="W223" t="s">
        <v>449</v>
      </c>
      <c r="X223" t="s">
        <v>10</v>
      </c>
      <c r="Y223">
        <v>0</v>
      </c>
      <c r="Z223">
        <v>0</v>
      </c>
    </row>
    <row r="224" spans="1:27" x14ac:dyDescent="0.35">
      <c r="B224" t="s">
        <v>456</v>
      </c>
      <c r="C224" t="s">
        <v>456</v>
      </c>
      <c r="E224" t="s">
        <v>4</v>
      </c>
      <c r="G224" t="s">
        <v>448</v>
      </c>
      <c r="H224" t="s">
        <v>14</v>
      </c>
      <c r="I224" s="98">
        <v>-1000000</v>
      </c>
      <c r="J224">
        <v>100.65600000000001</v>
      </c>
      <c r="L224">
        <v>0</v>
      </c>
      <c r="M224">
        <v>-25</v>
      </c>
      <c r="O224">
        <v>0</v>
      </c>
      <c r="P224">
        <v>0</v>
      </c>
      <c r="Q224">
        <v>0</v>
      </c>
      <c r="R224">
        <v>0</v>
      </c>
      <c r="S224" s="98">
        <v>1006561</v>
      </c>
      <c r="U224">
        <v>100.65600000000001</v>
      </c>
      <c r="V224" s="98">
        <v>-1000000</v>
      </c>
      <c r="W224" t="s">
        <v>449</v>
      </c>
      <c r="X224" t="s">
        <v>10</v>
      </c>
      <c r="Y224">
        <v>0</v>
      </c>
      <c r="Z224">
        <v>0</v>
      </c>
    </row>
    <row r="225" spans="2:26" x14ac:dyDescent="0.35">
      <c r="B225" t="s">
        <v>457</v>
      </c>
      <c r="C225" t="s">
        <v>457</v>
      </c>
      <c r="E225" t="s">
        <v>4</v>
      </c>
      <c r="G225" t="s">
        <v>448</v>
      </c>
      <c r="H225" t="s">
        <v>14</v>
      </c>
      <c r="I225" s="98">
        <v>4484000</v>
      </c>
      <c r="J225">
        <v>90.471999999999994</v>
      </c>
      <c r="L225">
        <v>0</v>
      </c>
      <c r="M225">
        <v>28</v>
      </c>
      <c r="O225">
        <v>0</v>
      </c>
      <c r="P225">
        <v>0</v>
      </c>
      <c r="Q225">
        <v>0</v>
      </c>
      <c r="R225">
        <v>0</v>
      </c>
      <c r="S225" s="98">
        <v>-4056773</v>
      </c>
      <c r="U225">
        <v>90.471999999999994</v>
      </c>
      <c r="V225" s="98">
        <v>4484000</v>
      </c>
      <c r="W225" t="s">
        <v>449</v>
      </c>
      <c r="X225" t="s">
        <v>10</v>
      </c>
      <c r="Y225">
        <v>0</v>
      </c>
      <c r="Z225">
        <v>0</v>
      </c>
    </row>
    <row r="226" spans="2:26" x14ac:dyDescent="0.35">
      <c r="B226" t="s">
        <v>458</v>
      </c>
      <c r="C226" t="s">
        <v>458</v>
      </c>
      <c r="E226" t="s">
        <v>283</v>
      </c>
      <c r="G226" t="s">
        <v>448</v>
      </c>
      <c r="H226" t="s">
        <v>14</v>
      </c>
      <c r="I226" s="98">
        <v>-200000</v>
      </c>
      <c r="J226">
        <v>87.355000000000004</v>
      </c>
      <c r="L226">
        <v>0</v>
      </c>
      <c r="M226">
        <v>-1</v>
      </c>
      <c r="O226">
        <v>0</v>
      </c>
      <c r="P226">
        <v>0</v>
      </c>
      <c r="Q226">
        <v>0</v>
      </c>
      <c r="R226">
        <v>0</v>
      </c>
      <c r="S226" s="98">
        <v>193315</v>
      </c>
      <c r="U226">
        <v>87.355000000000004</v>
      </c>
      <c r="V226" s="98">
        <v>-200000</v>
      </c>
      <c r="W226" t="s">
        <v>449</v>
      </c>
      <c r="X226" t="s">
        <v>10</v>
      </c>
      <c r="Y226">
        <v>0</v>
      </c>
      <c r="Z226">
        <v>0</v>
      </c>
    </row>
    <row r="227" spans="2:26" x14ac:dyDescent="0.35">
      <c r="B227" t="s">
        <v>459</v>
      </c>
      <c r="C227" t="s">
        <v>459</v>
      </c>
      <c r="E227" t="s">
        <v>4</v>
      </c>
      <c r="G227" t="s">
        <v>448</v>
      </c>
      <c r="H227" t="s">
        <v>14</v>
      </c>
      <c r="I227" s="98">
        <v>-1300000</v>
      </c>
      <c r="J227">
        <v>107.764</v>
      </c>
      <c r="L227">
        <v>0</v>
      </c>
      <c r="M227">
        <v>-37</v>
      </c>
      <c r="O227">
        <v>0</v>
      </c>
      <c r="P227">
        <v>0</v>
      </c>
      <c r="Q227">
        <v>0</v>
      </c>
      <c r="R227">
        <v>0</v>
      </c>
      <c r="S227" s="98">
        <v>1400935</v>
      </c>
      <c r="U227">
        <v>107.764</v>
      </c>
      <c r="V227" s="98">
        <v>-1300000</v>
      </c>
      <c r="W227" t="s">
        <v>449</v>
      </c>
      <c r="X227" t="s">
        <v>10</v>
      </c>
      <c r="Y227">
        <v>0</v>
      </c>
      <c r="Z227">
        <v>0</v>
      </c>
    </row>
    <row r="228" spans="2:26" x14ac:dyDescent="0.35">
      <c r="B228" t="s">
        <v>460</v>
      </c>
      <c r="C228" t="s">
        <v>460</v>
      </c>
      <c r="E228" t="s">
        <v>4</v>
      </c>
      <c r="G228" t="s">
        <v>448</v>
      </c>
      <c r="H228" t="s">
        <v>14</v>
      </c>
      <c r="I228" s="98">
        <v>1000000</v>
      </c>
      <c r="J228">
        <v>89.230999999999995</v>
      </c>
      <c r="L228">
        <v>0</v>
      </c>
      <c r="M228">
        <v>7</v>
      </c>
      <c r="O228">
        <v>0</v>
      </c>
      <c r="P228">
        <v>0</v>
      </c>
      <c r="Q228">
        <v>0</v>
      </c>
      <c r="R228">
        <v>0</v>
      </c>
      <c r="S228" s="98">
        <v>-851758</v>
      </c>
      <c r="U228">
        <v>89.230999999999995</v>
      </c>
      <c r="V228" s="98">
        <v>1000000</v>
      </c>
      <c r="W228" t="s">
        <v>449</v>
      </c>
      <c r="X228" t="s">
        <v>10</v>
      </c>
      <c r="Y228">
        <v>0</v>
      </c>
      <c r="Z228">
        <v>0</v>
      </c>
    </row>
    <row r="229" spans="2:26" x14ac:dyDescent="0.35">
      <c r="B229" t="s">
        <v>461</v>
      </c>
      <c r="C229" t="s">
        <v>461</v>
      </c>
      <c r="E229" t="s">
        <v>266</v>
      </c>
      <c r="G229" t="s">
        <v>448</v>
      </c>
      <c r="H229" t="s">
        <v>14</v>
      </c>
      <c r="I229" s="98">
        <v>-8430000</v>
      </c>
      <c r="J229">
        <v>123.8</v>
      </c>
      <c r="L229">
        <v>78</v>
      </c>
      <c r="M229">
        <v>-84</v>
      </c>
      <c r="O229">
        <v>0</v>
      </c>
      <c r="P229">
        <v>0</v>
      </c>
      <c r="Q229">
        <v>0</v>
      </c>
      <c r="R229">
        <v>0</v>
      </c>
      <c r="S229" s="98">
        <v>8686114</v>
      </c>
      <c r="U229">
        <v>123.8</v>
      </c>
      <c r="V229" s="98">
        <v>-8430000</v>
      </c>
      <c r="W229" t="s">
        <v>449</v>
      </c>
      <c r="X229" t="s">
        <v>10</v>
      </c>
      <c r="Y229">
        <v>0</v>
      </c>
      <c r="Z229">
        <v>0</v>
      </c>
    </row>
    <row r="230" spans="2:26" x14ac:dyDescent="0.35">
      <c r="B230" t="s">
        <v>462</v>
      </c>
      <c r="C230" t="s">
        <v>462</v>
      </c>
      <c r="E230" t="s">
        <v>4</v>
      </c>
      <c r="G230" t="s">
        <v>448</v>
      </c>
      <c r="H230" t="s">
        <v>14</v>
      </c>
      <c r="I230" s="98">
        <v>-1300000</v>
      </c>
      <c r="J230">
        <v>103.501</v>
      </c>
      <c r="L230">
        <v>0</v>
      </c>
      <c r="M230">
        <v>-36</v>
      </c>
      <c r="O230">
        <v>0</v>
      </c>
      <c r="P230">
        <v>0</v>
      </c>
      <c r="Q230">
        <v>0</v>
      </c>
      <c r="R230">
        <v>0</v>
      </c>
      <c r="S230" s="98">
        <v>1346825</v>
      </c>
      <c r="U230">
        <v>103.501</v>
      </c>
      <c r="V230" s="98">
        <v>-1300000</v>
      </c>
      <c r="W230" t="s">
        <v>449</v>
      </c>
      <c r="X230" t="s">
        <v>10</v>
      </c>
      <c r="Y230">
        <v>0</v>
      </c>
      <c r="Z230">
        <v>0</v>
      </c>
    </row>
    <row r="231" spans="2:26" x14ac:dyDescent="0.35">
      <c r="B231" t="s">
        <v>463</v>
      </c>
      <c r="C231" t="s">
        <v>463</v>
      </c>
      <c r="E231" t="s">
        <v>4</v>
      </c>
      <c r="G231" t="s">
        <v>448</v>
      </c>
      <c r="H231" t="s">
        <v>14</v>
      </c>
      <c r="I231" s="98">
        <v>1500000</v>
      </c>
      <c r="J231">
        <v>91.61</v>
      </c>
      <c r="L231">
        <v>0</v>
      </c>
      <c r="M231">
        <v>10</v>
      </c>
      <c r="O231">
        <v>0</v>
      </c>
      <c r="P231">
        <v>0</v>
      </c>
      <c r="Q231">
        <v>0</v>
      </c>
      <c r="R231">
        <v>0</v>
      </c>
      <c r="S231" s="98">
        <v>-1374149</v>
      </c>
      <c r="U231">
        <v>91.61</v>
      </c>
      <c r="V231" s="98">
        <v>1500000</v>
      </c>
      <c r="W231" t="s">
        <v>449</v>
      </c>
      <c r="X231" t="s">
        <v>10</v>
      </c>
      <c r="Y231">
        <v>0</v>
      </c>
      <c r="Z231">
        <v>0</v>
      </c>
    </row>
    <row r="232" spans="2:26" x14ac:dyDescent="0.35">
      <c r="B232" t="s">
        <v>591</v>
      </c>
      <c r="C232" t="s">
        <v>591</v>
      </c>
      <c r="E232" t="s">
        <v>4</v>
      </c>
      <c r="G232" t="s">
        <v>448</v>
      </c>
      <c r="H232" t="s">
        <v>14</v>
      </c>
      <c r="I232" s="98">
        <v>-5400000</v>
      </c>
      <c r="J232">
        <v>103.949</v>
      </c>
      <c r="L232">
        <v>0</v>
      </c>
      <c r="M232">
        <v>-151</v>
      </c>
      <c r="O232">
        <v>0</v>
      </c>
      <c r="P232">
        <v>0</v>
      </c>
      <c r="Q232">
        <v>0</v>
      </c>
      <c r="R232">
        <v>0</v>
      </c>
      <c r="S232" s="98">
        <v>5616803</v>
      </c>
      <c r="U232">
        <v>103.949</v>
      </c>
      <c r="V232" s="98">
        <v>-5400000</v>
      </c>
      <c r="W232" t="s">
        <v>449</v>
      </c>
      <c r="X232" t="s">
        <v>10</v>
      </c>
      <c r="Y232">
        <v>0</v>
      </c>
      <c r="Z232">
        <v>0</v>
      </c>
    </row>
    <row r="233" spans="2:26" x14ac:dyDescent="0.35">
      <c r="B233" t="s">
        <v>464</v>
      </c>
      <c r="C233" t="s">
        <v>464</v>
      </c>
      <c r="E233" t="s">
        <v>4</v>
      </c>
      <c r="G233" t="s">
        <v>448</v>
      </c>
      <c r="H233" t="s">
        <v>14</v>
      </c>
      <c r="I233">
        <v>0</v>
      </c>
      <c r="J233">
        <v>82.481999999999999</v>
      </c>
      <c r="L233">
        <v>0</v>
      </c>
      <c r="M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U233">
        <v>82.481999999999999</v>
      </c>
      <c r="V233">
        <v>0</v>
      </c>
      <c r="W233" t="s">
        <v>449</v>
      </c>
      <c r="X233" t="s">
        <v>10</v>
      </c>
      <c r="Y233">
        <v>0</v>
      </c>
      <c r="Z233">
        <v>0</v>
      </c>
    </row>
    <row r="234" spans="2:26" x14ac:dyDescent="0.35">
      <c r="B234" t="s">
        <v>465</v>
      </c>
      <c r="C234" t="s">
        <v>465</v>
      </c>
      <c r="E234" t="s">
        <v>4</v>
      </c>
      <c r="G234" t="s">
        <v>448</v>
      </c>
      <c r="H234" t="s">
        <v>14</v>
      </c>
      <c r="I234" s="98">
        <v>1000000</v>
      </c>
      <c r="J234">
        <v>88.795000000000002</v>
      </c>
      <c r="L234">
        <v>0</v>
      </c>
      <c r="M234">
        <v>6</v>
      </c>
      <c r="O234">
        <v>0</v>
      </c>
      <c r="P234">
        <v>0</v>
      </c>
      <c r="Q234">
        <v>0</v>
      </c>
      <c r="R234">
        <v>0</v>
      </c>
      <c r="S234" s="98">
        <v>-887952</v>
      </c>
      <c r="U234">
        <v>88.795000000000002</v>
      </c>
      <c r="V234" s="98">
        <v>1000000</v>
      </c>
      <c r="W234" t="s">
        <v>449</v>
      </c>
      <c r="X234" t="s">
        <v>10</v>
      </c>
      <c r="Y234">
        <v>0</v>
      </c>
      <c r="Z234">
        <v>0</v>
      </c>
    </row>
    <row r="235" spans="2:26" x14ac:dyDescent="0.35">
      <c r="B235" t="s">
        <v>545</v>
      </c>
      <c r="C235" t="s">
        <v>545</v>
      </c>
      <c r="E235" t="s">
        <v>283</v>
      </c>
      <c r="G235" t="s">
        <v>448</v>
      </c>
      <c r="H235" t="s">
        <v>14</v>
      </c>
      <c r="I235" s="98">
        <v>-300000</v>
      </c>
      <c r="J235">
        <v>78.819000000000003</v>
      </c>
      <c r="L235">
        <v>48</v>
      </c>
      <c r="M235">
        <v>-3</v>
      </c>
      <c r="O235">
        <v>0</v>
      </c>
      <c r="P235">
        <v>0</v>
      </c>
      <c r="Q235">
        <v>0</v>
      </c>
      <c r="R235">
        <v>0</v>
      </c>
      <c r="S235" s="98">
        <v>321545</v>
      </c>
      <c r="U235">
        <v>78.819000000000003</v>
      </c>
      <c r="V235" s="98">
        <v>-300000</v>
      </c>
      <c r="W235" t="s">
        <v>449</v>
      </c>
      <c r="X235" t="s">
        <v>10</v>
      </c>
      <c r="Y235">
        <v>0</v>
      </c>
      <c r="Z235">
        <v>0</v>
      </c>
    </row>
    <row r="236" spans="2:26" x14ac:dyDescent="0.35">
      <c r="B236" t="s">
        <v>546</v>
      </c>
      <c r="C236" t="s">
        <v>546</v>
      </c>
      <c r="E236" t="s">
        <v>4</v>
      </c>
      <c r="G236" t="s">
        <v>448</v>
      </c>
      <c r="H236" t="s">
        <v>14</v>
      </c>
      <c r="I236" s="98">
        <v>-3000000</v>
      </c>
      <c r="J236">
        <v>104.17</v>
      </c>
      <c r="L236">
        <v>0</v>
      </c>
      <c r="M236">
        <v>-82</v>
      </c>
      <c r="O236">
        <v>0</v>
      </c>
      <c r="P236">
        <v>0</v>
      </c>
      <c r="Q236">
        <v>0</v>
      </c>
      <c r="R236">
        <v>0</v>
      </c>
      <c r="S236" s="98">
        <v>3125088</v>
      </c>
      <c r="U236">
        <v>104.17</v>
      </c>
      <c r="V236" s="98">
        <v>-3000000</v>
      </c>
      <c r="W236" t="s">
        <v>449</v>
      </c>
      <c r="X236" t="s">
        <v>10</v>
      </c>
      <c r="Y236">
        <v>0</v>
      </c>
      <c r="Z236">
        <v>0</v>
      </c>
    </row>
    <row r="237" spans="2:26" x14ac:dyDescent="0.35">
      <c r="B237" t="s">
        <v>467</v>
      </c>
      <c r="C237" t="s">
        <v>467</v>
      </c>
      <c r="E237" t="s">
        <v>4</v>
      </c>
      <c r="G237" t="s">
        <v>448</v>
      </c>
      <c r="H237" t="s">
        <v>14</v>
      </c>
      <c r="I237" s="98">
        <v>-2300000</v>
      </c>
      <c r="J237">
        <v>109.428</v>
      </c>
      <c r="L237">
        <v>0</v>
      </c>
      <c r="M237">
        <v>-66</v>
      </c>
      <c r="O237">
        <v>0</v>
      </c>
      <c r="P237">
        <v>0</v>
      </c>
      <c r="Q237">
        <v>0</v>
      </c>
      <c r="R237">
        <v>0</v>
      </c>
      <c r="S237" s="98">
        <v>2510841</v>
      </c>
      <c r="U237">
        <v>109.428</v>
      </c>
      <c r="V237" s="98">
        <v>-2300000</v>
      </c>
      <c r="W237" t="s">
        <v>449</v>
      </c>
      <c r="X237" t="s">
        <v>10</v>
      </c>
      <c r="Y237">
        <v>0</v>
      </c>
      <c r="Z237">
        <v>0</v>
      </c>
    </row>
    <row r="238" spans="2:26" x14ac:dyDescent="0.35">
      <c r="B238" t="s">
        <v>468</v>
      </c>
      <c r="C238" t="s">
        <v>468</v>
      </c>
      <c r="E238" t="s">
        <v>4</v>
      </c>
      <c r="G238" t="s">
        <v>448</v>
      </c>
      <c r="H238" t="s">
        <v>14</v>
      </c>
      <c r="I238" s="98">
        <v>1500000</v>
      </c>
      <c r="J238">
        <v>105.264</v>
      </c>
      <c r="L238">
        <v>0</v>
      </c>
      <c r="M238">
        <v>11</v>
      </c>
      <c r="O238">
        <v>0</v>
      </c>
      <c r="P238">
        <v>0</v>
      </c>
      <c r="Q238">
        <v>0</v>
      </c>
      <c r="R238">
        <v>0</v>
      </c>
      <c r="S238" s="98">
        <v>-1542714</v>
      </c>
      <c r="U238">
        <v>105.264</v>
      </c>
      <c r="V238" s="98">
        <v>1500000</v>
      </c>
      <c r="W238" t="s">
        <v>449</v>
      </c>
      <c r="X238" t="s">
        <v>10</v>
      </c>
      <c r="Y238">
        <v>0</v>
      </c>
      <c r="Z238">
        <v>0</v>
      </c>
    </row>
    <row r="239" spans="2:26" x14ac:dyDescent="0.35">
      <c r="B239" t="s">
        <v>547</v>
      </c>
      <c r="C239" t="s">
        <v>547</v>
      </c>
      <c r="E239" t="s">
        <v>4</v>
      </c>
      <c r="G239" t="s">
        <v>448</v>
      </c>
      <c r="H239" t="s">
        <v>14</v>
      </c>
      <c r="I239" s="98">
        <v>5000000</v>
      </c>
      <c r="J239">
        <v>96.055000000000007</v>
      </c>
      <c r="L239">
        <v>0</v>
      </c>
      <c r="M239">
        <v>33</v>
      </c>
      <c r="O239">
        <v>0</v>
      </c>
      <c r="P239">
        <v>0</v>
      </c>
      <c r="Q239">
        <v>0</v>
      </c>
      <c r="R239">
        <v>0</v>
      </c>
      <c r="S239" s="98">
        <v>-4802728</v>
      </c>
      <c r="U239">
        <v>96.055000000000007</v>
      </c>
      <c r="V239" s="98">
        <v>5000000</v>
      </c>
      <c r="W239" t="s">
        <v>449</v>
      </c>
      <c r="X239" t="s">
        <v>10</v>
      </c>
      <c r="Y239">
        <v>0</v>
      </c>
      <c r="Z239">
        <v>0</v>
      </c>
    </row>
    <row r="240" spans="2:26" x14ac:dyDescent="0.35">
      <c r="B240" t="s">
        <v>469</v>
      </c>
      <c r="C240" t="s">
        <v>469</v>
      </c>
      <c r="E240" t="s">
        <v>4</v>
      </c>
      <c r="G240" t="s">
        <v>448</v>
      </c>
      <c r="H240" t="s">
        <v>14</v>
      </c>
      <c r="I240" s="98">
        <v>10000000</v>
      </c>
      <c r="J240">
        <v>75.040000000000006</v>
      </c>
      <c r="L240">
        <v>0</v>
      </c>
      <c r="M240">
        <v>57</v>
      </c>
      <c r="O240">
        <v>0</v>
      </c>
      <c r="P240">
        <v>0</v>
      </c>
      <c r="Q240">
        <v>0</v>
      </c>
      <c r="R240">
        <v>0</v>
      </c>
      <c r="S240" s="98">
        <v>-7503956</v>
      </c>
      <c r="U240">
        <v>75.040000000000006</v>
      </c>
      <c r="V240" s="98">
        <v>10000000</v>
      </c>
      <c r="W240" t="s">
        <v>449</v>
      </c>
      <c r="X240" t="s">
        <v>10</v>
      </c>
      <c r="Y240">
        <v>0</v>
      </c>
      <c r="Z240">
        <v>0</v>
      </c>
    </row>
    <row r="241" spans="1:27" x14ac:dyDescent="0.35">
      <c r="B241" t="s">
        <v>548</v>
      </c>
      <c r="C241" t="s">
        <v>548</v>
      </c>
      <c r="E241" t="s">
        <v>266</v>
      </c>
      <c r="G241" t="s">
        <v>448</v>
      </c>
      <c r="H241" t="s">
        <v>14</v>
      </c>
      <c r="I241" s="98">
        <v>-11489000</v>
      </c>
      <c r="J241">
        <v>110.62</v>
      </c>
      <c r="L241">
        <v>-29</v>
      </c>
      <c r="M241">
        <v>-104</v>
      </c>
      <c r="O241">
        <v>0</v>
      </c>
      <c r="P241">
        <v>0</v>
      </c>
      <c r="Q241">
        <v>0</v>
      </c>
      <c r="R241">
        <v>0</v>
      </c>
      <c r="S241" s="98">
        <v>10740632</v>
      </c>
      <c r="U241">
        <v>110.62</v>
      </c>
      <c r="V241" s="98">
        <v>-11489000</v>
      </c>
      <c r="W241" t="s">
        <v>449</v>
      </c>
      <c r="X241" t="s">
        <v>10</v>
      </c>
      <c r="Y241">
        <v>0</v>
      </c>
      <c r="Z241">
        <v>0</v>
      </c>
    </row>
    <row r="242" spans="1:27" x14ac:dyDescent="0.35">
      <c r="B242" t="s">
        <v>470</v>
      </c>
      <c r="C242" t="s">
        <v>470</v>
      </c>
      <c r="E242" t="s">
        <v>4</v>
      </c>
      <c r="G242" t="s">
        <v>448</v>
      </c>
      <c r="H242" t="s">
        <v>14</v>
      </c>
      <c r="I242" s="98">
        <v>16558000</v>
      </c>
      <c r="J242">
        <v>76.48</v>
      </c>
      <c r="L242">
        <v>0</v>
      </c>
      <c r="M242">
        <v>88</v>
      </c>
      <c r="O242">
        <v>0</v>
      </c>
      <c r="P242">
        <v>0</v>
      </c>
      <c r="Q242">
        <v>0</v>
      </c>
      <c r="R242">
        <v>0</v>
      </c>
      <c r="S242" s="98">
        <v>-12677548</v>
      </c>
      <c r="U242">
        <v>76.48</v>
      </c>
      <c r="V242" s="98">
        <v>16558000</v>
      </c>
      <c r="W242" t="s">
        <v>449</v>
      </c>
      <c r="X242" t="s">
        <v>10</v>
      </c>
      <c r="Y242">
        <v>0</v>
      </c>
      <c r="Z242">
        <v>0</v>
      </c>
    </row>
    <row r="243" spans="1:27" x14ac:dyDescent="0.35">
      <c r="B243" t="s">
        <v>471</v>
      </c>
      <c r="C243" t="s">
        <v>471</v>
      </c>
      <c r="E243" t="s">
        <v>4</v>
      </c>
      <c r="G243" t="s">
        <v>448</v>
      </c>
      <c r="H243" t="s">
        <v>14</v>
      </c>
      <c r="I243" s="98">
        <v>-1500000</v>
      </c>
      <c r="J243">
        <v>116.755</v>
      </c>
      <c r="L243">
        <v>0</v>
      </c>
      <c r="M243">
        <v>-47</v>
      </c>
      <c r="O243">
        <v>0</v>
      </c>
      <c r="P243">
        <v>0</v>
      </c>
      <c r="Q243">
        <v>0</v>
      </c>
      <c r="R243">
        <v>0</v>
      </c>
      <c r="S243" s="98">
        <v>1788365</v>
      </c>
      <c r="U243">
        <v>116.755</v>
      </c>
      <c r="V243" s="98">
        <v>-1500000</v>
      </c>
      <c r="W243" t="s">
        <v>449</v>
      </c>
      <c r="X243" t="s">
        <v>10</v>
      </c>
      <c r="Y243">
        <v>0</v>
      </c>
      <c r="Z243">
        <v>0</v>
      </c>
    </row>
    <row r="244" spans="1:27" x14ac:dyDescent="0.35">
      <c r="B244" t="s">
        <v>602</v>
      </c>
      <c r="C244" t="s">
        <v>602</v>
      </c>
      <c r="E244" t="s">
        <v>4</v>
      </c>
      <c r="G244" t="s">
        <v>448</v>
      </c>
      <c r="H244" t="s">
        <v>14</v>
      </c>
      <c r="I244" s="98">
        <v>3000000</v>
      </c>
      <c r="J244">
        <v>77.091999999999999</v>
      </c>
      <c r="L244">
        <v>0</v>
      </c>
      <c r="M244">
        <v>16</v>
      </c>
      <c r="O244">
        <v>0</v>
      </c>
      <c r="P244">
        <v>0</v>
      </c>
      <c r="Q244">
        <v>0</v>
      </c>
      <c r="R244">
        <v>0</v>
      </c>
      <c r="S244" s="98">
        <v>-2312769</v>
      </c>
      <c r="U244">
        <v>77.091999999999999</v>
      </c>
      <c r="V244" s="98">
        <v>3000000</v>
      </c>
      <c r="W244" t="s">
        <v>449</v>
      </c>
      <c r="X244" t="s">
        <v>10</v>
      </c>
      <c r="Y244">
        <v>0</v>
      </c>
      <c r="Z244">
        <v>0</v>
      </c>
    </row>
    <row r="245" spans="1:27" x14ac:dyDescent="0.35">
      <c r="B245" t="s">
        <v>472</v>
      </c>
      <c r="C245" t="s">
        <v>472</v>
      </c>
      <c r="E245" t="s">
        <v>4</v>
      </c>
      <c r="G245" t="s">
        <v>448</v>
      </c>
      <c r="H245" t="s">
        <v>14</v>
      </c>
      <c r="I245" s="98">
        <v>-274000</v>
      </c>
      <c r="J245">
        <v>106.627</v>
      </c>
      <c r="L245">
        <v>0</v>
      </c>
      <c r="M245">
        <v>-9</v>
      </c>
      <c r="O245">
        <v>0</v>
      </c>
      <c r="P245">
        <v>0</v>
      </c>
      <c r="Q245">
        <v>0</v>
      </c>
      <c r="R245">
        <v>0</v>
      </c>
      <c r="S245" s="98">
        <v>292158</v>
      </c>
      <c r="U245">
        <v>106.627</v>
      </c>
      <c r="V245" s="98">
        <v>-274000</v>
      </c>
      <c r="W245" t="s">
        <v>449</v>
      </c>
      <c r="X245" t="s">
        <v>10</v>
      </c>
      <c r="Y245">
        <v>0</v>
      </c>
      <c r="Z245">
        <v>0</v>
      </c>
    </row>
    <row r="246" spans="1:27" x14ac:dyDescent="0.35">
      <c r="B246" t="s">
        <v>473</v>
      </c>
      <c r="C246" t="s">
        <v>473</v>
      </c>
      <c r="E246" t="s">
        <v>4</v>
      </c>
      <c r="G246" t="s">
        <v>448</v>
      </c>
      <c r="H246" t="s">
        <v>14</v>
      </c>
      <c r="I246" s="98">
        <v>-1000000</v>
      </c>
      <c r="J246">
        <v>113.86199999999999</v>
      </c>
      <c r="L246">
        <v>0</v>
      </c>
      <c r="M246">
        <v>-30</v>
      </c>
      <c r="O246">
        <v>0</v>
      </c>
      <c r="P246">
        <v>0</v>
      </c>
      <c r="Q246">
        <v>0</v>
      </c>
      <c r="R246">
        <v>0</v>
      </c>
      <c r="S246" s="98">
        <v>1138622</v>
      </c>
      <c r="U246">
        <v>113.86199999999999</v>
      </c>
      <c r="V246" s="98">
        <v>-1000000</v>
      </c>
      <c r="W246" t="s">
        <v>449</v>
      </c>
      <c r="X246" t="s">
        <v>10</v>
      </c>
      <c r="Y246">
        <v>0</v>
      </c>
      <c r="Z246">
        <v>0</v>
      </c>
    </row>
    <row r="247" spans="1:27" x14ac:dyDescent="0.35">
      <c r="B247" t="s">
        <v>474</v>
      </c>
      <c r="C247" t="s">
        <v>474</v>
      </c>
      <c r="E247" t="s">
        <v>4</v>
      </c>
      <c r="G247" t="s">
        <v>448</v>
      </c>
      <c r="H247" t="s">
        <v>14</v>
      </c>
      <c r="I247" s="98">
        <v>2300000</v>
      </c>
      <c r="J247">
        <v>90.320999999999998</v>
      </c>
      <c r="L247">
        <v>0</v>
      </c>
      <c r="M247">
        <v>14</v>
      </c>
      <c r="O247">
        <v>0</v>
      </c>
      <c r="P247">
        <v>0</v>
      </c>
      <c r="Q247">
        <v>0</v>
      </c>
      <c r="R247">
        <v>0</v>
      </c>
      <c r="S247" s="98">
        <v>-2077387</v>
      </c>
      <c r="U247">
        <v>90.320999999999998</v>
      </c>
      <c r="V247" s="98">
        <v>2300000</v>
      </c>
      <c r="W247" t="s">
        <v>449</v>
      </c>
      <c r="X247" t="s">
        <v>10</v>
      </c>
      <c r="Y247">
        <v>0</v>
      </c>
      <c r="Z247">
        <v>0</v>
      </c>
    </row>
    <row r="248" spans="1:27" x14ac:dyDescent="0.35">
      <c r="B248" t="s">
        <v>550</v>
      </c>
      <c r="C248" t="s">
        <v>550</v>
      </c>
      <c r="E248" t="s">
        <v>4</v>
      </c>
      <c r="G248" t="s">
        <v>448</v>
      </c>
      <c r="H248" t="s">
        <v>14</v>
      </c>
      <c r="I248" s="98">
        <v>1500000</v>
      </c>
      <c r="J248">
        <v>105.896</v>
      </c>
      <c r="L248">
        <v>0</v>
      </c>
      <c r="M248">
        <v>11</v>
      </c>
      <c r="O248">
        <v>0</v>
      </c>
      <c r="P248">
        <v>0</v>
      </c>
      <c r="Q248">
        <v>0</v>
      </c>
      <c r="R248">
        <v>0</v>
      </c>
      <c r="S248" s="98">
        <v>-1588437</v>
      </c>
      <c r="U248">
        <v>105.896</v>
      </c>
      <c r="V248" s="98">
        <v>1500000</v>
      </c>
      <c r="W248" t="s">
        <v>449</v>
      </c>
      <c r="X248" t="s">
        <v>10</v>
      </c>
      <c r="Y248">
        <v>0</v>
      </c>
      <c r="Z248">
        <v>0</v>
      </c>
    </row>
    <row r="249" spans="1:27" x14ac:dyDescent="0.35">
      <c r="B249" t="s">
        <v>475</v>
      </c>
      <c r="C249" t="s">
        <v>475</v>
      </c>
      <c r="E249" t="s">
        <v>4</v>
      </c>
      <c r="G249" t="s">
        <v>448</v>
      </c>
      <c r="H249" t="s">
        <v>14</v>
      </c>
      <c r="I249">
        <v>0</v>
      </c>
      <c r="J249">
        <v>105.152</v>
      </c>
      <c r="L249">
        <v>0</v>
      </c>
      <c r="M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U249">
        <v>105.152</v>
      </c>
      <c r="V249">
        <v>0</v>
      </c>
      <c r="W249" t="s">
        <v>449</v>
      </c>
      <c r="X249" t="s">
        <v>10</v>
      </c>
      <c r="Y249">
        <v>0</v>
      </c>
      <c r="Z249">
        <v>0</v>
      </c>
    </row>
    <row r="250" spans="1:27" x14ac:dyDescent="0.35">
      <c r="B250" t="s">
        <v>476</v>
      </c>
      <c r="C250" t="s">
        <v>476</v>
      </c>
      <c r="E250" t="s">
        <v>4</v>
      </c>
      <c r="G250" t="s">
        <v>448</v>
      </c>
      <c r="H250" t="s">
        <v>14</v>
      </c>
      <c r="I250" s="98">
        <v>-1600000</v>
      </c>
      <c r="J250">
        <v>104.819</v>
      </c>
      <c r="L250">
        <v>0</v>
      </c>
      <c r="M250">
        <v>-44</v>
      </c>
      <c r="O250">
        <v>0</v>
      </c>
      <c r="P250">
        <v>0</v>
      </c>
      <c r="Q250">
        <v>0</v>
      </c>
      <c r="R250">
        <v>0</v>
      </c>
      <c r="S250" s="98">
        <v>1677103</v>
      </c>
      <c r="U250">
        <v>104.819</v>
      </c>
      <c r="V250" s="98">
        <v>-1600000</v>
      </c>
      <c r="W250" t="s">
        <v>449</v>
      </c>
      <c r="X250" t="s">
        <v>10</v>
      </c>
      <c r="Y250">
        <v>0</v>
      </c>
      <c r="Z250">
        <v>0</v>
      </c>
    </row>
    <row r="251" spans="1:27" x14ac:dyDescent="0.35">
      <c r="B251" t="s">
        <v>477</v>
      </c>
      <c r="C251" t="s">
        <v>477</v>
      </c>
      <c r="E251" t="s">
        <v>283</v>
      </c>
      <c r="G251" t="s">
        <v>448</v>
      </c>
      <c r="H251" t="s">
        <v>14</v>
      </c>
      <c r="I251" s="98">
        <v>-1000000</v>
      </c>
      <c r="J251">
        <v>109.991</v>
      </c>
      <c r="L251">
        <v>-6</v>
      </c>
      <c r="M251">
        <v>-13</v>
      </c>
      <c r="O251">
        <v>0</v>
      </c>
      <c r="P251">
        <v>0</v>
      </c>
      <c r="Q251">
        <v>0</v>
      </c>
      <c r="R251">
        <v>0</v>
      </c>
      <c r="S251" s="98">
        <v>1209965</v>
      </c>
      <c r="U251">
        <v>109.991</v>
      </c>
      <c r="V251" s="98">
        <v>-1000000</v>
      </c>
      <c r="W251" t="s">
        <v>449</v>
      </c>
      <c r="X251" t="s">
        <v>10</v>
      </c>
      <c r="Y251">
        <v>0</v>
      </c>
      <c r="Z251">
        <v>0</v>
      </c>
    </row>
    <row r="252" spans="1:27" x14ac:dyDescent="0.35">
      <c r="A252" t="s">
        <v>551</v>
      </c>
      <c r="B252" t="s">
        <v>552</v>
      </c>
      <c r="C252" t="s">
        <v>552</v>
      </c>
      <c r="E252" t="s">
        <v>266</v>
      </c>
      <c r="G252" t="s">
        <v>13</v>
      </c>
      <c r="H252" t="s">
        <v>14</v>
      </c>
      <c r="I252">
        <v>76</v>
      </c>
      <c r="J252">
        <v>1.1879999999999999</v>
      </c>
      <c r="L252" s="98">
        <v>28413</v>
      </c>
      <c r="M252">
        <v>0</v>
      </c>
      <c r="O252">
        <v>0</v>
      </c>
      <c r="P252">
        <v>0</v>
      </c>
      <c r="Q252">
        <v>0</v>
      </c>
      <c r="R252">
        <v>0</v>
      </c>
      <c r="S252" s="98">
        <v>45040</v>
      </c>
      <c r="T252" t="s">
        <v>15</v>
      </c>
      <c r="U252">
        <v>1.1850000000000001</v>
      </c>
      <c r="V252">
        <v>76</v>
      </c>
      <c r="W252" t="s">
        <v>449</v>
      </c>
      <c r="X252" t="s">
        <v>10</v>
      </c>
      <c r="Y252">
        <v>0</v>
      </c>
      <c r="Z252">
        <v>0</v>
      </c>
      <c r="AA252" t="b">
        <v>1</v>
      </c>
    </row>
    <row r="253" spans="1:27" x14ac:dyDescent="0.35">
      <c r="A253" t="s">
        <v>478</v>
      </c>
      <c r="B253" t="s">
        <v>479</v>
      </c>
      <c r="C253" t="s">
        <v>479</v>
      </c>
      <c r="E253" t="s">
        <v>283</v>
      </c>
      <c r="G253" t="s">
        <v>13</v>
      </c>
      <c r="H253" t="s">
        <v>14</v>
      </c>
      <c r="I253">
        <v>40</v>
      </c>
      <c r="J253">
        <v>0.90500000000000003</v>
      </c>
      <c r="L253" s="98">
        <v>20801</v>
      </c>
      <c r="M253">
        <v>0</v>
      </c>
      <c r="O253">
        <v>0</v>
      </c>
      <c r="P253">
        <v>0</v>
      </c>
      <c r="Q253">
        <v>0</v>
      </c>
      <c r="R253">
        <v>0</v>
      </c>
      <c r="S253" s="98">
        <v>-47026</v>
      </c>
      <c r="T253" t="s">
        <v>15</v>
      </c>
      <c r="U253">
        <v>0.90100000000000002</v>
      </c>
      <c r="V253">
        <v>40</v>
      </c>
      <c r="W253" t="s">
        <v>449</v>
      </c>
      <c r="X253" t="s">
        <v>10</v>
      </c>
      <c r="Y253">
        <v>0</v>
      </c>
      <c r="Z253">
        <v>0</v>
      </c>
      <c r="AA253" t="b">
        <v>1</v>
      </c>
    </row>
    <row r="254" spans="1:27" x14ac:dyDescent="0.35">
      <c r="B254" t="s">
        <v>480</v>
      </c>
      <c r="C254" t="s">
        <v>480</v>
      </c>
      <c r="E254" t="s">
        <v>4</v>
      </c>
      <c r="G254" t="s">
        <v>448</v>
      </c>
      <c r="H254" t="s">
        <v>14</v>
      </c>
      <c r="I254" s="98">
        <v>1800000</v>
      </c>
      <c r="J254">
        <v>90.671000000000006</v>
      </c>
      <c r="L254">
        <v>0</v>
      </c>
      <c r="M254">
        <v>11</v>
      </c>
      <c r="O254">
        <v>0</v>
      </c>
      <c r="P254">
        <v>0</v>
      </c>
      <c r="Q254">
        <v>0</v>
      </c>
      <c r="R254">
        <v>0</v>
      </c>
      <c r="S254" s="98">
        <v>-1632080</v>
      </c>
      <c r="U254">
        <v>90.671000000000006</v>
      </c>
      <c r="V254" s="98">
        <v>1800000</v>
      </c>
      <c r="W254" t="s">
        <v>449</v>
      </c>
      <c r="X254" t="s">
        <v>10</v>
      </c>
      <c r="Y254">
        <v>0</v>
      </c>
      <c r="Z254">
        <v>0</v>
      </c>
    </row>
    <row r="255" spans="1:27" x14ac:dyDescent="0.35">
      <c r="B255" t="s">
        <v>481</v>
      </c>
      <c r="C255" t="s">
        <v>481</v>
      </c>
      <c r="E255" t="s">
        <v>4</v>
      </c>
      <c r="G255" t="s">
        <v>448</v>
      </c>
      <c r="H255" t="s">
        <v>14</v>
      </c>
      <c r="I255" s="98">
        <v>-2000000</v>
      </c>
      <c r="J255">
        <v>108.46</v>
      </c>
      <c r="L255">
        <v>0</v>
      </c>
      <c r="M255">
        <v>-57</v>
      </c>
      <c r="O255">
        <v>0</v>
      </c>
      <c r="P255">
        <v>0</v>
      </c>
      <c r="Q255">
        <v>0</v>
      </c>
      <c r="R255">
        <v>0</v>
      </c>
      <c r="S255" s="98">
        <v>2144330</v>
      </c>
      <c r="U255">
        <v>108.46</v>
      </c>
      <c r="V255" s="98">
        <v>-2000000</v>
      </c>
      <c r="W255" t="s">
        <v>449</v>
      </c>
      <c r="X255" t="s">
        <v>10</v>
      </c>
      <c r="Y255">
        <v>0</v>
      </c>
      <c r="Z255">
        <v>0</v>
      </c>
    </row>
    <row r="256" spans="1:27" x14ac:dyDescent="0.35">
      <c r="B256" t="s">
        <v>482</v>
      </c>
      <c r="C256" t="s">
        <v>482</v>
      </c>
      <c r="E256" t="s">
        <v>4</v>
      </c>
      <c r="G256" t="s">
        <v>448</v>
      </c>
      <c r="H256" t="s">
        <v>14</v>
      </c>
      <c r="I256" s="98">
        <v>3080000</v>
      </c>
      <c r="J256">
        <v>75.209999999999994</v>
      </c>
      <c r="L256">
        <v>0</v>
      </c>
      <c r="M256">
        <v>19</v>
      </c>
      <c r="O256">
        <v>0</v>
      </c>
      <c r="P256">
        <v>0</v>
      </c>
      <c r="Q256">
        <v>0</v>
      </c>
      <c r="R256">
        <v>0</v>
      </c>
      <c r="S256" s="98">
        <v>-2306476</v>
      </c>
      <c r="U256">
        <v>75.209999999999994</v>
      </c>
      <c r="V256" s="98">
        <v>3080000</v>
      </c>
      <c r="W256" t="s">
        <v>449</v>
      </c>
      <c r="X256" t="s">
        <v>10</v>
      </c>
      <c r="Y256">
        <v>0</v>
      </c>
      <c r="Z256">
        <v>0</v>
      </c>
    </row>
    <row r="257" spans="2:26" x14ac:dyDescent="0.35">
      <c r="B257" t="s">
        <v>484</v>
      </c>
      <c r="C257" t="s">
        <v>484</v>
      </c>
      <c r="E257" t="s">
        <v>4</v>
      </c>
      <c r="G257" t="s">
        <v>448</v>
      </c>
      <c r="H257" t="s">
        <v>14</v>
      </c>
      <c r="I257" s="98">
        <v>1200000</v>
      </c>
      <c r="J257">
        <v>80.861000000000004</v>
      </c>
      <c r="L257">
        <v>0</v>
      </c>
      <c r="M257">
        <v>8</v>
      </c>
      <c r="O257">
        <v>0</v>
      </c>
      <c r="P257">
        <v>0</v>
      </c>
      <c r="Q257">
        <v>0</v>
      </c>
      <c r="R257">
        <v>0</v>
      </c>
      <c r="S257" s="98">
        <v>-970329</v>
      </c>
      <c r="U257">
        <v>80.861000000000004</v>
      </c>
      <c r="V257" s="98">
        <v>1200000</v>
      </c>
      <c r="W257" t="s">
        <v>449</v>
      </c>
      <c r="X257" t="s">
        <v>10</v>
      </c>
      <c r="Y257">
        <v>0</v>
      </c>
      <c r="Z257">
        <v>0</v>
      </c>
    </row>
    <row r="258" spans="2:26" x14ac:dyDescent="0.35">
      <c r="B258" t="s">
        <v>485</v>
      </c>
      <c r="C258" t="s">
        <v>485</v>
      </c>
      <c r="E258" t="s">
        <v>4</v>
      </c>
      <c r="G258" t="s">
        <v>448</v>
      </c>
      <c r="H258" t="s">
        <v>14</v>
      </c>
      <c r="I258" s="98">
        <v>1800000</v>
      </c>
      <c r="J258">
        <v>90.174000000000007</v>
      </c>
      <c r="L258">
        <v>0</v>
      </c>
      <c r="M258">
        <v>11</v>
      </c>
      <c r="O258">
        <v>0</v>
      </c>
      <c r="P258">
        <v>0</v>
      </c>
      <c r="Q258">
        <v>0</v>
      </c>
      <c r="R258">
        <v>0</v>
      </c>
      <c r="S258" s="98">
        <v>-1623139</v>
      </c>
      <c r="U258">
        <v>90.174000000000007</v>
      </c>
      <c r="V258" s="98">
        <v>1800000</v>
      </c>
      <c r="W258" t="s">
        <v>449</v>
      </c>
      <c r="X258" t="s">
        <v>10</v>
      </c>
      <c r="Y258">
        <v>0</v>
      </c>
      <c r="Z258">
        <v>0</v>
      </c>
    </row>
    <row r="259" spans="2:26" x14ac:dyDescent="0.35">
      <c r="B259" t="s">
        <v>486</v>
      </c>
      <c r="C259" t="s">
        <v>486</v>
      </c>
      <c r="E259" t="s">
        <v>4</v>
      </c>
      <c r="G259" t="s">
        <v>448</v>
      </c>
      <c r="H259" t="s">
        <v>14</v>
      </c>
      <c r="I259" s="98">
        <v>1000000</v>
      </c>
      <c r="J259">
        <v>90.635999999999996</v>
      </c>
      <c r="L259">
        <v>0</v>
      </c>
      <c r="M259">
        <v>6</v>
      </c>
      <c r="O259">
        <v>0</v>
      </c>
      <c r="P259">
        <v>0</v>
      </c>
      <c r="Q259">
        <v>0</v>
      </c>
      <c r="R259">
        <v>0</v>
      </c>
      <c r="S259" s="98">
        <v>-906364</v>
      </c>
      <c r="U259">
        <v>90.635999999999996</v>
      </c>
      <c r="V259" s="98">
        <v>1000000</v>
      </c>
      <c r="W259" t="s">
        <v>449</v>
      </c>
      <c r="X259" t="s">
        <v>10</v>
      </c>
      <c r="Y259">
        <v>0</v>
      </c>
      <c r="Z259">
        <v>0</v>
      </c>
    </row>
    <row r="260" spans="2:26" x14ac:dyDescent="0.35">
      <c r="B260" t="s">
        <v>487</v>
      </c>
      <c r="C260" t="s">
        <v>487</v>
      </c>
      <c r="E260" t="s">
        <v>4</v>
      </c>
      <c r="G260" t="s">
        <v>448</v>
      </c>
      <c r="H260" t="s">
        <v>14</v>
      </c>
      <c r="I260" s="98">
        <v>3000000</v>
      </c>
      <c r="J260">
        <v>98.866</v>
      </c>
      <c r="L260">
        <v>0</v>
      </c>
      <c r="M260">
        <v>21</v>
      </c>
      <c r="O260">
        <v>0</v>
      </c>
      <c r="P260">
        <v>0</v>
      </c>
      <c r="Q260">
        <v>0</v>
      </c>
      <c r="R260">
        <v>0</v>
      </c>
      <c r="S260" s="98">
        <v>-2965984</v>
      </c>
      <c r="U260">
        <v>98.866</v>
      </c>
      <c r="V260" s="98">
        <v>3000000</v>
      </c>
      <c r="W260" t="s">
        <v>449</v>
      </c>
      <c r="X260" t="s">
        <v>10</v>
      </c>
      <c r="Y260">
        <v>0</v>
      </c>
      <c r="Z260">
        <v>0</v>
      </c>
    </row>
    <row r="261" spans="2:26" x14ac:dyDescent="0.35">
      <c r="B261" t="s">
        <v>488</v>
      </c>
      <c r="C261" t="s">
        <v>488</v>
      </c>
      <c r="E261" t="s">
        <v>4</v>
      </c>
      <c r="G261" t="s">
        <v>448</v>
      </c>
      <c r="H261" t="s">
        <v>14</v>
      </c>
      <c r="I261" s="98">
        <v>2000000</v>
      </c>
      <c r="J261">
        <v>93.37</v>
      </c>
      <c r="L261">
        <v>0</v>
      </c>
      <c r="M261">
        <v>13</v>
      </c>
      <c r="O261">
        <v>0</v>
      </c>
      <c r="P261">
        <v>0</v>
      </c>
      <c r="Q261">
        <v>0</v>
      </c>
      <c r="R261">
        <v>0</v>
      </c>
      <c r="S261" s="98">
        <v>-1867403</v>
      </c>
      <c r="U261">
        <v>93.37</v>
      </c>
      <c r="V261" s="98">
        <v>2000000</v>
      </c>
      <c r="W261" t="s">
        <v>449</v>
      </c>
      <c r="X261" t="s">
        <v>10</v>
      </c>
      <c r="Y261">
        <v>0</v>
      </c>
      <c r="Z261">
        <v>0</v>
      </c>
    </row>
    <row r="262" spans="2:26" x14ac:dyDescent="0.35">
      <c r="B262" t="s">
        <v>489</v>
      </c>
      <c r="C262" t="s">
        <v>489</v>
      </c>
      <c r="E262" t="s">
        <v>4</v>
      </c>
      <c r="G262" t="s">
        <v>448</v>
      </c>
      <c r="H262" t="s">
        <v>14</v>
      </c>
      <c r="I262" s="98">
        <v>-3000000</v>
      </c>
      <c r="J262">
        <v>119.508</v>
      </c>
      <c r="L262">
        <v>0</v>
      </c>
      <c r="M262">
        <v>-95</v>
      </c>
      <c r="O262">
        <v>0</v>
      </c>
      <c r="P262">
        <v>0</v>
      </c>
      <c r="Q262">
        <v>0</v>
      </c>
      <c r="R262">
        <v>0</v>
      </c>
      <c r="S262" s="98">
        <v>3585232</v>
      </c>
      <c r="U262">
        <v>119.508</v>
      </c>
      <c r="V262" s="98">
        <v>-3000000</v>
      </c>
      <c r="W262" t="s">
        <v>449</v>
      </c>
      <c r="X262" t="s">
        <v>10</v>
      </c>
      <c r="Y262">
        <v>0</v>
      </c>
      <c r="Z262">
        <v>0</v>
      </c>
    </row>
    <row r="263" spans="2:26" x14ac:dyDescent="0.35">
      <c r="B263" t="s">
        <v>554</v>
      </c>
      <c r="C263" t="s">
        <v>554</v>
      </c>
      <c r="E263" t="s">
        <v>4</v>
      </c>
      <c r="G263" t="s">
        <v>448</v>
      </c>
      <c r="H263" t="s">
        <v>14</v>
      </c>
      <c r="I263" s="98">
        <v>-6700000</v>
      </c>
      <c r="J263">
        <v>104.72</v>
      </c>
      <c r="L263">
        <v>0</v>
      </c>
      <c r="M263">
        <v>-185</v>
      </c>
      <c r="O263">
        <v>0</v>
      </c>
      <c r="P263">
        <v>0</v>
      </c>
      <c r="Q263">
        <v>0</v>
      </c>
      <c r="R263">
        <v>0</v>
      </c>
      <c r="S263" s="98">
        <v>6996346</v>
      </c>
      <c r="U263">
        <v>104.72</v>
      </c>
      <c r="V263" s="98">
        <v>-6700000</v>
      </c>
      <c r="W263" t="s">
        <v>449</v>
      </c>
      <c r="X263" t="s">
        <v>10</v>
      </c>
      <c r="Y263">
        <v>0</v>
      </c>
      <c r="Z263">
        <v>0</v>
      </c>
    </row>
    <row r="264" spans="2:26" x14ac:dyDescent="0.35">
      <c r="B264" t="s">
        <v>491</v>
      </c>
      <c r="C264" t="s">
        <v>491</v>
      </c>
      <c r="E264" t="s">
        <v>4</v>
      </c>
      <c r="G264" t="s">
        <v>448</v>
      </c>
      <c r="H264" t="s">
        <v>14</v>
      </c>
      <c r="I264" s="98">
        <v>-500000</v>
      </c>
      <c r="J264">
        <v>99.423000000000002</v>
      </c>
      <c r="L264">
        <v>0</v>
      </c>
      <c r="M264">
        <v>-13</v>
      </c>
      <c r="O264">
        <v>0</v>
      </c>
      <c r="P264">
        <v>0</v>
      </c>
      <c r="Q264">
        <v>0</v>
      </c>
      <c r="R264">
        <v>0</v>
      </c>
      <c r="S264" s="98">
        <v>497117</v>
      </c>
      <c r="U264">
        <v>99.423000000000002</v>
      </c>
      <c r="V264" s="98">
        <v>-500000</v>
      </c>
      <c r="W264" t="s">
        <v>449</v>
      </c>
      <c r="X264" t="s">
        <v>10</v>
      </c>
      <c r="Y264">
        <v>0</v>
      </c>
      <c r="Z264">
        <v>0</v>
      </c>
    </row>
    <row r="265" spans="2:26" x14ac:dyDescent="0.35">
      <c r="B265" t="s">
        <v>492</v>
      </c>
      <c r="C265" t="s">
        <v>492</v>
      </c>
      <c r="E265" t="s">
        <v>4</v>
      </c>
      <c r="G265" t="s">
        <v>448</v>
      </c>
      <c r="H265" t="s">
        <v>14</v>
      </c>
      <c r="I265" s="98">
        <v>-5800000</v>
      </c>
      <c r="J265">
        <v>112.925</v>
      </c>
      <c r="L265">
        <v>0</v>
      </c>
      <c r="M265">
        <v>-173</v>
      </c>
      <c r="O265">
        <v>0</v>
      </c>
      <c r="P265">
        <v>0</v>
      </c>
      <c r="Q265">
        <v>0</v>
      </c>
      <c r="R265">
        <v>0</v>
      </c>
      <c r="S265" s="98">
        <v>6548167</v>
      </c>
      <c r="U265">
        <v>112.925</v>
      </c>
      <c r="V265" s="98">
        <v>-5800000</v>
      </c>
      <c r="W265" t="s">
        <v>449</v>
      </c>
      <c r="X265" t="s">
        <v>10</v>
      </c>
      <c r="Y265">
        <v>0</v>
      </c>
      <c r="Z265">
        <v>0</v>
      </c>
    </row>
    <row r="266" spans="2:26" x14ac:dyDescent="0.35">
      <c r="B266" t="s">
        <v>494</v>
      </c>
      <c r="C266" t="s">
        <v>494</v>
      </c>
      <c r="E266" t="s">
        <v>4</v>
      </c>
      <c r="G266" t="s">
        <v>448</v>
      </c>
      <c r="H266" t="s">
        <v>14</v>
      </c>
      <c r="I266" s="98">
        <v>-3400000</v>
      </c>
      <c r="J266">
        <v>121.708</v>
      </c>
      <c r="L266">
        <v>0</v>
      </c>
      <c r="M266">
        <v>-108</v>
      </c>
      <c r="O266">
        <v>0</v>
      </c>
      <c r="P266">
        <v>0</v>
      </c>
      <c r="Q266">
        <v>0</v>
      </c>
      <c r="R266">
        <v>0</v>
      </c>
      <c r="S266" s="98">
        <v>4021755</v>
      </c>
      <c r="U266">
        <v>121.708</v>
      </c>
      <c r="V266" s="98">
        <v>-3400000</v>
      </c>
      <c r="W266" t="s">
        <v>449</v>
      </c>
      <c r="X266" t="s">
        <v>10</v>
      </c>
      <c r="Y266">
        <v>0</v>
      </c>
      <c r="Z266">
        <v>0</v>
      </c>
    </row>
    <row r="267" spans="2:26" x14ac:dyDescent="0.35">
      <c r="B267" t="s">
        <v>496</v>
      </c>
      <c r="C267" t="s">
        <v>496</v>
      </c>
      <c r="E267" t="s">
        <v>4</v>
      </c>
      <c r="G267" t="s">
        <v>448</v>
      </c>
      <c r="H267" t="s">
        <v>14</v>
      </c>
      <c r="I267" s="98">
        <v>-1500000</v>
      </c>
      <c r="J267">
        <v>113.435</v>
      </c>
      <c r="L267">
        <v>0</v>
      </c>
      <c r="M267">
        <v>-45</v>
      </c>
      <c r="O267">
        <v>0</v>
      </c>
      <c r="P267">
        <v>0</v>
      </c>
      <c r="Q267">
        <v>0</v>
      </c>
      <c r="R267">
        <v>0</v>
      </c>
      <c r="S267" s="98">
        <v>1690274</v>
      </c>
      <c r="U267">
        <v>113.435</v>
      </c>
      <c r="V267" s="98">
        <v>-1500000</v>
      </c>
      <c r="W267" t="s">
        <v>449</v>
      </c>
      <c r="X267" t="s">
        <v>10</v>
      </c>
      <c r="Y267">
        <v>0</v>
      </c>
      <c r="Z267">
        <v>0</v>
      </c>
    </row>
    <row r="268" spans="2:26" x14ac:dyDescent="0.35">
      <c r="B268" t="s">
        <v>497</v>
      </c>
      <c r="C268" t="s">
        <v>497</v>
      </c>
      <c r="E268" t="s">
        <v>283</v>
      </c>
      <c r="G268" t="s">
        <v>448</v>
      </c>
      <c r="H268" t="s">
        <v>14</v>
      </c>
      <c r="I268" s="98">
        <v>200000</v>
      </c>
      <c r="J268">
        <v>78.147999999999996</v>
      </c>
      <c r="L268">
        <v>0</v>
      </c>
      <c r="M268">
        <v>-2</v>
      </c>
      <c r="O268">
        <v>0</v>
      </c>
      <c r="P268">
        <v>0</v>
      </c>
      <c r="Q268">
        <v>0</v>
      </c>
      <c r="R268">
        <v>0</v>
      </c>
      <c r="S268" s="98">
        <v>-172939</v>
      </c>
      <c r="U268">
        <v>78.147999999999996</v>
      </c>
      <c r="V268" s="98">
        <v>200000</v>
      </c>
      <c r="W268" t="s">
        <v>449</v>
      </c>
      <c r="X268" t="s">
        <v>10</v>
      </c>
      <c r="Y268">
        <v>0</v>
      </c>
      <c r="Z268">
        <v>0</v>
      </c>
    </row>
    <row r="269" spans="2:26" x14ac:dyDescent="0.35">
      <c r="B269" t="s">
        <v>850</v>
      </c>
      <c r="C269" t="s">
        <v>850</v>
      </c>
      <c r="E269" t="s">
        <v>283</v>
      </c>
      <c r="G269" t="s">
        <v>448</v>
      </c>
      <c r="H269" t="s">
        <v>14</v>
      </c>
      <c r="I269" s="98">
        <v>-3200000</v>
      </c>
      <c r="J269">
        <v>112.3</v>
      </c>
      <c r="L269">
        <v>0</v>
      </c>
      <c r="M269">
        <v>-38</v>
      </c>
      <c r="O269">
        <v>0</v>
      </c>
      <c r="P269">
        <v>0</v>
      </c>
      <c r="Q269">
        <v>0</v>
      </c>
      <c r="R269">
        <v>0</v>
      </c>
      <c r="S269" s="98">
        <v>3976269</v>
      </c>
      <c r="U269">
        <v>112.3</v>
      </c>
      <c r="V269" s="98">
        <v>-3200000</v>
      </c>
      <c r="W269" t="s">
        <v>449</v>
      </c>
      <c r="X269" t="s">
        <v>10</v>
      </c>
      <c r="Y269">
        <v>0</v>
      </c>
      <c r="Z269">
        <v>0</v>
      </c>
    </row>
    <row r="270" spans="2:26" x14ac:dyDescent="0.35">
      <c r="B270" t="s">
        <v>498</v>
      </c>
      <c r="C270" t="s">
        <v>498</v>
      </c>
      <c r="E270" t="s">
        <v>4</v>
      </c>
      <c r="G270" t="s">
        <v>448</v>
      </c>
      <c r="H270" t="s">
        <v>14</v>
      </c>
      <c r="I270" s="98">
        <v>-500000</v>
      </c>
      <c r="J270">
        <v>100.142</v>
      </c>
      <c r="L270">
        <v>0</v>
      </c>
      <c r="M270">
        <v>-13</v>
      </c>
      <c r="O270">
        <v>0</v>
      </c>
      <c r="P270">
        <v>0</v>
      </c>
      <c r="Q270">
        <v>0</v>
      </c>
      <c r="R270">
        <v>0</v>
      </c>
      <c r="S270" s="98">
        <v>500708</v>
      </c>
      <c r="U270">
        <v>100.142</v>
      </c>
      <c r="V270" s="98">
        <v>-500000</v>
      </c>
      <c r="W270" t="s">
        <v>449</v>
      </c>
      <c r="X270" t="s">
        <v>10</v>
      </c>
      <c r="Y270">
        <v>0</v>
      </c>
      <c r="Z270">
        <v>0</v>
      </c>
    </row>
    <row r="271" spans="2:26" x14ac:dyDescent="0.35">
      <c r="B271" t="s">
        <v>499</v>
      </c>
      <c r="C271" t="s">
        <v>499</v>
      </c>
      <c r="E271" t="s">
        <v>4</v>
      </c>
      <c r="G271" t="s">
        <v>448</v>
      </c>
      <c r="H271" t="s">
        <v>14</v>
      </c>
      <c r="I271" s="98">
        <v>-900000</v>
      </c>
      <c r="J271">
        <v>117.274</v>
      </c>
      <c r="L271">
        <v>0</v>
      </c>
      <c r="M271">
        <v>-28</v>
      </c>
      <c r="O271">
        <v>0</v>
      </c>
      <c r="P271">
        <v>0</v>
      </c>
      <c r="Q271">
        <v>0</v>
      </c>
      <c r="R271">
        <v>0</v>
      </c>
      <c r="S271" s="98">
        <v>1055468</v>
      </c>
      <c r="U271">
        <v>117.274</v>
      </c>
      <c r="V271" s="98">
        <v>-900000</v>
      </c>
      <c r="W271" t="s">
        <v>449</v>
      </c>
      <c r="X271" t="s">
        <v>10</v>
      </c>
      <c r="Y271">
        <v>0</v>
      </c>
      <c r="Z271">
        <v>0</v>
      </c>
    </row>
    <row r="272" spans="2:26" x14ac:dyDescent="0.35">
      <c r="B272" t="s">
        <v>500</v>
      </c>
      <c r="C272" t="s">
        <v>500</v>
      </c>
      <c r="E272" t="s">
        <v>4</v>
      </c>
      <c r="G272" t="s">
        <v>448</v>
      </c>
      <c r="H272" t="s">
        <v>14</v>
      </c>
      <c r="I272" s="98">
        <v>-2000000</v>
      </c>
      <c r="J272">
        <v>111.211</v>
      </c>
      <c r="L272">
        <v>0</v>
      </c>
      <c r="M272">
        <v>-59</v>
      </c>
      <c r="O272">
        <v>0</v>
      </c>
      <c r="P272">
        <v>0</v>
      </c>
      <c r="Q272">
        <v>0</v>
      </c>
      <c r="R272">
        <v>0</v>
      </c>
      <c r="S272" s="98">
        <v>2224228</v>
      </c>
      <c r="U272">
        <v>111.211</v>
      </c>
      <c r="V272" s="98">
        <v>-2000000</v>
      </c>
      <c r="W272" t="s">
        <v>449</v>
      </c>
      <c r="X272" t="s">
        <v>10</v>
      </c>
      <c r="Y272">
        <v>0</v>
      </c>
      <c r="Z272">
        <v>0</v>
      </c>
    </row>
    <row r="273" spans="2:26" x14ac:dyDescent="0.35">
      <c r="B273" t="s">
        <v>501</v>
      </c>
      <c r="C273" t="s">
        <v>501</v>
      </c>
      <c r="E273" t="s">
        <v>4</v>
      </c>
      <c r="G273" t="s">
        <v>448</v>
      </c>
      <c r="H273" t="s">
        <v>14</v>
      </c>
      <c r="I273" s="98">
        <v>6500000</v>
      </c>
      <c r="J273">
        <v>80.831000000000003</v>
      </c>
      <c r="L273">
        <v>0</v>
      </c>
      <c r="M273">
        <v>43</v>
      </c>
      <c r="O273">
        <v>0</v>
      </c>
      <c r="P273">
        <v>0</v>
      </c>
      <c r="Q273">
        <v>0</v>
      </c>
      <c r="R273">
        <v>0</v>
      </c>
      <c r="S273" s="98">
        <v>-5216250</v>
      </c>
      <c r="U273">
        <v>80.831000000000003</v>
      </c>
      <c r="V273" s="98">
        <v>6500000</v>
      </c>
      <c r="W273" t="s">
        <v>449</v>
      </c>
      <c r="X273" t="s">
        <v>10</v>
      </c>
      <c r="Y273">
        <v>0</v>
      </c>
      <c r="Z273">
        <v>0</v>
      </c>
    </row>
    <row r="274" spans="2:26" x14ac:dyDescent="0.35">
      <c r="B274" t="s">
        <v>502</v>
      </c>
      <c r="C274" t="s">
        <v>502</v>
      </c>
      <c r="E274" t="s">
        <v>4</v>
      </c>
      <c r="G274" t="s">
        <v>448</v>
      </c>
      <c r="H274" t="s">
        <v>14</v>
      </c>
      <c r="I274" s="98">
        <v>1500000</v>
      </c>
      <c r="J274">
        <v>87.034999999999997</v>
      </c>
      <c r="L274">
        <v>0</v>
      </c>
      <c r="M274">
        <v>9</v>
      </c>
      <c r="O274">
        <v>0</v>
      </c>
      <c r="P274">
        <v>0</v>
      </c>
      <c r="Q274">
        <v>0</v>
      </c>
      <c r="R274">
        <v>0</v>
      </c>
      <c r="S274" s="98">
        <v>-1305523</v>
      </c>
      <c r="U274">
        <v>87.034999999999997</v>
      </c>
      <c r="V274" s="98">
        <v>1500000</v>
      </c>
      <c r="W274" t="s">
        <v>449</v>
      </c>
      <c r="X274" t="s">
        <v>10</v>
      </c>
      <c r="Y274">
        <v>0</v>
      </c>
      <c r="Z274">
        <v>0</v>
      </c>
    </row>
    <row r="275" spans="2:26" x14ac:dyDescent="0.35">
      <c r="B275" t="s">
        <v>503</v>
      </c>
      <c r="C275" t="s">
        <v>503</v>
      </c>
      <c r="E275" t="s">
        <v>4</v>
      </c>
      <c r="G275" t="s">
        <v>448</v>
      </c>
      <c r="H275" t="s">
        <v>14</v>
      </c>
      <c r="I275" s="98">
        <v>-14200000</v>
      </c>
      <c r="J275">
        <v>103.113</v>
      </c>
      <c r="L275">
        <v>0</v>
      </c>
      <c r="M275">
        <v>-395</v>
      </c>
      <c r="O275">
        <v>0</v>
      </c>
      <c r="P275">
        <v>0</v>
      </c>
      <c r="Q275">
        <v>0</v>
      </c>
      <c r="R275">
        <v>0</v>
      </c>
      <c r="S275" s="98">
        <v>14650069</v>
      </c>
      <c r="U275">
        <v>103.113</v>
      </c>
      <c r="V275" s="98">
        <v>-14200000</v>
      </c>
      <c r="W275" t="s">
        <v>449</v>
      </c>
      <c r="X275" t="s">
        <v>10</v>
      </c>
      <c r="Y275">
        <v>0</v>
      </c>
      <c r="Z275">
        <v>0</v>
      </c>
    </row>
    <row r="276" spans="2:26" x14ac:dyDescent="0.35">
      <c r="B276" t="s">
        <v>504</v>
      </c>
      <c r="C276" t="s">
        <v>504</v>
      </c>
      <c r="E276" t="s">
        <v>4</v>
      </c>
      <c r="G276" t="s">
        <v>448</v>
      </c>
      <c r="H276" t="s">
        <v>14</v>
      </c>
      <c r="I276" s="98">
        <v>-3300000</v>
      </c>
      <c r="J276">
        <v>106.14100000000001</v>
      </c>
      <c r="L276">
        <v>0</v>
      </c>
      <c r="M276">
        <v>-93</v>
      </c>
      <c r="O276">
        <v>0</v>
      </c>
      <c r="P276">
        <v>0</v>
      </c>
      <c r="Q276">
        <v>0</v>
      </c>
      <c r="R276">
        <v>0</v>
      </c>
      <c r="S276" s="98">
        <v>3505320</v>
      </c>
      <c r="U276">
        <v>106.14100000000001</v>
      </c>
      <c r="V276" s="98">
        <v>-3300000</v>
      </c>
      <c r="W276" t="s">
        <v>449</v>
      </c>
      <c r="X276" t="s">
        <v>10</v>
      </c>
      <c r="Y276">
        <v>0</v>
      </c>
      <c r="Z276">
        <v>0</v>
      </c>
    </row>
    <row r="277" spans="2:26" x14ac:dyDescent="0.35">
      <c r="B277" t="s">
        <v>505</v>
      </c>
      <c r="C277" t="s">
        <v>505</v>
      </c>
      <c r="E277" t="s">
        <v>4</v>
      </c>
      <c r="G277" t="s">
        <v>448</v>
      </c>
      <c r="H277" t="s">
        <v>14</v>
      </c>
      <c r="I277" s="98">
        <v>2600000</v>
      </c>
      <c r="J277">
        <v>97.450999999999993</v>
      </c>
      <c r="L277">
        <v>0</v>
      </c>
      <c r="M277">
        <v>18</v>
      </c>
      <c r="O277">
        <v>0</v>
      </c>
      <c r="P277">
        <v>0</v>
      </c>
      <c r="Q277">
        <v>0</v>
      </c>
      <c r="R277">
        <v>0</v>
      </c>
      <c r="S277" s="98">
        <v>-2533732</v>
      </c>
      <c r="U277">
        <v>97.450999999999993</v>
      </c>
      <c r="V277" s="98">
        <v>2600000</v>
      </c>
      <c r="W277" t="s">
        <v>449</v>
      </c>
      <c r="X277" t="s">
        <v>10</v>
      </c>
      <c r="Y277">
        <v>0</v>
      </c>
      <c r="Z277">
        <v>0</v>
      </c>
    </row>
    <row r="278" spans="2:26" x14ac:dyDescent="0.35">
      <c r="B278" t="s">
        <v>506</v>
      </c>
      <c r="C278" t="s">
        <v>506</v>
      </c>
      <c r="E278" t="s">
        <v>4</v>
      </c>
      <c r="G278" t="s">
        <v>448</v>
      </c>
      <c r="H278" t="s">
        <v>14</v>
      </c>
      <c r="I278" s="98">
        <v>-2600000</v>
      </c>
      <c r="J278">
        <v>107.90600000000001</v>
      </c>
      <c r="L278">
        <v>0</v>
      </c>
      <c r="M278">
        <v>-74</v>
      </c>
      <c r="O278">
        <v>0</v>
      </c>
      <c r="P278">
        <v>0</v>
      </c>
      <c r="Q278">
        <v>0</v>
      </c>
      <c r="R278">
        <v>0</v>
      </c>
      <c r="S278" s="98">
        <v>2807123</v>
      </c>
      <c r="U278">
        <v>107.90600000000001</v>
      </c>
      <c r="V278" s="98">
        <v>-2600000</v>
      </c>
      <c r="W278" t="s">
        <v>449</v>
      </c>
      <c r="X278" t="s">
        <v>10</v>
      </c>
      <c r="Y278">
        <v>0</v>
      </c>
      <c r="Z278">
        <v>0</v>
      </c>
    </row>
    <row r="279" spans="2:26" x14ac:dyDescent="0.35">
      <c r="B279" t="s">
        <v>555</v>
      </c>
      <c r="C279" t="s">
        <v>555</v>
      </c>
      <c r="E279" t="s">
        <v>4</v>
      </c>
      <c r="G279" t="s">
        <v>448</v>
      </c>
      <c r="H279" t="s">
        <v>14</v>
      </c>
      <c r="I279" s="98">
        <v>-1425000</v>
      </c>
      <c r="J279">
        <v>109.372</v>
      </c>
      <c r="L279">
        <v>0</v>
      </c>
      <c r="M279">
        <v>-41</v>
      </c>
      <c r="O279">
        <v>0</v>
      </c>
      <c r="P279">
        <v>0</v>
      </c>
      <c r="Q279">
        <v>0</v>
      </c>
      <c r="R279">
        <v>0</v>
      </c>
      <c r="S279" s="98">
        <v>1555544</v>
      </c>
      <c r="U279">
        <v>109.372</v>
      </c>
      <c r="V279" s="98">
        <v>-1425000</v>
      </c>
      <c r="W279" t="s">
        <v>449</v>
      </c>
      <c r="X279" t="s">
        <v>10</v>
      </c>
      <c r="Y279">
        <v>0</v>
      </c>
      <c r="Z279">
        <v>0</v>
      </c>
    </row>
    <row r="280" spans="2:26" x14ac:dyDescent="0.35">
      <c r="B280" t="s">
        <v>508</v>
      </c>
      <c r="C280" t="s">
        <v>508</v>
      </c>
      <c r="E280" t="s">
        <v>283</v>
      </c>
      <c r="G280" t="s">
        <v>448</v>
      </c>
      <c r="H280" t="s">
        <v>14</v>
      </c>
      <c r="I280" s="98">
        <v>1650000</v>
      </c>
      <c r="J280">
        <v>77.162000000000006</v>
      </c>
      <c r="L280">
        <v>-5</v>
      </c>
      <c r="M280">
        <v>-16</v>
      </c>
      <c r="O280">
        <v>0</v>
      </c>
      <c r="P280">
        <v>0</v>
      </c>
      <c r="Q280">
        <v>0</v>
      </c>
      <c r="R280">
        <v>0</v>
      </c>
      <c r="S280" s="98">
        <v>-1414494</v>
      </c>
      <c r="U280">
        <v>77.162000000000006</v>
      </c>
      <c r="V280" s="98">
        <v>1650000</v>
      </c>
      <c r="W280" t="s">
        <v>449</v>
      </c>
      <c r="X280" t="s">
        <v>10</v>
      </c>
      <c r="Y280">
        <v>0</v>
      </c>
      <c r="Z280">
        <v>0</v>
      </c>
    </row>
    <row r="281" spans="2:26" x14ac:dyDescent="0.35">
      <c r="B281" t="s">
        <v>510</v>
      </c>
      <c r="C281" t="s">
        <v>510</v>
      </c>
      <c r="E281" t="s">
        <v>4</v>
      </c>
      <c r="G281" t="s">
        <v>448</v>
      </c>
      <c r="H281" t="s">
        <v>14</v>
      </c>
      <c r="I281" s="98">
        <v>-2900000</v>
      </c>
      <c r="J281">
        <v>101.392</v>
      </c>
      <c r="L281">
        <v>0</v>
      </c>
      <c r="M281">
        <v>-77</v>
      </c>
      <c r="O281">
        <v>0</v>
      </c>
      <c r="P281">
        <v>0</v>
      </c>
      <c r="Q281">
        <v>0</v>
      </c>
      <c r="R281">
        <v>0</v>
      </c>
      <c r="S281" s="98">
        <v>2905676</v>
      </c>
      <c r="U281">
        <v>101.392</v>
      </c>
      <c r="V281" s="98">
        <v>-2900000</v>
      </c>
      <c r="W281" t="s">
        <v>449</v>
      </c>
      <c r="X281" t="s">
        <v>10</v>
      </c>
      <c r="Y281">
        <v>0</v>
      </c>
      <c r="Z281">
        <v>0</v>
      </c>
    </row>
    <row r="282" spans="2:26" x14ac:dyDescent="0.35">
      <c r="B282" t="s">
        <v>511</v>
      </c>
      <c r="C282" t="s">
        <v>511</v>
      </c>
      <c r="E282" t="s">
        <v>266</v>
      </c>
      <c r="G282" t="s">
        <v>448</v>
      </c>
      <c r="H282" t="s">
        <v>14</v>
      </c>
      <c r="I282" s="98">
        <v>-200000</v>
      </c>
      <c r="J282">
        <v>106.42700000000001</v>
      </c>
      <c r="L282">
        <v>0</v>
      </c>
      <c r="M282">
        <v>-1</v>
      </c>
      <c r="O282">
        <v>0</v>
      </c>
      <c r="P282">
        <v>0</v>
      </c>
      <c r="Q282">
        <v>0</v>
      </c>
      <c r="R282">
        <v>0</v>
      </c>
      <c r="S282" s="98">
        <v>179245</v>
      </c>
      <c r="U282">
        <v>106.42700000000001</v>
      </c>
      <c r="V282" s="98">
        <v>-200000</v>
      </c>
      <c r="W282" t="s">
        <v>449</v>
      </c>
      <c r="X282" t="s">
        <v>10</v>
      </c>
      <c r="Y282">
        <v>0</v>
      </c>
      <c r="Z282">
        <v>0</v>
      </c>
    </row>
    <row r="283" spans="2:26" x14ac:dyDescent="0.35">
      <c r="B283" t="s">
        <v>512</v>
      </c>
      <c r="C283" t="s">
        <v>512</v>
      </c>
      <c r="E283" t="s">
        <v>4</v>
      </c>
      <c r="G283" t="s">
        <v>448</v>
      </c>
      <c r="H283" t="s">
        <v>14</v>
      </c>
      <c r="I283" s="98">
        <v>-1515000</v>
      </c>
      <c r="J283">
        <v>117.57299999999999</v>
      </c>
      <c r="L283">
        <v>0</v>
      </c>
      <c r="M283">
        <v>-47</v>
      </c>
      <c r="O283">
        <v>0</v>
      </c>
      <c r="P283">
        <v>0</v>
      </c>
      <c r="Q283">
        <v>0</v>
      </c>
      <c r="R283">
        <v>0</v>
      </c>
      <c r="S283" s="98">
        <v>1781227</v>
      </c>
      <c r="U283">
        <v>117.57299999999999</v>
      </c>
      <c r="V283" s="98">
        <v>-1515000</v>
      </c>
      <c r="W283" t="s">
        <v>449</v>
      </c>
      <c r="X283" t="s">
        <v>10</v>
      </c>
      <c r="Y283">
        <v>0</v>
      </c>
      <c r="Z283">
        <v>0</v>
      </c>
    </row>
    <row r="284" spans="2:26" x14ac:dyDescent="0.35">
      <c r="B284" t="s">
        <v>556</v>
      </c>
      <c r="C284" t="s">
        <v>556</v>
      </c>
      <c r="E284" t="s">
        <v>4</v>
      </c>
      <c r="G284" t="s">
        <v>448</v>
      </c>
      <c r="H284" t="s">
        <v>14</v>
      </c>
      <c r="I284" s="98">
        <v>-3931000</v>
      </c>
      <c r="J284">
        <v>102.751</v>
      </c>
      <c r="L284">
        <v>0</v>
      </c>
      <c r="M284">
        <v>-106</v>
      </c>
      <c r="O284">
        <v>0</v>
      </c>
      <c r="P284">
        <v>0</v>
      </c>
      <c r="Q284">
        <v>0</v>
      </c>
      <c r="R284">
        <v>0</v>
      </c>
      <c r="S284" s="98">
        <v>4032914</v>
      </c>
      <c r="U284">
        <v>102.751</v>
      </c>
      <c r="V284" s="98">
        <v>-3931000</v>
      </c>
      <c r="W284" t="s">
        <v>449</v>
      </c>
      <c r="X284" t="s">
        <v>10</v>
      </c>
      <c r="Y284">
        <v>0</v>
      </c>
      <c r="Z284">
        <v>0</v>
      </c>
    </row>
    <row r="285" spans="2:26" x14ac:dyDescent="0.35">
      <c r="B285" t="s">
        <v>557</v>
      </c>
      <c r="C285" t="s">
        <v>557</v>
      </c>
      <c r="E285" t="s">
        <v>4</v>
      </c>
      <c r="G285" t="s">
        <v>448</v>
      </c>
      <c r="H285" t="s">
        <v>14</v>
      </c>
      <c r="I285" s="98">
        <v>-1700000</v>
      </c>
      <c r="J285">
        <v>99.82</v>
      </c>
      <c r="L285">
        <v>0</v>
      </c>
      <c r="M285">
        <v>-45</v>
      </c>
      <c r="O285">
        <v>0</v>
      </c>
      <c r="P285">
        <v>0</v>
      </c>
      <c r="Q285">
        <v>0</v>
      </c>
      <c r="R285">
        <v>0</v>
      </c>
      <c r="S285" s="98">
        <v>1696933</v>
      </c>
      <c r="U285">
        <v>99.82</v>
      </c>
      <c r="V285" s="98">
        <v>-1700000</v>
      </c>
      <c r="W285" t="s">
        <v>449</v>
      </c>
      <c r="X285" t="s">
        <v>10</v>
      </c>
      <c r="Y285">
        <v>0</v>
      </c>
      <c r="Z285">
        <v>0</v>
      </c>
    </row>
    <row r="286" spans="2:26" x14ac:dyDescent="0.35">
      <c r="B286" t="s">
        <v>514</v>
      </c>
      <c r="C286" t="s">
        <v>514</v>
      </c>
      <c r="E286" t="s">
        <v>4</v>
      </c>
      <c r="G286" t="s">
        <v>448</v>
      </c>
      <c r="H286" t="s">
        <v>14</v>
      </c>
      <c r="I286" s="98">
        <v>-5300000</v>
      </c>
      <c r="J286">
        <v>107.11499999999999</v>
      </c>
      <c r="L286">
        <v>0</v>
      </c>
      <c r="M286">
        <v>-150</v>
      </c>
      <c r="O286">
        <v>0</v>
      </c>
      <c r="P286">
        <v>0</v>
      </c>
      <c r="Q286">
        <v>0</v>
      </c>
      <c r="R286">
        <v>0</v>
      </c>
      <c r="S286" s="98">
        <v>5677079</v>
      </c>
      <c r="U286">
        <v>107.11499999999999</v>
      </c>
      <c r="V286" s="98">
        <v>-5300000</v>
      </c>
      <c r="W286" t="s">
        <v>449</v>
      </c>
      <c r="X286" t="s">
        <v>10</v>
      </c>
      <c r="Y286">
        <v>0</v>
      </c>
      <c r="Z286">
        <v>0</v>
      </c>
    </row>
    <row r="287" spans="2:26" x14ac:dyDescent="0.35">
      <c r="B287" t="s">
        <v>515</v>
      </c>
      <c r="C287" t="s">
        <v>515</v>
      </c>
      <c r="E287" t="s">
        <v>283</v>
      </c>
      <c r="G287" t="s">
        <v>448</v>
      </c>
      <c r="H287" t="s">
        <v>14</v>
      </c>
      <c r="I287" s="98">
        <v>-100000</v>
      </c>
      <c r="J287">
        <v>117.73099999999999</v>
      </c>
      <c r="L287">
        <v>0</v>
      </c>
      <c r="M287">
        <v>-1</v>
      </c>
      <c r="O287">
        <v>0</v>
      </c>
      <c r="P287">
        <v>0</v>
      </c>
      <c r="Q287">
        <v>0</v>
      </c>
      <c r="R287">
        <v>0</v>
      </c>
      <c r="S287" s="98">
        <v>130268</v>
      </c>
      <c r="U287">
        <v>117.73099999999999</v>
      </c>
      <c r="V287" s="98">
        <v>-100000</v>
      </c>
      <c r="W287" t="s">
        <v>449</v>
      </c>
      <c r="X287" t="s">
        <v>10</v>
      </c>
      <c r="Y287">
        <v>0</v>
      </c>
      <c r="Z287">
        <v>0</v>
      </c>
    </row>
    <row r="288" spans="2:26" x14ac:dyDescent="0.35">
      <c r="B288" t="s">
        <v>516</v>
      </c>
      <c r="C288" t="s">
        <v>516</v>
      </c>
      <c r="E288" t="s">
        <v>4</v>
      </c>
      <c r="G288" t="s">
        <v>448</v>
      </c>
      <c r="H288" t="s">
        <v>14</v>
      </c>
      <c r="I288" s="98">
        <v>-1000000</v>
      </c>
      <c r="J288">
        <v>110.545</v>
      </c>
      <c r="L288">
        <v>0</v>
      </c>
      <c r="M288">
        <v>-29</v>
      </c>
      <c r="O288">
        <v>0</v>
      </c>
      <c r="P288">
        <v>0</v>
      </c>
      <c r="Q288">
        <v>0</v>
      </c>
      <c r="R288">
        <v>0</v>
      </c>
      <c r="S288" s="98">
        <v>1105446</v>
      </c>
      <c r="U288">
        <v>110.545</v>
      </c>
      <c r="V288" s="98">
        <v>-1000000</v>
      </c>
      <c r="W288" t="s">
        <v>449</v>
      </c>
      <c r="X288" t="s">
        <v>10</v>
      </c>
      <c r="Y288">
        <v>0</v>
      </c>
      <c r="Z288">
        <v>0</v>
      </c>
    </row>
    <row r="289" spans="2:26" x14ac:dyDescent="0.35">
      <c r="B289" t="s">
        <v>517</v>
      </c>
      <c r="C289" t="s">
        <v>517</v>
      </c>
      <c r="E289" t="s">
        <v>4</v>
      </c>
      <c r="G289" t="s">
        <v>448</v>
      </c>
      <c r="H289" t="s">
        <v>14</v>
      </c>
      <c r="I289" s="98">
        <v>-1400000</v>
      </c>
      <c r="J289">
        <v>110.98399999999999</v>
      </c>
      <c r="L289">
        <v>0</v>
      </c>
      <c r="M289">
        <v>-41</v>
      </c>
      <c r="O289">
        <v>0</v>
      </c>
      <c r="P289">
        <v>0</v>
      </c>
      <c r="Q289">
        <v>0</v>
      </c>
      <c r="R289">
        <v>0</v>
      </c>
      <c r="S289" s="98">
        <v>1553771</v>
      </c>
      <c r="U289">
        <v>110.98399999999999</v>
      </c>
      <c r="V289" s="98">
        <v>-1400000</v>
      </c>
      <c r="W289" t="s">
        <v>449</v>
      </c>
      <c r="X289" t="s">
        <v>10</v>
      </c>
      <c r="Y289">
        <v>0</v>
      </c>
      <c r="Z289">
        <v>0</v>
      </c>
    </row>
    <row r="290" spans="2:26" x14ac:dyDescent="0.35">
      <c r="B290" t="s">
        <v>518</v>
      </c>
      <c r="C290" t="s">
        <v>518</v>
      </c>
      <c r="E290" t="s">
        <v>4</v>
      </c>
      <c r="G290" t="s">
        <v>448</v>
      </c>
      <c r="H290" t="s">
        <v>14</v>
      </c>
      <c r="I290" s="98">
        <v>-2300000</v>
      </c>
      <c r="J290">
        <v>113.47499999999999</v>
      </c>
      <c r="L290">
        <v>0</v>
      </c>
      <c r="M290">
        <v>-69</v>
      </c>
      <c r="O290">
        <v>0</v>
      </c>
      <c r="P290">
        <v>0</v>
      </c>
      <c r="Q290">
        <v>0</v>
      </c>
      <c r="R290">
        <v>0</v>
      </c>
      <c r="S290" s="98">
        <v>2609923</v>
      </c>
      <c r="U290">
        <v>113.47499999999999</v>
      </c>
      <c r="V290" s="98">
        <v>-2300000</v>
      </c>
      <c r="W290" t="s">
        <v>449</v>
      </c>
      <c r="X290" t="s">
        <v>10</v>
      </c>
      <c r="Y290">
        <v>0</v>
      </c>
      <c r="Z290">
        <v>0</v>
      </c>
    </row>
    <row r="291" spans="2:26" x14ac:dyDescent="0.35">
      <c r="B291" t="s">
        <v>519</v>
      </c>
      <c r="C291" t="s">
        <v>519</v>
      </c>
      <c r="E291" t="s">
        <v>4</v>
      </c>
      <c r="G291" t="s">
        <v>448</v>
      </c>
      <c r="H291" t="s">
        <v>14</v>
      </c>
      <c r="I291" s="98">
        <v>-1535000</v>
      </c>
      <c r="J291">
        <v>111.629</v>
      </c>
      <c r="L291">
        <v>0</v>
      </c>
      <c r="M291">
        <v>-45</v>
      </c>
      <c r="O291">
        <v>0</v>
      </c>
      <c r="P291">
        <v>0</v>
      </c>
      <c r="Q291">
        <v>0</v>
      </c>
      <c r="R291">
        <v>0</v>
      </c>
      <c r="S291" s="98">
        <v>1713499</v>
      </c>
      <c r="U291">
        <v>111.629</v>
      </c>
      <c r="V291" s="98">
        <v>-1535000</v>
      </c>
      <c r="W291" t="s">
        <v>449</v>
      </c>
      <c r="X291" t="s">
        <v>10</v>
      </c>
      <c r="Y291">
        <v>0</v>
      </c>
      <c r="Z291">
        <v>0</v>
      </c>
    </row>
    <row r="292" spans="2:26" x14ac:dyDescent="0.35">
      <c r="B292" t="s">
        <v>520</v>
      </c>
      <c r="C292" t="s">
        <v>520</v>
      </c>
      <c r="E292" t="s">
        <v>4</v>
      </c>
      <c r="G292" t="s">
        <v>448</v>
      </c>
      <c r="H292" t="s">
        <v>14</v>
      </c>
      <c r="I292" s="98">
        <v>-1285000</v>
      </c>
      <c r="J292">
        <v>107.17</v>
      </c>
      <c r="L292">
        <v>0</v>
      </c>
      <c r="M292">
        <v>-37</v>
      </c>
      <c r="O292">
        <v>0</v>
      </c>
      <c r="P292">
        <v>0</v>
      </c>
      <c r="Q292">
        <v>0</v>
      </c>
      <c r="R292">
        <v>0</v>
      </c>
      <c r="S292" s="98">
        <v>1384515</v>
      </c>
      <c r="U292">
        <v>107.17</v>
      </c>
      <c r="V292" s="98">
        <v>-1285000</v>
      </c>
      <c r="W292" t="s">
        <v>449</v>
      </c>
      <c r="X292" t="s">
        <v>10</v>
      </c>
      <c r="Y292">
        <v>0</v>
      </c>
      <c r="Z292">
        <v>0</v>
      </c>
    </row>
    <row r="293" spans="2:26" x14ac:dyDescent="0.35">
      <c r="B293" t="s">
        <v>521</v>
      </c>
      <c r="C293" t="s">
        <v>521</v>
      </c>
      <c r="E293" t="s">
        <v>4</v>
      </c>
      <c r="G293" t="s">
        <v>448</v>
      </c>
      <c r="H293" t="s">
        <v>14</v>
      </c>
      <c r="I293" s="98">
        <v>-1565000</v>
      </c>
      <c r="J293">
        <v>101.015</v>
      </c>
      <c r="L293">
        <v>0</v>
      </c>
      <c r="M293">
        <v>-42</v>
      </c>
      <c r="O293">
        <v>0</v>
      </c>
      <c r="P293">
        <v>0</v>
      </c>
      <c r="Q293">
        <v>0</v>
      </c>
      <c r="R293">
        <v>0</v>
      </c>
      <c r="S293" s="98">
        <v>1581576</v>
      </c>
      <c r="U293">
        <v>101.015</v>
      </c>
      <c r="V293" s="98">
        <v>-1565000</v>
      </c>
      <c r="W293" t="s">
        <v>449</v>
      </c>
      <c r="X293" t="s">
        <v>10</v>
      </c>
      <c r="Y293">
        <v>0</v>
      </c>
      <c r="Z293">
        <v>0</v>
      </c>
    </row>
    <row r="294" spans="2:26" x14ac:dyDescent="0.35">
      <c r="B294" t="s">
        <v>522</v>
      </c>
      <c r="C294" t="s">
        <v>522</v>
      </c>
      <c r="E294" t="s">
        <v>4</v>
      </c>
      <c r="G294" t="s">
        <v>448</v>
      </c>
      <c r="H294" t="s">
        <v>14</v>
      </c>
      <c r="I294" s="98">
        <v>-3850000</v>
      </c>
      <c r="J294">
        <v>108.73099999999999</v>
      </c>
      <c r="L294">
        <v>0</v>
      </c>
      <c r="M294">
        <v>-110</v>
      </c>
      <c r="O294">
        <v>0</v>
      </c>
      <c r="P294">
        <v>0</v>
      </c>
      <c r="Q294">
        <v>0</v>
      </c>
      <c r="R294">
        <v>0</v>
      </c>
      <c r="S294" s="98">
        <v>4186157</v>
      </c>
      <c r="U294">
        <v>108.73099999999999</v>
      </c>
      <c r="V294" s="98">
        <v>-3850000</v>
      </c>
      <c r="W294" t="s">
        <v>449</v>
      </c>
      <c r="X294" t="s">
        <v>10</v>
      </c>
      <c r="Y294">
        <v>0</v>
      </c>
      <c r="Z294">
        <v>0</v>
      </c>
    </row>
    <row r="295" spans="2:26" x14ac:dyDescent="0.35">
      <c r="B295" t="s">
        <v>523</v>
      </c>
      <c r="C295" t="s">
        <v>523</v>
      </c>
      <c r="E295" t="s">
        <v>4</v>
      </c>
      <c r="G295" t="s">
        <v>448</v>
      </c>
      <c r="H295" t="s">
        <v>14</v>
      </c>
      <c r="I295" s="98">
        <v>-2850000</v>
      </c>
      <c r="J295">
        <v>105.789</v>
      </c>
      <c r="L295">
        <v>0</v>
      </c>
      <c r="M295">
        <v>-80</v>
      </c>
      <c r="O295">
        <v>0</v>
      </c>
      <c r="P295">
        <v>0</v>
      </c>
      <c r="Q295">
        <v>0</v>
      </c>
      <c r="R295">
        <v>0</v>
      </c>
      <c r="S295" s="98">
        <v>3016798</v>
      </c>
      <c r="U295">
        <v>105.789</v>
      </c>
      <c r="V295" s="98">
        <v>-2850000</v>
      </c>
      <c r="W295" t="s">
        <v>449</v>
      </c>
      <c r="X295" t="s">
        <v>10</v>
      </c>
      <c r="Y295">
        <v>0</v>
      </c>
      <c r="Z295">
        <v>0</v>
      </c>
    </row>
    <row r="296" spans="2:26" x14ac:dyDescent="0.35">
      <c r="B296" t="s">
        <v>524</v>
      </c>
      <c r="C296" t="s">
        <v>524</v>
      </c>
      <c r="E296" t="s">
        <v>4</v>
      </c>
      <c r="G296" t="s">
        <v>448</v>
      </c>
      <c r="H296" t="s">
        <v>14</v>
      </c>
      <c r="I296" s="98">
        <v>1000000</v>
      </c>
      <c r="J296">
        <v>110.819</v>
      </c>
      <c r="L296">
        <v>0</v>
      </c>
      <c r="M296">
        <v>8</v>
      </c>
      <c r="O296">
        <v>0</v>
      </c>
      <c r="P296">
        <v>0</v>
      </c>
      <c r="Q296">
        <v>0</v>
      </c>
      <c r="R296">
        <v>0</v>
      </c>
      <c r="S296" s="98">
        <v>-1108192</v>
      </c>
      <c r="U296">
        <v>110.819</v>
      </c>
      <c r="V296" s="98">
        <v>1000000</v>
      </c>
      <c r="W296" t="s">
        <v>449</v>
      </c>
      <c r="X296" t="s">
        <v>10</v>
      </c>
      <c r="Y296">
        <v>0</v>
      </c>
      <c r="Z296">
        <v>0</v>
      </c>
    </row>
    <row r="297" spans="2:26" x14ac:dyDescent="0.35">
      <c r="B297" t="s">
        <v>875</v>
      </c>
      <c r="C297" t="s">
        <v>875</v>
      </c>
      <c r="E297" t="s">
        <v>4</v>
      </c>
      <c r="G297" t="s">
        <v>448</v>
      </c>
      <c r="H297" t="s">
        <v>14</v>
      </c>
      <c r="I297" s="98">
        <v>1000000</v>
      </c>
      <c r="J297">
        <v>84.078999999999994</v>
      </c>
      <c r="L297">
        <v>0</v>
      </c>
      <c r="M297">
        <v>6</v>
      </c>
      <c r="O297">
        <v>0</v>
      </c>
      <c r="P297">
        <v>0</v>
      </c>
      <c r="Q297">
        <v>0</v>
      </c>
      <c r="R297">
        <v>0</v>
      </c>
      <c r="S297" s="98">
        <v>-840788</v>
      </c>
      <c r="U297">
        <v>84.078999999999994</v>
      </c>
      <c r="V297" s="98">
        <v>1000000</v>
      </c>
      <c r="W297" t="s">
        <v>449</v>
      </c>
      <c r="X297" t="s">
        <v>10</v>
      </c>
      <c r="Y297">
        <v>0</v>
      </c>
      <c r="Z297">
        <v>0</v>
      </c>
    </row>
    <row r="298" spans="2:26" x14ac:dyDescent="0.35">
      <c r="B298" t="s">
        <v>526</v>
      </c>
      <c r="C298" t="s">
        <v>526</v>
      </c>
      <c r="E298" t="s">
        <v>4</v>
      </c>
      <c r="G298" t="s">
        <v>448</v>
      </c>
      <c r="H298" t="s">
        <v>14</v>
      </c>
      <c r="I298" s="98">
        <v>1400000</v>
      </c>
      <c r="J298">
        <v>83.626999999999995</v>
      </c>
      <c r="L298">
        <v>0</v>
      </c>
      <c r="M298">
        <v>10</v>
      </c>
      <c r="O298">
        <v>0</v>
      </c>
      <c r="P298">
        <v>0</v>
      </c>
      <c r="Q298">
        <v>0</v>
      </c>
      <c r="R298">
        <v>0</v>
      </c>
      <c r="S298" s="98">
        <v>-1170775</v>
      </c>
      <c r="U298">
        <v>83.626999999999995</v>
      </c>
      <c r="V298" s="98">
        <v>1400000</v>
      </c>
      <c r="W298" t="s">
        <v>449</v>
      </c>
      <c r="X298" t="s">
        <v>10</v>
      </c>
      <c r="Y298">
        <v>0</v>
      </c>
      <c r="Z298">
        <v>0</v>
      </c>
    </row>
    <row r="299" spans="2:26" x14ac:dyDescent="0.35">
      <c r="B299" t="s">
        <v>527</v>
      </c>
      <c r="C299" t="s">
        <v>527</v>
      </c>
      <c r="E299" t="s">
        <v>4</v>
      </c>
      <c r="G299" t="s">
        <v>448</v>
      </c>
      <c r="H299" t="s">
        <v>14</v>
      </c>
      <c r="I299" s="98">
        <v>3398000</v>
      </c>
      <c r="J299">
        <v>82.2</v>
      </c>
      <c r="L299">
        <v>0</v>
      </c>
      <c r="M299">
        <v>19</v>
      </c>
      <c r="O299">
        <v>0</v>
      </c>
      <c r="P299">
        <v>0</v>
      </c>
      <c r="Q299">
        <v>0</v>
      </c>
      <c r="R299">
        <v>0</v>
      </c>
      <c r="S299" s="98">
        <v>-2793155</v>
      </c>
      <c r="U299">
        <v>82.2</v>
      </c>
      <c r="V299" s="98">
        <v>3398000</v>
      </c>
      <c r="W299" t="s">
        <v>449</v>
      </c>
      <c r="X299" t="s">
        <v>10</v>
      </c>
      <c r="Y299">
        <v>0</v>
      </c>
      <c r="Z299">
        <v>0</v>
      </c>
    </row>
    <row r="300" spans="2:26" x14ac:dyDescent="0.35">
      <c r="B300" t="s">
        <v>528</v>
      </c>
      <c r="C300" t="s">
        <v>528</v>
      </c>
      <c r="E300" t="s">
        <v>4</v>
      </c>
      <c r="G300" t="s">
        <v>448</v>
      </c>
      <c r="H300" t="s">
        <v>14</v>
      </c>
      <c r="I300" s="98">
        <v>3000000</v>
      </c>
      <c r="J300">
        <v>94.385999999999996</v>
      </c>
      <c r="L300">
        <v>0</v>
      </c>
      <c r="M300">
        <v>20</v>
      </c>
      <c r="O300">
        <v>0</v>
      </c>
      <c r="P300">
        <v>0</v>
      </c>
      <c r="Q300">
        <v>0</v>
      </c>
      <c r="R300">
        <v>0</v>
      </c>
      <c r="S300" s="98">
        <v>-2831582</v>
      </c>
      <c r="U300">
        <v>94.385999999999996</v>
      </c>
      <c r="V300" s="98">
        <v>3000000</v>
      </c>
      <c r="W300" t="s">
        <v>449</v>
      </c>
      <c r="X300" t="s">
        <v>10</v>
      </c>
      <c r="Y300">
        <v>0</v>
      </c>
      <c r="Z300">
        <v>0</v>
      </c>
    </row>
    <row r="301" spans="2:26" x14ac:dyDescent="0.35">
      <c r="B301" t="s">
        <v>874</v>
      </c>
      <c r="C301" t="s">
        <v>874</v>
      </c>
      <c r="E301" t="s">
        <v>4</v>
      </c>
      <c r="G301" t="s">
        <v>448</v>
      </c>
      <c r="H301" t="s">
        <v>14</v>
      </c>
      <c r="I301" s="98">
        <v>1859000</v>
      </c>
      <c r="J301">
        <v>88.408000000000001</v>
      </c>
      <c r="L301">
        <v>0</v>
      </c>
      <c r="M301">
        <v>11</v>
      </c>
      <c r="O301">
        <v>0</v>
      </c>
      <c r="P301">
        <v>0</v>
      </c>
      <c r="Q301">
        <v>0</v>
      </c>
      <c r="R301">
        <v>0</v>
      </c>
      <c r="S301" s="98">
        <v>-1643510</v>
      </c>
      <c r="U301">
        <v>88.408000000000001</v>
      </c>
      <c r="V301" s="98">
        <v>1859000</v>
      </c>
      <c r="W301" t="s">
        <v>449</v>
      </c>
      <c r="X301" t="s">
        <v>10</v>
      </c>
      <c r="Y301">
        <v>0</v>
      </c>
      <c r="Z301">
        <v>0</v>
      </c>
    </row>
    <row r="302" spans="2:26" x14ac:dyDescent="0.35">
      <c r="B302" t="s">
        <v>529</v>
      </c>
      <c r="C302" t="s">
        <v>529</v>
      </c>
      <c r="E302" t="s">
        <v>4</v>
      </c>
      <c r="G302" t="s">
        <v>448</v>
      </c>
      <c r="H302" t="s">
        <v>14</v>
      </c>
      <c r="I302" s="98">
        <v>7800000</v>
      </c>
      <c r="J302">
        <v>73.561999999999998</v>
      </c>
      <c r="L302">
        <v>0</v>
      </c>
      <c r="M302">
        <v>40</v>
      </c>
      <c r="O302">
        <v>0</v>
      </c>
      <c r="P302">
        <v>0</v>
      </c>
      <c r="Q302">
        <v>0</v>
      </c>
      <c r="R302">
        <v>0</v>
      </c>
      <c r="S302" s="98">
        <v>-5693132</v>
      </c>
      <c r="U302">
        <v>73.561999999999998</v>
      </c>
      <c r="V302" s="98">
        <v>7800000</v>
      </c>
      <c r="W302" t="s">
        <v>449</v>
      </c>
      <c r="X302" t="s">
        <v>10</v>
      </c>
      <c r="Y302">
        <v>0</v>
      </c>
      <c r="Z302">
        <v>0</v>
      </c>
    </row>
    <row r="303" spans="2:26" x14ac:dyDescent="0.35">
      <c r="B303" t="s">
        <v>904</v>
      </c>
      <c r="C303" t="s">
        <v>904</v>
      </c>
      <c r="E303" t="s">
        <v>4</v>
      </c>
      <c r="G303" t="s">
        <v>448</v>
      </c>
      <c r="H303" t="s">
        <v>14</v>
      </c>
      <c r="I303" s="98">
        <v>-6900000</v>
      </c>
      <c r="J303">
        <v>106.79600000000001</v>
      </c>
      <c r="L303">
        <v>0</v>
      </c>
      <c r="M303">
        <v>-194</v>
      </c>
      <c r="O303">
        <v>0</v>
      </c>
      <c r="P303">
        <v>0</v>
      </c>
      <c r="Q303">
        <v>0</v>
      </c>
      <c r="R303">
        <v>0</v>
      </c>
      <c r="S303" s="98">
        <v>7368931</v>
      </c>
      <c r="U303">
        <v>106.79600000000001</v>
      </c>
      <c r="V303" s="98">
        <v>-6900000</v>
      </c>
      <c r="W303" t="s">
        <v>449</v>
      </c>
      <c r="X303" t="s">
        <v>10</v>
      </c>
      <c r="Y303">
        <v>0</v>
      </c>
      <c r="Z303">
        <v>0</v>
      </c>
    </row>
    <row r="304" spans="2:26" x14ac:dyDescent="0.35">
      <c r="B304" t="s">
        <v>530</v>
      </c>
      <c r="C304" t="s">
        <v>530</v>
      </c>
      <c r="E304" t="s">
        <v>4</v>
      </c>
      <c r="G304" t="s">
        <v>448</v>
      </c>
      <c r="H304" t="s">
        <v>14</v>
      </c>
      <c r="I304" s="98">
        <v>-200000</v>
      </c>
      <c r="J304">
        <v>115.47</v>
      </c>
      <c r="L304">
        <v>0</v>
      </c>
      <c r="M304">
        <v>-6</v>
      </c>
      <c r="O304">
        <v>0</v>
      </c>
      <c r="P304">
        <v>0</v>
      </c>
      <c r="Q304">
        <v>0</v>
      </c>
      <c r="R304">
        <v>0</v>
      </c>
      <c r="S304" s="98">
        <v>230940</v>
      </c>
      <c r="U304">
        <v>115.47</v>
      </c>
      <c r="V304" s="98">
        <v>-200000</v>
      </c>
      <c r="W304" t="s">
        <v>449</v>
      </c>
      <c r="X304" t="s">
        <v>10</v>
      </c>
      <c r="Y304">
        <v>0</v>
      </c>
      <c r="Z304">
        <v>0</v>
      </c>
    </row>
    <row r="305" spans="2:26" x14ac:dyDescent="0.35">
      <c r="B305" t="s">
        <v>531</v>
      </c>
      <c r="C305" t="s">
        <v>531</v>
      </c>
      <c r="E305" t="s">
        <v>4</v>
      </c>
      <c r="G305" t="s">
        <v>448</v>
      </c>
      <c r="H305" t="s">
        <v>14</v>
      </c>
      <c r="I305" s="98">
        <v>1000000</v>
      </c>
      <c r="J305">
        <v>84.569000000000003</v>
      </c>
      <c r="L305">
        <v>0</v>
      </c>
      <c r="M305">
        <v>6</v>
      </c>
      <c r="O305">
        <v>0</v>
      </c>
      <c r="P305">
        <v>0</v>
      </c>
      <c r="Q305">
        <v>0</v>
      </c>
      <c r="R305">
        <v>0</v>
      </c>
      <c r="S305" s="98">
        <v>-845692</v>
      </c>
      <c r="U305">
        <v>84.569000000000003</v>
      </c>
      <c r="V305" s="98">
        <v>1000000</v>
      </c>
      <c r="W305" t="s">
        <v>449</v>
      </c>
      <c r="X305" t="s">
        <v>10</v>
      </c>
      <c r="Y305">
        <v>0</v>
      </c>
      <c r="Z305">
        <v>0</v>
      </c>
    </row>
    <row r="306" spans="2:26" x14ac:dyDescent="0.35">
      <c r="B306" t="s">
        <v>558</v>
      </c>
      <c r="C306" t="s">
        <v>558</v>
      </c>
      <c r="E306" t="s">
        <v>4</v>
      </c>
      <c r="G306" t="s">
        <v>448</v>
      </c>
      <c r="H306" t="s">
        <v>14</v>
      </c>
      <c r="I306" s="98">
        <v>4400000</v>
      </c>
      <c r="J306">
        <v>75.930000000000007</v>
      </c>
      <c r="L306">
        <v>0</v>
      </c>
      <c r="M306">
        <v>23</v>
      </c>
      <c r="O306">
        <v>0</v>
      </c>
      <c r="P306">
        <v>0</v>
      </c>
      <c r="Q306">
        <v>0</v>
      </c>
      <c r="R306">
        <v>0</v>
      </c>
      <c r="S306" s="98">
        <v>-3340911</v>
      </c>
      <c r="U306">
        <v>75.930000000000007</v>
      </c>
      <c r="V306" s="98">
        <v>4400000</v>
      </c>
      <c r="W306" t="s">
        <v>449</v>
      </c>
      <c r="X306" t="s">
        <v>10</v>
      </c>
      <c r="Y306">
        <v>0</v>
      </c>
      <c r="Z306">
        <v>0</v>
      </c>
    </row>
    <row r="307" spans="2:26" x14ac:dyDescent="0.35">
      <c r="B307" t="s">
        <v>532</v>
      </c>
      <c r="C307" t="s">
        <v>532</v>
      </c>
      <c r="E307" t="s">
        <v>4</v>
      </c>
      <c r="G307" t="s">
        <v>448</v>
      </c>
      <c r="H307" t="s">
        <v>14</v>
      </c>
      <c r="I307" s="98">
        <v>1000000</v>
      </c>
      <c r="J307">
        <v>90.463999999999999</v>
      </c>
      <c r="L307">
        <v>0</v>
      </c>
      <c r="M307">
        <v>6</v>
      </c>
      <c r="O307">
        <v>0</v>
      </c>
      <c r="P307">
        <v>0</v>
      </c>
      <c r="Q307">
        <v>0</v>
      </c>
      <c r="R307">
        <v>0</v>
      </c>
      <c r="S307" s="98">
        <v>-904638</v>
      </c>
      <c r="U307">
        <v>90.463999999999999</v>
      </c>
      <c r="V307" s="98">
        <v>1000000</v>
      </c>
      <c r="W307" t="s">
        <v>449</v>
      </c>
      <c r="X307" t="s">
        <v>10</v>
      </c>
      <c r="Y307">
        <v>0</v>
      </c>
      <c r="Z307">
        <v>0</v>
      </c>
    </row>
    <row r="308" spans="2:26" x14ac:dyDescent="0.35">
      <c r="B308" t="s">
        <v>559</v>
      </c>
      <c r="C308" t="s">
        <v>559</v>
      </c>
      <c r="E308" t="s">
        <v>266</v>
      </c>
      <c r="G308" t="s">
        <v>448</v>
      </c>
      <c r="H308" t="s">
        <v>14</v>
      </c>
      <c r="I308" s="98">
        <v>900000</v>
      </c>
      <c r="J308">
        <v>80.483000000000004</v>
      </c>
      <c r="L308">
        <v>0</v>
      </c>
      <c r="M308">
        <v>-7</v>
      </c>
      <c r="O308">
        <v>0</v>
      </c>
      <c r="P308">
        <v>0</v>
      </c>
      <c r="Q308">
        <v>0</v>
      </c>
      <c r="R308">
        <v>0</v>
      </c>
      <c r="S308" s="98">
        <v>-609975</v>
      </c>
      <c r="U308">
        <v>80.483000000000004</v>
      </c>
      <c r="V308" s="98">
        <v>900000</v>
      </c>
      <c r="W308" t="s">
        <v>449</v>
      </c>
      <c r="X308" t="s">
        <v>10</v>
      </c>
      <c r="Y308">
        <v>0</v>
      </c>
      <c r="Z308">
        <v>0</v>
      </c>
    </row>
    <row r="309" spans="2:26" x14ac:dyDescent="0.35">
      <c r="B309" t="s">
        <v>533</v>
      </c>
      <c r="C309" t="s">
        <v>533</v>
      </c>
      <c r="E309" t="s">
        <v>266</v>
      </c>
      <c r="G309" t="s">
        <v>448</v>
      </c>
      <c r="H309" t="s">
        <v>14</v>
      </c>
      <c r="I309" s="98">
        <v>1000000</v>
      </c>
      <c r="J309">
        <v>82.039000000000001</v>
      </c>
      <c r="L309">
        <v>0</v>
      </c>
      <c r="M309">
        <v>-8</v>
      </c>
      <c r="O309">
        <v>0</v>
      </c>
      <c r="P309">
        <v>0</v>
      </c>
      <c r="Q309">
        <v>0</v>
      </c>
      <c r="R309">
        <v>0</v>
      </c>
      <c r="S309" s="98">
        <v>-690854</v>
      </c>
      <c r="U309">
        <v>82.039000000000001</v>
      </c>
      <c r="V309" s="98">
        <v>1000000</v>
      </c>
      <c r="W309" t="s">
        <v>449</v>
      </c>
      <c r="X309" t="s">
        <v>10</v>
      </c>
      <c r="Y309">
        <v>0</v>
      </c>
      <c r="Z309">
        <v>0</v>
      </c>
    </row>
    <row r="310" spans="2:26" x14ac:dyDescent="0.35">
      <c r="B310" t="s">
        <v>534</v>
      </c>
      <c r="C310" t="s">
        <v>534</v>
      </c>
      <c r="E310" t="s">
        <v>266</v>
      </c>
      <c r="G310" t="s">
        <v>448</v>
      </c>
      <c r="H310" t="s">
        <v>14</v>
      </c>
      <c r="I310" s="98">
        <v>500000</v>
      </c>
      <c r="J310">
        <v>80.766000000000005</v>
      </c>
      <c r="L310">
        <v>0</v>
      </c>
      <c r="M310">
        <v>-4</v>
      </c>
      <c r="O310">
        <v>0</v>
      </c>
      <c r="P310">
        <v>0</v>
      </c>
      <c r="Q310">
        <v>0</v>
      </c>
      <c r="R310">
        <v>0</v>
      </c>
      <c r="S310" s="98">
        <v>-340066</v>
      </c>
      <c r="U310">
        <v>80.766000000000005</v>
      </c>
      <c r="V310" s="98">
        <v>500000</v>
      </c>
      <c r="W310" t="s">
        <v>449</v>
      </c>
      <c r="X310" t="s">
        <v>10</v>
      </c>
      <c r="Y310">
        <v>0</v>
      </c>
      <c r="Z310">
        <v>0</v>
      </c>
    </row>
    <row r="311" spans="2:26" x14ac:dyDescent="0.35">
      <c r="B311" t="s">
        <v>535</v>
      </c>
      <c r="C311" t="s">
        <v>535</v>
      </c>
      <c r="E311" t="s">
        <v>4</v>
      </c>
      <c r="G311" t="s">
        <v>448</v>
      </c>
      <c r="H311" t="s">
        <v>14</v>
      </c>
      <c r="I311" s="98">
        <v>-3200000</v>
      </c>
      <c r="J311">
        <v>105.78</v>
      </c>
      <c r="L311">
        <v>0</v>
      </c>
      <c r="M311">
        <v>-89</v>
      </c>
      <c r="O311">
        <v>0</v>
      </c>
      <c r="P311">
        <v>0</v>
      </c>
      <c r="Q311">
        <v>0</v>
      </c>
      <c r="R311">
        <v>0</v>
      </c>
      <c r="S311" s="98">
        <v>3384956</v>
      </c>
      <c r="U311">
        <v>105.78</v>
      </c>
      <c r="V311" s="98">
        <v>-3200000</v>
      </c>
      <c r="W311" t="s">
        <v>449</v>
      </c>
      <c r="X311" t="s">
        <v>10</v>
      </c>
      <c r="Y311">
        <v>0</v>
      </c>
      <c r="Z311">
        <v>0</v>
      </c>
    </row>
    <row r="312" spans="2:26" x14ac:dyDescent="0.35">
      <c r="B312" t="s">
        <v>536</v>
      </c>
      <c r="C312" t="s">
        <v>536</v>
      </c>
      <c r="E312" t="s">
        <v>4</v>
      </c>
      <c r="G312" t="s">
        <v>448</v>
      </c>
      <c r="H312" t="s">
        <v>14</v>
      </c>
      <c r="I312" s="98">
        <v>-2855000</v>
      </c>
      <c r="J312">
        <v>124.699</v>
      </c>
      <c r="L312">
        <v>0</v>
      </c>
      <c r="M312">
        <v>-94</v>
      </c>
      <c r="O312">
        <v>0</v>
      </c>
      <c r="P312">
        <v>0</v>
      </c>
      <c r="Q312">
        <v>0</v>
      </c>
      <c r="R312">
        <v>0</v>
      </c>
      <c r="S312" s="98">
        <v>3560152</v>
      </c>
      <c r="U312">
        <v>124.699</v>
      </c>
      <c r="V312" s="98">
        <v>-2855000</v>
      </c>
      <c r="W312" t="s">
        <v>449</v>
      </c>
      <c r="X312" t="s">
        <v>10</v>
      </c>
      <c r="Y312">
        <v>0</v>
      </c>
      <c r="Z312">
        <v>0</v>
      </c>
    </row>
    <row r="313" spans="2:26" x14ac:dyDescent="0.35">
      <c r="B313" t="s">
        <v>537</v>
      </c>
      <c r="C313" t="s">
        <v>537</v>
      </c>
      <c r="E313" t="s">
        <v>4</v>
      </c>
      <c r="G313" t="s">
        <v>448</v>
      </c>
      <c r="H313" t="s">
        <v>14</v>
      </c>
      <c r="I313" s="98">
        <v>-500000</v>
      </c>
      <c r="J313">
        <v>103.294</v>
      </c>
      <c r="L313">
        <v>0</v>
      </c>
      <c r="M313">
        <v>-14</v>
      </c>
      <c r="O313">
        <v>0</v>
      </c>
      <c r="P313">
        <v>0</v>
      </c>
      <c r="Q313">
        <v>0</v>
      </c>
      <c r="R313">
        <v>0</v>
      </c>
      <c r="S313" s="98">
        <v>516469</v>
      </c>
      <c r="U313">
        <v>103.294</v>
      </c>
      <c r="V313" s="98">
        <v>-500000</v>
      </c>
      <c r="W313" t="s">
        <v>449</v>
      </c>
      <c r="X313" t="s">
        <v>10</v>
      </c>
      <c r="Y313">
        <v>0</v>
      </c>
      <c r="Z313">
        <v>0</v>
      </c>
    </row>
    <row r="314" spans="2:26" x14ac:dyDescent="0.35">
      <c r="B314" t="s">
        <v>539</v>
      </c>
      <c r="C314" t="s">
        <v>539</v>
      </c>
      <c r="E314" t="s">
        <v>4</v>
      </c>
      <c r="G314" t="s">
        <v>448</v>
      </c>
      <c r="H314" t="s">
        <v>14</v>
      </c>
      <c r="I314" s="98">
        <v>-1050000</v>
      </c>
      <c r="J314">
        <v>104.08499999999999</v>
      </c>
      <c r="L314">
        <v>0</v>
      </c>
      <c r="M314">
        <v>-29</v>
      </c>
      <c r="O314">
        <v>0</v>
      </c>
      <c r="P314">
        <v>0</v>
      </c>
      <c r="Q314">
        <v>0</v>
      </c>
      <c r="R314">
        <v>0</v>
      </c>
      <c r="S314" s="98">
        <v>1092897</v>
      </c>
      <c r="U314">
        <v>104.08499999999999</v>
      </c>
      <c r="V314" s="98">
        <v>-1050000</v>
      </c>
      <c r="W314" t="s">
        <v>449</v>
      </c>
      <c r="X314" t="s">
        <v>10</v>
      </c>
      <c r="Y314">
        <v>0</v>
      </c>
      <c r="Z314">
        <v>0</v>
      </c>
    </row>
    <row r="315" spans="2:26" x14ac:dyDescent="0.35">
      <c r="B315" t="s">
        <v>541</v>
      </c>
      <c r="C315" t="s">
        <v>541</v>
      </c>
      <c r="E315" t="s">
        <v>4</v>
      </c>
      <c r="G315" t="s">
        <v>448</v>
      </c>
      <c r="H315" t="s">
        <v>14</v>
      </c>
      <c r="I315" s="98">
        <v>3700000</v>
      </c>
      <c r="J315">
        <v>88.753</v>
      </c>
      <c r="L315">
        <v>0</v>
      </c>
      <c r="M315">
        <v>23</v>
      </c>
      <c r="O315">
        <v>0</v>
      </c>
      <c r="P315">
        <v>0</v>
      </c>
      <c r="Q315">
        <v>0</v>
      </c>
      <c r="R315">
        <v>0</v>
      </c>
      <c r="S315" s="98">
        <v>-3283879</v>
      </c>
      <c r="U315">
        <v>88.753</v>
      </c>
      <c r="V315" s="98">
        <v>3700000</v>
      </c>
      <c r="W315" t="s">
        <v>449</v>
      </c>
      <c r="X315" t="s">
        <v>10</v>
      </c>
      <c r="Y315">
        <v>0</v>
      </c>
      <c r="Z315">
        <v>0</v>
      </c>
    </row>
    <row r="316" spans="2:26" x14ac:dyDescent="0.35">
      <c r="B316" t="s">
        <v>542</v>
      </c>
      <c r="C316" t="s">
        <v>542</v>
      </c>
      <c r="E316" t="s">
        <v>4</v>
      </c>
      <c r="G316" t="s">
        <v>448</v>
      </c>
      <c r="H316" t="s">
        <v>14</v>
      </c>
      <c r="I316" s="98">
        <v>4000000</v>
      </c>
      <c r="J316">
        <v>78.334999999999994</v>
      </c>
      <c r="L316">
        <v>0</v>
      </c>
      <c r="M316">
        <v>22</v>
      </c>
      <c r="O316">
        <v>0</v>
      </c>
      <c r="P316">
        <v>0</v>
      </c>
      <c r="Q316">
        <v>0</v>
      </c>
      <c r="R316">
        <v>0</v>
      </c>
      <c r="S316" s="98">
        <v>-3133408</v>
      </c>
      <c r="U316">
        <v>78.334999999999994</v>
      </c>
      <c r="V316" s="98">
        <v>4000000</v>
      </c>
      <c r="W316" t="s">
        <v>449</v>
      </c>
      <c r="X316" t="s">
        <v>10</v>
      </c>
      <c r="Y316">
        <v>0</v>
      </c>
      <c r="Z316">
        <v>0</v>
      </c>
    </row>
    <row r="317" spans="2:26" x14ac:dyDescent="0.35">
      <c r="B317" t="s">
        <v>592</v>
      </c>
      <c r="C317" t="s">
        <v>592</v>
      </c>
      <c r="E317" t="s">
        <v>4</v>
      </c>
      <c r="G317" t="s">
        <v>448</v>
      </c>
      <c r="H317" t="s">
        <v>14</v>
      </c>
      <c r="I317" s="98">
        <v>-3000000</v>
      </c>
      <c r="J317">
        <v>119.152</v>
      </c>
      <c r="L317">
        <v>0</v>
      </c>
      <c r="M317">
        <v>-94</v>
      </c>
      <c r="O317">
        <v>0</v>
      </c>
      <c r="P317">
        <v>0</v>
      </c>
      <c r="Q317">
        <v>0</v>
      </c>
      <c r="R317">
        <v>0</v>
      </c>
      <c r="S317" s="98">
        <v>3571021</v>
      </c>
      <c r="U317">
        <v>119.152</v>
      </c>
      <c r="V317" s="98">
        <v>-3000000</v>
      </c>
      <c r="W317" t="s">
        <v>449</v>
      </c>
      <c r="X317" t="s">
        <v>10</v>
      </c>
      <c r="Y317">
        <v>0</v>
      </c>
      <c r="Z317">
        <v>0</v>
      </c>
    </row>
    <row r="318" spans="2:26" x14ac:dyDescent="0.35">
      <c r="B318" t="s">
        <v>589</v>
      </c>
      <c r="C318" t="s">
        <v>589</v>
      </c>
      <c r="E318" t="s">
        <v>4</v>
      </c>
      <c r="G318" t="s">
        <v>448</v>
      </c>
      <c r="H318" t="s">
        <v>14</v>
      </c>
      <c r="I318" s="98">
        <v>-500000</v>
      </c>
      <c r="J318">
        <v>104.19</v>
      </c>
      <c r="L318">
        <v>0</v>
      </c>
      <c r="M318">
        <v>-14</v>
      </c>
      <c r="O318">
        <v>0</v>
      </c>
      <c r="P318">
        <v>0</v>
      </c>
      <c r="Q318">
        <v>0</v>
      </c>
      <c r="R318">
        <v>0</v>
      </c>
      <c r="S318" s="98">
        <v>520948</v>
      </c>
      <c r="U318">
        <v>104.19</v>
      </c>
      <c r="V318" s="98">
        <v>-500000</v>
      </c>
      <c r="W318" t="s">
        <v>449</v>
      </c>
      <c r="X318" t="s">
        <v>10</v>
      </c>
      <c r="Y318">
        <v>0</v>
      </c>
      <c r="Z318">
        <v>0</v>
      </c>
    </row>
    <row r="319" spans="2:26" x14ac:dyDescent="0.35">
      <c r="B319" t="s">
        <v>1315</v>
      </c>
      <c r="C319" t="s">
        <v>1315</v>
      </c>
      <c r="E319" t="s">
        <v>4</v>
      </c>
      <c r="G319" t="s">
        <v>448</v>
      </c>
      <c r="H319" t="s">
        <v>14</v>
      </c>
      <c r="I319" s="98">
        <v>-1655000</v>
      </c>
      <c r="J319">
        <v>106.42700000000001</v>
      </c>
      <c r="L319">
        <v>0</v>
      </c>
      <c r="M319">
        <v>-46</v>
      </c>
      <c r="O319">
        <v>0</v>
      </c>
      <c r="P319">
        <v>0</v>
      </c>
      <c r="Q319">
        <v>0</v>
      </c>
      <c r="R319">
        <v>0</v>
      </c>
      <c r="S319" s="98">
        <v>1761359</v>
      </c>
      <c r="U319">
        <v>106.42700000000001</v>
      </c>
      <c r="V319" s="98">
        <v>-1655000</v>
      </c>
      <c r="W319" t="s">
        <v>449</v>
      </c>
      <c r="X319" t="s">
        <v>10</v>
      </c>
      <c r="Y319">
        <v>0</v>
      </c>
      <c r="Z319">
        <v>0</v>
      </c>
    </row>
    <row r="320" spans="2:26" x14ac:dyDescent="0.35">
      <c r="B320" t="s">
        <v>585</v>
      </c>
      <c r="C320" t="s">
        <v>585</v>
      </c>
      <c r="E320" t="s">
        <v>4</v>
      </c>
      <c r="G320" t="s">
        <v>448</v>
      </c>
      <c r="H320" t="s">
        <v>14</v>
      </c>
      <c r="I320" s="98">
        <v>-2000000</v>
      </c>
      <c r="J320">
        <v>116.19199999999999</v>
      </c>
      <c r="L320">
        <v>0</v>
      </c>
      <c r="M320">
        <v>-61</v>
      </c>
      <c r="O320">
        <v>0</v>
      </c>
      <c r="P320">
        <v>0</v>
      </c>
      <c r="Q320">
        <v>0</v>
      </c>
      <c r="R320">
        <v>0</v>
      </c>
      <c r="S320" s="98">
        <v>2324963</v>
      </c>
      <c r="U320">
        <v>116.19199999999999</v>
      </c>
      <c r="V320" s="98">
        <v>-2000000</v>
      </c>
      <c r="W320" t="s">
        <v>449</v>
      </c>
      <c r="X320" t="s">
        <v>10</v>
      </c>
      <c r="Y320">
        <v>0</v>
      </c>
      <c r="Z320">
        <v>0</v>
      </c>
    </row>
    <row r="321" spans="2:26" x14ac:dyDescent="0.35">
      <c r="B321" t="s">
        <v>586</v>
      </c>
      <c r="C321" t="s">
        <v>586</v>
      </c>
      <c r="E321" t="s">
        <v>4</v>
      </c>
      <c r="G321" t="s">
        <v>448</v>
      </c>
      <c r="H321" t="s">
        <v>14</v>
      </c>
      <c r="I321" s="98">
        <v>-1800000</v>
      </c>
      <c r="J321">
        <v>103.246</v>
      </c>
      <c r="L321">
        <v>0</v>
      </c>
      <c r="M321">
        <v>-49</v>
      </c>
      <c r="O321">
        <v>0</v>
      </c>
      <c r="P321">
        <v>0</v>
      </c>
      <c r="Q321">
        <v>0</v>
      </c>
      <c r="R321">
        <v>0</v>
      </c>
      <c r="S321" s="98">
        <v>1859903</v>
      </c>
      <c r="U321">
        <v>103.246</v>
      </c>
      <c r="V321" s="98">
        <v>-1800000</v>
      </c>
      <c r="W321" t="s">
        <v>449</v>
      </c>
      <c r="X321" t="s">
        <v>10</v>
      </c>
      <c r="Y321">
        <v>0</v>
      </c>
      <c r="Z321">
        <v>0</v>
      </c>
    </row>
    <row r="322" spans="2:26" x14ac:dyDescent="0.35">
      <c r="B322" t="s">
        <v>593</v>
      </c>
      <c r="C322" t="s">
        <v>593</v>
      </c>
      <c r="E322" t="s">
        <v>4</v>
      </c>
      <c r="G322" t="s">
        <v>448</v>
      </c>
      <c r="H322" t="s">
        <v>14</v>
      </c>
      <c r="I322" s="98">
        <v>-1000000</v>
      </c>
      <c r="J322">
        <v>107.11</v>
      </c>
      <c r="L322">
        <v>0</v>
      </c>
      <c r="M322">
        <v>-28</v>
      </c>
      <c r="O322">
        <v>0</v>
      </c>
      <c r="P322">
        <v>0</v>
      </c>
      <c r="Q322">
        <v>0</v>
      </c>
      <c r="R322">
        <v>0</v>
      </c>
      <c r="S322" s="98">
        <v>1071100</v>
      </c>
      <c r="U322">
        <v>107.11</v>
      </c>
      <c r="V322" s="98">
        <v>-1000000</v>
      </c>
      <c r="W322" t="s">
        <v>449</v>
      </c>
      <c r="X322" t="s">
        <v>10</v>
      </c>
      <c r="Y322">
        <v>0</v>
      </c>
      <c r="Z322">
        <v>0</v>
      </c>
    </row>
    <row r="323" spans="2:26" x14ac:dyDescent="0.35">
      <c r="B323" t="s">
        <v>588</v>
      </c>
      <c r="C323" t="s">
        <v>588</v>
      </c>
      <c r="E323" t="s">
        <v>4</v>
      </c>
      <c r="G323" t="s">
        <v>448</v>
      </c>
      <c r="H323" t="s">
        <v>14</v>
      </c>
      <c r="I323" s="98">
        <v>-2000000</v>
      </c>
      <c r="J323">
        <v>113.82599999999999</v>
      </c>
      <c r="L323">
        <v>0</v>
      </c>
      <c r="M323">
        <v>-60</v>
      </c>
      <c r="O323">
        <v>0</v>
      </c>
      <c r="P323">
        <v>0</v>
      </c>
      <c r="Q323">
        <v>0</v>
      </c>
      <c r="R323">
        <v>0</v>
      </c>
      <c r="S323" s="98">
        <v>2276523</v>
      </c>
      <c r="U323">
        <v>113.82599999999999</v>
      </c>
      <c r="V323" s="98">
        <v>-2000000</v>
      </c>
      <c r="W323" t="s">
        <v>449</v>
      </c>
      <c r="X323" t="s">
        <v>10</v>
      </c>
      <c r="Y323">
        <v>0</v>
      </c>
      <c r="Z323">
        <v>0</v>
      </c>
    </row>
    <row r="324" spans="2:26" x14ac:dyDescent="0.35">
      <c r="B324" t="s">
        <v>849</v>
      </c>
      <c r="C324" t="s">
        <v>849</v>
      </c>
      <c r="E324" t="s">
        <v>4</v>
      </c>
      <c r="G324" t="s">
        <v>448</v>
      </c>
      <c r="H324" t="s">
        <v>14</v>
      </c>
      <c r="I324">
        <v>0</v>
      </c>
      <c r="J324">
        <v>133.75</v>
      </c>
      <c r="L324">
        <v>0</v>
      </c>
      <c r="M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U324">
        <v>133.75</v>
      </c>
      <c r="V324">
        <v>0</v>
      </c>
      <c r="W324" t="s">
        <v>449</v>
      </c>
      <c r="X324" t="s">
        <v>10</v>
      </c>
      <c r="Y324">
        <v>0</v>
      </c>
      <c r="Z324">
        <v>0</v>
      </c>
    </row>
    <row r="325" spans="2:26" x14ac:dyDescent="0.35">
      <c r="B325" t="s">
        <v>848</v>
      </c>
      <c r="C325" t="s">
        <v>848</v>
      </c>
      <c r="E325" t="s">
        <v>4</v>
      </c>
      <c r="G325" t="s">
        <v>448</v>
      </c>
      <c r="H325" t="s">
        <v>14</v>
      </c>
      <c r="I325" s="98">
        <v>-4006000</v>
      </c>
      <c r="J325">
        <v>99.003</v>
      </c>
      <c r="L325">
        <v>0</v>
      </c>
      <c r="M325">
        <v>-121</v>
      </c>
      <c r="O325">
        <v>0</v>
      </c>
      <c r="P325">
        <v>0</v>
      </c>
      <c r="Q325">
        <v>0</v>
      </c>
      <c r="R325">
        <v>0</v>
      </c>
      <c r="S325" s="98">
        <v>3966069</v>
      </c>
      <c r="U325">
        <v>99.003</v>
      </c>
      <c r="V325" s="98">
        <v>-4006000</v>
      </c>
      <c r="W325" t="s">
        <v>449</v>
      </c>
      <c r="X325" t="s">
        <v>10</v>
      </c>
      <c r="Y325">
        <v>0</v>
      </c>
      <c r="Z325">
        <v>0</v>
      </c>
    </row>
    <row r="326" spans="2:26" x14ac:dyDescent="0.35">
      <c r="B326" t="s">
        <v>543</v>
      </c>
      <c r="C326" t="s">
        <v>543</v>
      </c>
      <c r="E326" t="s">
        <v>4</v>
      </c>
      <c r="G326" t="s">
        <v>448</v>
      </c>
      <c r="H326" t="s">
        <v>14</v>
      </c>
      <c r="I326">
        <v>0</v>
      </c>
      <c r="J326">
        <v>109.292</v>
      </c>
      <c r="L326">
        <v>0</v>
      </c>
      <c r="M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U326">
        <v>109.292</v>
      </c>
      <c r="V326">
        <v>0</v>
      </c>
      <c r="W326" t="s">
        <v>449</v>
      </c>
      <c r="X326" t="s">
        <v>10</v>
      </c>
      <c r="Y326">
        <v>0</v>
      </c>
      <c r="Z326">
        <v>0</v>
      </c>
    </row>
    <row r="327" spans="2:26" x14ac:dyDescent="0.35">
      <c r="B327" t="s">
        <v>851</v>
      </c>
      <c r="C327" t="s">
        <v>851</v>
      </c>
      <c r="E327" t="s">
        <v>4</v>
      </c>
      <c r="G327" t="s">
        <v>448</v>
      </c>
      <c r="H327" t="s">
        <v>14</v>
      </c>
      <c r="I327" s="98">
        <v>-4000000</v>
      </c>
      <c r="J327">
        <v>114.501</v>
      </c>
      <c r="L327">
        <v>0</v>
      </c>
      <c r="M327">
        <v>-121</v>
      </c>
      <c r="O327">
        <v>0</v>
      </c>
      <c r="P327">
        <v>0</v>
      </c>
      <c r="Q327">
        <v>0</v>
      </c>
      <c r="R327">
        <v>0</v>
      </c>
      <c r="S327" s="98">
        <v>4580033</v>
      </c>
      <c r="U327">
        <v>114.501</v>
      </c>
      <c r="V327" s="98">
        <v>-4000000</v>
      </c>
      <c r="W327" t="s">
        <v>449</v>
      </c>
      <c r="X327" t="s">
        <v>10</v>
      </c>
      <c r="Y327">
        <v>0</v>
      </c>
      <c r="Z327">
        <v>0</v>
      </c>
    </row>
    <row r="328" spans="2:26" x14ac:dyDescent="0.35">
      <c r="B328" t="s">
        <v>853</v>
      </c>
      <c r="C328" t="s">
        <v>853</v>
      </c>
      <c r="E328" t="s">
        <v>4</v>
      </c>
      <c r="G328" t="s">
        <v>448</v>
      </c>
      <c r="H328" t="s">
        <v>14</v>
      </c>
      <c r="I328">
        <v>0</v>
      </c>
      <c r="J328">
        <v>101.98699999999999</v>
      </c>
      <c r="L328">
        <v>0</v>
      </c>
      <c r="M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U328">
        <v>101.98699999999999</v>
      </c>
      <c r="V328">
        <v>0</v>
      </c>
      <c r="W328" t="s">
        <v>449</v>
      </c>
      <c r="X328" t="s">
        <v>10</v>
      </c>
      <c r="Y328">
        <v>0</v>
      </c>
      <c r="Z328">
        <v>0</v>
      </c>
    </row>
    <row r="329" spans="2:26" x14ac:dyDescent="0.35">
      <c r="B329" t="s">
        <v>852</v>
      </c>
      <c r="C329" t="s">
        <v>852</v>
      </c>
      <c r="E329" t="s">
        <v>4</v>
      </c>
      <c r="G329" t="s">
        <v>448</v>
      </c>
      <c r="H329" t="s">
        <v>14</v>
      </c>
      <c r="I329" s="98">
        <v>-6000000</v>
      </c>
      <c r="J329">
        <v>108.80500000000001</v>
      </c>
      <c r="L329">
        <v>0</v>
      </c>
      <c r="M329">
        <v>-172</v>
      </c>
      <c r="O329">
        <v>0</v>
      </c>
      <c r="P329">
        <v>0</v>
      </c>
      <c r="Q329">
        <v>0</v>
      </c>
      <c r="R329">
        <v>0</v>
      </c>
      <c r="S329" s="98">
        <v>6528309</v>
      </c>
      <c r="U329">
        <v>108.80500000000001</v>
      </c>
      <c r="V329" s="98">
        <v>-6000000</v>
      </c>
      <c r="W329" t="s">
        <v>449</v>
      </c>
      <c r="X329" t="s">
        <v>10</v>
      </c>
      <c r="Y329">
        <v>0</v>
      </c>
      <c r="Z329">
        <v>0</v>
      </c>
    </row>
    <row r="330" spans="2:26" x14ac:dyDescent="0.35">
      <c r="B330" t="s">
        <v>876</v>
      </c>
      <c r="C330" t="s">
        <v>876</v>
      </c>
      <c r="E330" t="s">
        <v>4</v>
      </c>
      <c r="G330" t="s">
        <v>448</v>
      </c>
      <c r="H330" t="s">
        <v>14</v>
      </c>
      <c r="I330" s="98">
        <v>15000000</v>
      </c>
      <c r="J330">
        <v>86.099000000000004</v>
      </c>
      <c r="L330">
        <v>0</v>
      </c>
      <c r="M330">
        <v>90</v>
      </c>
      <c r="O330">
        <v>0</v>
      </c>
      <c r="P330">
        <v>0</v>
      </c>
      <c r="Q330">
        <v>0</v>
      </c>
      <c r="R330">
        <v>0</v>
      </c>
      <c r="S330" s="98">
        <v>-12914827</v>
      </c>
      <c r="U330">
        <v>86.099000000000004</v>
      </c>
      <c r="V330" s="98">
        <v>15000000</v>
      </c>
      <c r="W330" t="s">
        <v>449</v>
      </c>
      <c r="X330" t="s">
        <v>10</v>
      </c>
      <c r="Y330">
        <v>0</v>
      </c>
      <c r="Z330">
        <v>0</v>
      </c>
    </row>
    <row r="331" spans="2:26" x14ac:dyDescent="0.35">
      <c r="B331" t="s">
        <v>879</v>
      </c>
      <c r="C331" t="s">
        <v>879</v>
      </c>
      <c r="E331" t="s">
        <v>266</v>
      </c>
      <c r="G331" t="s">
        <v>448</v>
      </c>
      <c r="H331" t="s">
        <v>14</v>
      </c>
      <c r="I331">
        <v>0</v>
      </c>
      <c r="J331">
        <v>79.402000000000001</v>
      </c>
      <c r="L331">
        <v>0</v>
      </c>
      <c r="M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U331">
        <v>79.402000000000001</v>
      </c>
      <c r="V331">
        <v>0</v>
      </c>
      <c r="W331" t="s">
        <v>449</v>
      </c>
      <c r="X331" t="s">
        <v>10</v>
      </c>
      <c r="Y331">
        <v>0</v>
      </c>
      <c r="Z331">
        <v>0</v>
      </c>
    </row>
    <row r="332" spans="2:26" x14ac:dyDescent="0.35">
      <c r="B332" t="s">
        <v>873</v>
      </c>
      <c r="C332" t="s">
        <v>873</v>
      </c>
      <c r="E332" t="s">
        <v>4</v>
      </c>
      <c r="G332" t="s">
        <v>448</v>
      </c>
      <c r="H332" t="s">
        <v>14</v>
      </c>
      <c r="I332" s="98">
        <v>4700000</v>
      </c>
      <c r="J332">
        <v>79.885999999999996</v>
      </c>
      <c r="L332">
        <v>0</v>
      </c>
      <c r="M332">
        <v>26</v>
      </c>
      <c r="O332">
        <v>0</v>
      </c>
      <c r="P332">
        <v>0</v>
      </c>
      <c r="Q332">
        <v>0</v>
      </c>
      <c r="R332">
        <v>0</v>
      </c>
      <c r="S332" s="98">
        <v>-3754644</v>
      </c>
      <c r="U332">
        <v>79.885999999999996</v>
      </c>
      <c r="V332" s="98">
        <v>4700000</v>
      </c>
      <c r="W332" t="s">
        <v>449</v>
      </c>
      <c r="X332" t="s">
        <v>10</v>
      </c>
      <c r="Y332">
        <v>0</v>
      </c>
      <c r="Z332">
        <v>0</v>
      </c>
    </row>
    <row r="333" spans="2:26" x14ac:dyDescent="0.35">
      <c r="B333" t="s">
        <v>453</v>
      </c>
      <c r="C333" t="s">
        <v>453</v>
      </c>
      <c r="E333" t="s">
        <v>4</v>
      </c>
      <c r="G333" t="s">
        <v>448</v>
      </c>
      <c r="H333" t="s">
        <v>14</v>
      </c>
      <c r="I333" s="98">
        <v>5000000</v>
      </c>
      <c r="J333">
        <v>91.668000000000006</v>
      </c>
      <c r="L333">
        <v>0</v>
      </c>
      <c r="M333">
        <v>32</v>
      </c>
      <c r="O333">
        <v>0</v>
      </c>
      <c r="P333">
        <v>0</v>
      </c>
      <c r="Q333">
        <v>0</v>
      </c>
      <c r="R333">
        <v>0</v>
      </c>
      <c r="S333" s="98">
        <v>-4583414</v>
      </c>
      <c r="U333">
        <v>91.668000000000006</v>
      </c>
      <c r="V333" s="98">
        <v>5000000</v>
      </c>
      <c r="W333" t="s">
        <v>449</v>
      </c>
      <c r="X333" t="s">
        <v>10</v>
      </c>
      <c r="Y333">
        <v>0</v>
      </c>
      <c r="Z333">
        <v>0</v>
      </c>
    </row>
    <row r="334" spans="2:26" x14ac:dyDescent="0.35">
      <c r="B334" t="s">
        <v>871</v>
      </c>
      <c r="C334" t="s">
        <v>871</v>
      </c>
      <c r="E334" t="s">
        <v>4</v>
      </c>
      <c r="G334" t="s">
        <v>448</v>
      </c>
      <c r="H334" t="s">
        <v>14</v>
      </c>
      <c r="I334" s="98">
        <v>2000000</v>
      </c>
      <c r="J334">
        <v>85.248000000000005</v>
      </c>
      <c r="L334">
        <v>0</v>
      </c>
      <c r="M334">
        <v>12</v>
      </c>
      <c r="O334">
        <v>0</v>
      </c>
      <c r="P334">
        <v>0</v>
      </c>
      <c r="Q334">
        <v>0</v>
      </c>
      <c r="R334">
        <v>0</v>
      </c>
      <c r="S334" s="98">
        <v>-1704954</v>
      </c>
      <c r="U334">
        <v>85.248000000000005</v>
      </c>
      <c r="V334" s="98">
        <v>2000000</v>
      </c>
      <c r="W334" t="s">
        <v>449</v>
      </c>
      <c r="X334" t="s">
        <v>10</v>
      </c>
      <c r="Y334">
        <v>0</v>
      </c>
      <c r="Z334">
        <v>0</v>
      </c>
    </row>
    <row r="335" spans="2:26" x14ac:dyDescent="0.35">
      <c r="B335" t="s">
        <v>877</v>
      </c>
      <c r="C335" t="s">
        <v>877</v>
      </c>
      <c r="E335" t="s">
        <v>4</v>
      </c>
      <c r="G335" t="s">
        <v>448</v>
      </c>
      <c r="H335" t="s">
        <v>14</v>
      </c>
      <c r="I335" s="98">
        <v>9000000</v>
      </c>
      <c r="J335">
        <v>75.3</v>
      </c>
      <c r="L335">
        <v>0</v>
      </c>
      <c r="M335">
        <v>47</v>
      </c>
      <c r="O335">
        <v>0</v>
      </c>
      <c r="P335">
        <v>0</v>
      </c>
      <c r="Q335">
        <v>0</v>
      </c>
      <c r="R335">
        <v>0</v>
      </c>
      <c r="S335" s="98">
        <v>-6751857</v>
      </c>
      <c r="U335">
        <v>75.3</v>
      </c>
      <c r="V335" s="98">
        <v>9000000</v>
      </c>
      <c r="W335" t="s">
        <v>449</v>
      </c>
      <c r="X335" t="s">
        <v>10</v>
      </c>
      <c r="Y335">
        <v>0</v>
      </c>
      <c r="Z335">
        <v>0</v>
      </c>
    </row>
    <row r="336" spans="2:26" x14ac:dyDescent="0.35">
      <c r="B336" t="s">
        <v>906</v>
      </c>
      <c r="C336" t="s">
        <v>906</v>
      </c>
      <c r="E336" t="s">
        <v>4</v>
      </c>
      <c r="G336" t="s">
        <v>448</v>
      </c>
      <c r="H336" t="s">
        <v>14</v>
      </c>
      <c r="I336" s="98">
        <v>-7100000</v>
      </c>
      <c r="J336">
        <v>100.944</v>
      </c>
      <c r="L336">
        <v>0</v>
      </c>
      <c r="M336">
        <v>-219</v>
      </c>
      <c r="O336">
        <v>0</v>
      </c>
      <c r="P336">
        <v>0</v>
      </c>
      <c r="Q336">
        <v>0</v>
      </c>
      <c r="R336">
        <v>0</v>
      </c>
      <c r="S336" s="98">
        <v>7167008</v>
      </c>
      <c r="U336">
        <v>100.944</v>
      </c>
      <c r="V336" s="98">
        <v>-7100000</v>
      </c>
      <c r="W336" t="s">
        <v>449</v>
      </c>
      <c r="X336" t="s">
        <v>10</v>
      </c>
      <c r="Y336">
        <v>0</v>
      </c>
      <c r="Z336">
        <v>0</v>
      </c>
    </row>
    <row r="337" spans="2:26" x14ac:dyDescent="0.35">
      <c r="B337" t="s">
        <v>903</v>
      </c>
      <c r="C337" t="s">
        <v>903</v>
      </c>
      <c r="E337" t="s">
        <v>4</v>
      </c>
      <c r="G337" t="s">
        <v>448</v>
      </c>
      <c r="H337" t="s">
        <v>14</v>
      </c>
      <c r="I337" s="98">
        <v>-3000000</v>
      </c>
      <c r="J337">
        <v>108.27200000000001</v>
      </c>
      <c r="L337">
        <v>0</v>
      </c>
      <c r="M337">
        <v>-86</v>
      </c>
      <c r="O337">
        <v>0</v>
      </c>
      <c r="P337">
        <v>0</v>
      </c>
      <c r="Q337">
        <v>0</v>
      </c>
      <c r="R337">
        <v>0</v>
      </c>
      <c r="S337" s="98">
        <v>3248169</v>
      </c>
      <c r="U337">
        <v>108.27200000000001</v>
      </c>
      <c r="V337" s="98">
        <v>-3000000</v>
      </c>
      <c r="W337" t="s">
        <v>449</v>
      </c>
      <c r="X337" t="s">
        <v>10</v>
      </c>
      <c r="Y337">
        <v>0</v>
      </c>
      <c r="Z337">
        <v>0</v>
      </c>
    </row>
    <row r="338" spans="2:26" x14ac:dyDescent="0.35">
      <c r="B338" t="s">
        <v>902</v>
      </c>
      <c r="C338" t="s">
        <v>902</v>
      </c>
      <c r="E338" t="s">
        <v>4</v>
      </c>
      <c r="G338" t="s">
        <v>448</v>
      </c>
      <c r="H338" t="s">
        <v>14</v>
      </c>
      <c r="I338" s="98">
        <v>-3100000</v>
      </c>
      <c r="J338">
        <v>103.645</v>
      </c>
      <c r="L338">
        <v>0</v>
      </c>
      <c r="M338">
        <v>-85</v>
      </c>
      <c r="O338">
        <v>0</v>
      </c>
      <c r="P338">
        <v>0</v>
      </c>
      <c r="Q338">
        <v>0</v>
      </c>
      <c r="R338">
        <v>0</v>
      </c>
      <c r="S338" s="98">
        <v>3212994</v>
      </c>
      <c r="U338">
        <v>103.645</v>
      </c>
      <c r="V338" s="98">
        <v>-3100000</v>
      </c>
      <c r="W338" t="s">
        <v>449</v>
      </c>
      <c r="X338" t="s">
        <v>10</v>
      </c>
      <c r="Y338">
        <v>0</v>
      </c>
      <c r="Z338">
        <v>0</v>
      </c>
    </row>
    <row r="339" spans="2:26" x14ac:dyDescent="0.35">
      <c r="B339" t="s">
        <v>912</v>
      </c>
      <c r="C339" t="s">
        <v>912</v>
      </c>
      <c r="E339" t="s">
        <v>266</v>
      </c>
      <c r="G339" t="s">
        <v>448</v>
      </c>
      <c r="H339" t="s">
        <v>14</v>
      </c>
      <c r="I339" s="98">
        <v>250000</v>
      </c>
      <c r="J339">
        <v>80.103999999999999</v>
      </c>
      <c r="L339">
        <v>0</v>
      </c>
      <c r="M339">
        <v>-2</v>
      </c>
      <c r="O339">
        <v>0</v>
      </c>
      <c r="P339">
        <v>0</v>
      </c>
      <c r="Q339">
        <v>0</v>
      </c>
      <c r="R339">
        <v>0</v>
      </c>
      <c r="S339" s="98">
        <v>-168641</v>
      </c>
      <c r="U339">
        <v>80.103999999999999</v>
      </c>
      <c r="V339" s="98">
        <v>250000</v>
      </c>
      <c r="W339" t="s">
        <v>449</v>
      </c>
      <c r="X339" t="s">
        <v>10</v>
      </c>
      <c r="Y339">
        <v>0</v>
      </c>
      <c r="Z339">
        <v>0</v>
      </c>
    </row>
    <row r="340" spans="2:26" x14ac:dyDescent="0.35">
      <c r="B340" t="s">
        <v>923</v>
      </c>
      <c r="C340" t="s">
        <v>923</v>
      </c>
      <c r="E340" t="s">
        <v>4</v>
      </c>
      <c r="G340" t="s">
        <v>448</v>
      </c>
      <c r="H340" t="s">
        <v>14</v>
      </c>
      <c r="I340" s="98">
        <v>-1000000</v>
      </c>
      <c r="J340">
        <v>108.58499999999999</v>
      </c>
      <c r="L340">
        <v>0</v>
      </c>
      <c r="M340">
        <v>-29</v>
      </c>
      <c r="O340">
        <v>0</v>
      </c>
      <c r="P340">
        <v>0</v>
      </c>
      <c r="Q340">
        <v>0</v>
      </c>
      <c r="R340">
        <v>0</v>
      </c>
      <c r="S340" s="98">
        <v>1085849</v>
      </c>
      <c r="U340">
        <v>108.58499999999999</v>
      </c>
      <c r="V340" s="98">
        <v>-1000000</v>
      </c>
      <c r="W340" t="s">
        <v>449</v>
      </c>
      <c r="X340" t="s">
        <v>10</v>
      </c>
      <c r="Y340">
        <v>0</v>
      </c>
      <c r="Z340">
        <v>0</v>
      </c>
    </row>
    <row r="341" spans="2:26" x14ac:dyDescent="0.35">
      <c r="B341" t="s">
        <v>922</v>
      </c>
      <c r="C341" t="s">
        <v>922</v>
      </c>
      <c r="E341" t="s">
        <v>4</v>
      </c>
      <c r="G341" t="s">
        <v>448</v>
      </c>
      <c r="H341" t="s">
        <v>14</v>
      </c>
      <c r="I341" s="98">
        <v>-200000</v>
      </c>
      <c r="J341">
        <v>101.167</v>
      </c>
      <c r="L341">
        <v>0</v>
      </c>
      <c r="M341">
        <v>-6</v>
      </c>
      <c r="O341">
        <v>0</v>
      </c>
      <c r="P341">
        <v>0</v>
      </c>
      <c r="Q341">
        <v>0</v>
      </c>
      <c r="R341">
        <v>0</v>
      </c>
      <c r="S341" s="98">
        <v>202333</v>
      </c>
      <c r="U341">
        <v>101.167</v>
      </c>
      <c r="V341" s="98">
        <v>-200000</v>
      </c>
      <c r="W341" t="s">
        <v>449</v>
      </c>
      <c r="X341" t="s">
        <v>10</v>
      </c>
      <c r="Y341">
        <v>0</v>
      </c>
      <c r="Z341">
        <v>0</v>
      </c>
    </row>
    <row r="342" spans="2:26" x14ac:dyDescent="0.35">
      <c r="B342" t="s">
        <v>951</v>
      </c>
      <c r="C342" t="s">
        <v>951</v>
      </c>
      <c r="E342" t="s">
        <v>266</v>
      </c>
      <c r="G342" t="s">
        <v>448</v>
      </c>
      <c r="H342" t="s">
        <v>14</v>
      </c>
      <c r="I342" s="98">
        <v>-2425000</v>
      </c>
      <c r="J342">
        <v>107.636</v>
      </c>
      <c r="L342">
        <v>2</v>
      </c>
      <c r="M342">
        <v>-19</v>
      </c>
      <c r="O342">
        <v>0</v>
      </c>
      <c r="P342">
        <v>0</v>
      </c>
      <c r="Q342">
        <v>0</v>
      </c>
      <c r="R342">
        <v>0</v>
      </c>
      <c r="S342" s="98">
        <v>2195932</v>
      </c>
      <c r="U342">
        <v>107.636</v>
      </c>
      <c r="V342" s="98">
        <v>-2425000</v>
      </c>
      <c r="W342" t="s">
        <v>449</v>
      </c>
      <c r="X342" t="s">
        <v>10</v>
      </c>
      <c r="Y342">
        <v>0</v>
      </c>
      <c r="Z342">
        <v>0</v>
      </c>
    </row>
    <row r="343" spans="2:26" x14ac:dyDescent="0.35">
      <c r="B343" t="s">
        <v>952</v>
      </c>
      <c r="C343" t="s">
        <v>952</v>
      </c>
      <c r="E343" t="s">
        <v>4</v>
      </c>
      <c r="G343" t="s">
        <v>448</v>
      </c>
      <c r="H343" t="s">
        <v>14</v>
      </c>
      <c r="I343" s="98">
        <v>-2500000</v>
      </c>
      <c r="J343">
        <v>104.05200000000001</v>
      </c>
      <c r="L343">
        <v>0</v>
      </c>
      <c r="M343">
        <v>-72</v>
      </c>
      <c r="O343">
        <v>0</v>
      </c>
      <c r="P343">
        <v>0</v>
      </c>
      <c r="Q343">
        <v>0</v>
      </c>
      <c r="R343">
        <v>0</v>
      </c>
      <c r="S343" s="98">
        <v>2601312</v>
      </c>
      <c r="U343">
        <v>104.05200000000001</v>
      </c>
      <c r="V343" s="98">
        <v>-2500000</v>
      </c>
      <c r="W343" t="s">
        <v>449</v>
      </c>
      <c r="X343" t="s">
        <v>10</v>
      </c>
      <c r="Y343">
        <v>0</v>
      </c>
      <c r="Z343">
        <v>0</v>
      </c>
    </row>
    <row r="344" spans="2:26" x14ac:dyDescent="0.35">
      <c r="B344" t="s">
        <v>953</v>
      </c>
      <c r="C344" t="s">
        <v>953</v>
      </c>
      <c r="E344" t="s">
        <v>4</v>
      </c>
      <c r="G344" t="s">
        <v>448</v>
      </c>
      <c r="H344" t="s">
        <v>14</v>
      </c>
      <c r="I344" s="98">
        <v>7000000</v>
      </c>
      <c r="J344">
        <v>82.867999999999995</v>
      </c>
      <c r="L344">
        <v>0</v>
      </c>
      <c r="M344">
        <v>41</v>
      </c>
      <c r="O344">
        <v>0</v>
      </c>
      <c r="P344">
        <v>0</v>
      </c>
      <c r="Q344">
        <v>0</v>
      </c>
      <c r="R344">
        <v>0</v>
      </c>
      <c r="S344" s="98">
        <v>-5948643</v>
      </c>
      <c r="U344">
        <v>82.867999999999995</v>
      </c>
      <c r="V344" s="98">
        <v>7000000</v>
      </c>
      <c r="W344" t="s">
        <v>449</v>
      </c>
      <c r="X344" t="s">
        <v>10</v>
      </c>
      <c r="Y344">
        <v>0</v>
      </c>
      <c r="Z344">
        <v>0</v>
      </c>
    </row>
    <row r="345" spans="2:26" x14ac:dyDescent="0.35">
      <c r="B345" t="s">
        <v>1002</v>
      </c>
      <c r="C345" t="s">
        <v>1002</v>
      </c>
      <c r="E345" t="s">
        <v>4</v>
      </c>
      <c r="G345" t="s">
        <v>448</v>
      </c>
      <c r="H345" t="s">
        <v>14</v>
      </c>
      <c r="I345" s="98">
        <v>-2500000</v>
      </c>
      <c r="J345">
        <v>126.25</v>
      </c>
      <c r="L345">
        <v>0</v>
      </c>
      <c r="M345">
        <v>-197</v>
      </c>
      <c r="O345">
        <v>0</v>
      </c>
      <c r="P345">
        <v>0</v>
      </c>
      <c r="Q345">
        <v>0</v>
      </c>
      <c r="R345">
        <v>0</v>
      </c>
      <c r="S345" s="98">
        <v>3156250</v>
      </c>
      <c r="U345">
        <v>126.25</v>
      </c>
      <c r="V345" s="98">
        <v>-2500000</v>
      </c>
      <c r="W345" t="s">
        <v>449</v>
      </c>
      <c r="X345" t="s">
        <v>10</v>
      </c>
      <c r="Y345">
        <v>0</v>
      </c>
      <c r="Z345">
        <v>0</v>
      </c>
    </row>
    <row r="346" spans="2:26" x14ac:dyDescent="0.35">
      <c r="B346" t="s">
        <v>999</v>
      </c>
      <c r="C346" t="s">
        <v>999</v>
      </c>
      <c r="E346" t="s">
        <v>4</v>
      </c>
      <c r="G346" t="s">
        <v>448</v>
      </c>
      <c r="H346" t="s">
        <v>14</v>
      </c>
      <c r="I346" s="98">
        <v>-500000</v>
      </c>
      <c r="J346">
        <v>94.132000000000005</v>
      </c>
      <c r="L346">
        <v>0</v>
      </c>
      <c r="M346">
        <v>-12</v>
      </c>
      <c r="O346">
        <v>0</v>
      </c>
      <c r="P346">
        <v>0</v>
      </c>
      <c r="Q346">
        <v>0</v>
      </c>
      <c r="R346">
        <v>0</v>
      </c>
      <c r="S346" s="98">
        <v>470658</v>
      </c>
      <c r="U346">
        <v>94.132000000000005</v>
      </c>
      <c r="V346" s="98">
        <v>-500000</v>
      </c>
      <c r="W346" t="s">
        <v>449</v>
      </c>
      <c r="X346" t="s">
        <v>10</v>
      </c>
      <c r="Y346">
        <v>0</v>
      </c>
      <c r="Z346">
        <v>0</v>
      </c>
    </row>
    <row r="347" spans="2:26" x14ac:dyDescent="0.35">
      <c r="B347" t="s">
        <v>1000</v>
      </c>
      <c r="C347" t="s">
        <v>1000</v>
      </c>
      <c r="E347" t="s">
        <v>4</v>
      </c>
      <c r="G347" t="s">
        <v>448</v>
      </c>
      <c r="H347" t="s">
        <v>14</v>
      </c>
      <c r="I347" s="98">
        <v>-508000</v>
      </c>
      <c r="J347">
        <v>113.27200000000001</v>
      </c>
      <c r="L347">
        <v>0</v>
      </c>
      <c r="M347">
        <v>-15</v>
      </c>
      <c r="O347">
        <v>0</v>
      </c>
      <c r="P347">
        <v>0</v>
      </c>
      <c r="Q347">
        <v>0</v>
      </c>
      <c r="R347">
        <v>0</v>
      </c>
      <c r="S347" s="98">
        <v>575421</v>
      </c>
      <c r="U347">
        <v>113.27200000000001</v>
      </c>
      <c r="V347" s="98">
        <v>-508000</v>
      </c>
      <c r="W347" t="s">
        <v>449</v>
      </c>
      <c r="X347" t="s">
        <v>10</v>
      </c>
      <c r="Y347">
        <v>0</v>
      </c>
      <c r="Z347">
        <v>0</v>
      </c>
    </row>
    <row r="348" spans="2:26" x14ac:dyDescent="0.35">
      <c r="B348" t="s">
        <v>1001</v>
      </c>
      <c r="C348" t="s">
        <v>1001</v>
      </c>
      <c r="E348" t="s">
        <v>4</v>
      </c>
      <c r="G348" t="s">
        <v>448</v>
      </c>
      <c r="H348" t="s">
        <v>14</v>
      </c>
      <c r="I348" s="98">
        <v>-5240000</v>
      </c>
      <c r="J348">
        <v>108.129</v>
      </c>
      <c r="L348">
        <v>0</v>
      </c>
      <c r="M348">
        <v>-150</v>
      </c>
      <c r="O348">
        <v>0</v>
      </c>
      <c r="P348">
        <v>0</v>
      </c>
      <c r="Q348">
        <v>0</v>
      </c>
      <c r="R348">
        <v>0</v>
      </c>
      <c r="S348" s="98">
        <v>5665964</v>
      </c>
      <c r="U348">
        <v>108.129</v>
      </c>
      <c r="V348" s="98">
        <v>-5240000</v>
      </c>
      <c r="W348" t="s">
        <v>449</v>
      </c>
      <c r="X348" t="s">
        <v>10</v>
      </c>
      <c r="Y348">
        <v>0</v>
      </c>
      <c r="Z348">
        <v>0</v>
      </c>
    </row>
    <row r="349" spans="2:26" x14ac:dyDescent="0.35">
      <c r="B349" t="s">
        <v>1198</v>
      </c>
      <c r="C349" t="s">
        <v>1198</v>
      </c>
      <c r="E349" t="s">
        <v>4</v>
      </c>
      <c r="G349" t="s">
        <v>448</v>
      </c>
      <c r="H349" t="s">
        <v>14</v>
      </c>
      <c r="I349" s="98">
        <v>4769000</v>
      </c>
      <c r="J349">
        <v>72.021000000000001</v>
      </c>
      <c r="L349">
        <v>0</v>
      </c>
      <c r="M349">
        <v>24</v>
      </c>
      <c r="O349">
        <v>0</v>
      </c>
      <c r="P349">
        <v>0</v>
      </c>
      <c r="Q349">
        <v>0</v>
      </c>
      <c r="R349">
        <v>0</v>
      </c>
      <c r="S349" s="98">
        <v>-3434669</v>
      </c>
      <c r="U349">
        <v>72.021000000000001</v>
      </c>
      <c r="V349" s="98">
        <v>4769000</v>
      </c>
      <c r="W349" t="s">
        <v>449</v>
      </c>
      <c r="X349" t="s">
        <v>10</v>
      </c>
      <c r="Y349">
        <v>0</v>
      </c>
      <c r="Z349">
        <v>0</v>
      </c>
    </row>
    <row r="350" spans="2:26" x14ac:dyDescent="0.35">
      <c r="B350" t="s">
        <v>1197</v>
      </c>
      <c r="C350" t="s">
        <v>1197</v>
      </c>
      <c r="E350" t="s">
        <v>4</v>
      </c>
      <c r="G350" t="s">
        <v>448</v>
      </c>
      <c r="H350" t="s">
        <v>14</v>
      </c>
      <c r="I350" s="98">
        <v>3000000</v>
      </c>
      <c r="J350">
        <v>78.876999999999995</v>
      </c>
      <c r="L350">
        <v>0</v>
      </c>
      <c r="M350">
        <v>16</v>
      </c>
      <c r="O350">
        <v>0</v>
      </c>
      <c r="P350">
        <v>0</v>
      </c>
      <c r="Q350">
        <v>0</v>
      </c>
      <c r="R350">
        <v>0</v>
      </c>
      <c r="S350" s="98">
        <v>-2366299</v>
      </c>
      <c r="U350">
        <v>78.876999999999995</v>
      </c>
      <c r="V350" s="98">
        <v>3000000</v>
      </c>
      <c r="W350" t="s">
        <v>449</v>
      </c>
      <c r="X350" t="s">
        <v>10</v>
      </c>
      <c r="Y350">
        <v>0</v>
      </c>
      <c r="Z350">
        <v>0</v>
      </c>
    </row>
    <row r="351" spans="2:26" x14ac:dyDescent="0.35">
      <c r="B351" t="s">
        <v>1195</v>
      </c>
      <c r="C351" t="s">
        <v>1195</v>
      </c>
      <c r="E351" t="s">
        <v>4</v>
      </c>
      <c r="G351" t="s">
        <v>448</v>
      </c>
      <c r="H351" t="s">
        <v>14</v>
      </c>
      <c r="I351" s="98">
        <v>2000000</v>
      </c>
      <c r="J351">
        <v>80.126000000000005</v>
      </c>
      <c r="L351">
        <v>0</v>
      </c>
      <c r="M351">
        <v>11</v>
      </c>
      <c r="O351">
        <v>0</v>
      </c>
      <c r="P351">
        <v>0</v>
      </c>
      <c r="Q351">
        <v>0</v>
      </c>
      <c r="R351">
        <v>0</v>
      </c>
      <c r="S351" s="98">
        <v>-1602527</v>
      </c>
      <c r="U351">
        <v>80.126000000000005</v>
      </c>
      <c r="V351" s="98">
        <v>2000000</v>
      </c>
      <c r="W351" t="s">
        <v>449</v>
      </c>
      <c r="X351" t="s">
        <v>10</v>
      </c>
      <c r="Y351">
        <v>0</v>
      </c>
      <c r="Z351">
        <v>0</v>
      </c>
    </row>
    <row r="352" spans="2:26" x14ac:dyDescent="0.35">
      <c r="B352" t="s">
        <v>1199</v>
      </c>
      <c r="C352" t="s">
        <v>1199</v>
      </c>
      <c r="E352" t="s">
        <v>4</v>
      </c>
      <c r="G352" t="s">
        <v>448</v>
      </c>
      <c r="H352" t="s">
        <v>14</v>
      </c>
      <c r="I352" s="98">
        <v>2200000</v>
      </c>
      <c r="J352">
        <v>82.516999999999996</v>
      </c>
      <c r="L352">
        <v>0</v>
      </c>
      <c r="M352">
        <v>13</v>
      </c>
      <c r="O352">
        <v>0</v>
      </c>
      <c r="P352">
        <v>0</v>
      </c>
      <c r="Q352">
        <v>0</v>
      </c>
      <c r="R352">
        <v>0</v>
      </c>
      <c r="S352" s="98">
        <v>-1815385</v>
      </c>
      <c r="U352">
        <v>82.516999999999996</v>
      </c>
      <c r="V352" s="98">
        <v>2200000</v>
      </c>
      <c r="W352" t="s">
        <v>449</v>
      </c>
      <c r="X352" t="s">
        <v>10</v>
      </c>
      <c r="Y352">
        <v>0</v>
      </c>
      <c r="Z352">
        <v>0</v>
      </c>
    </row>
    <row r="353" spans="2:26" x14ac:dyDescent="0.35">
      <c r="B353" t="s">
        <v>1196</v>
      </c>
      <c r="C353" t="s">
        <v>1196</v>
      </c>
      <c r="E353" t="s">
        <v>4</v>
      </c>
      <c r="G353" t="s">
        <v>448</v>
      </c>
      <c r="H353" t="s">
        <v>14</v>
      </c>
      <c r="I353" s="98">
        <v>2000000</v>
      </c>
      <c r="J353">
        <v>93.808999999999997</v>
      </c>
      <c r="L353">
        <v>0</v>
      </c>
      <c r="M353">
        <v>13</v>
      </c>
      <c r="O353">
        <v>0</v>
      </c>
      <c r="P353">
        <v>0</v>
      </c>
      <c r="Q353">
        <v>0</v>
      </c>
      <c r="R353">
        <v>0</v>
      </c>
      <c r="S353" s="98">
        <v>-1876186</v>
      </c>
      <c r="U353">
        <v>93.808999999999997</v>
      </c>
      <c r="V353" s="98">
        <v>2000000</v>
      </c>
      <c r="W353" t="s">
        <v>449</v>
      </c>
      <c r="X353" t="s">
        <v>10</v>
      </c>
      <c r="Y353">
        <v>0</v>
      </c>
      <c r="Z353">
        <v>0</v>
      </c>
    </row>
    <row r="354" spans="2:26" x14ac:dyDescent="0.35">
      <c r="B354" t="s">
        <v>1200</v>
      </c>
      <c r="C354" t="s">
        <v>1200</v>
      </c>
      <c r="E354" t="s">
        <v>4</v>
      </c>
      <c r="G354" t="s">
        <v>448</v>
      </c>
      <c r="H354" t="s">
        <v>14</v>
      </c>
      <c r="I354" s="98">
        <v>2000000</v>
      </c>
      <c r="J354">
        <v>86.86</v>
      </c>
      <c r="L354">
        <v>0</v>
      </c>
      <c r="M354">
        <v>12</v>
      </c>
      <c r="O354">
        <v>0</v>
      </c>
      <c r="P354">
        <v>0</v>
      </c>
      <c r="Q354">
        <v>0</v>
      </c>
      <c r="R354">
        <v>0</v>
      </c>
      <c r="S354" s="98">
        <v>-1737193</v>
      </c>
      <c r="U354">
        <v>86.86</v>
      </c>
      <c r="V354" s="98">
        <v>2000000</v>
      </c>
      <c r="W354" t="s">
        <v>449</v>
      </c>
      <c r="X354" t="s">
        <v>10</v>
      </c>
      <c r="Y354">
        <v>0</v>
      </c>
      <c r="Z354">
        <v>0</v>
      </c>
    </row>
    <row r="355" spans="2:26" x14ac:dyDescent="0.35">
      <c r="B355" t="s">
        <v>1247</v>
      </c>
      <c r="C355" t="s">
        <v>1247</v>
      </c>
      <c r="E355" t="s">
        <v>4</v>
      </c>
      <c r="G355" t="s">
        <v>448</v>
      </c>
      <c r="H355" t="s">
        <v>14</v>
      </c>
      <c r="I355">
        <v>0</v>
      </c>
      <c r="J355">
        <v>119.11199999999999</v>
      </c>
      <c r="L355">
        <v>0</v>
      </c>
      <c r="M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U355">
        <v>119.11199999999999</v>
      </c>
      <c r="V355">
        <v>0</v>
      </c>
      <c r="W355" t="s">
        <v>449</v>
      </c>
      <c r="X355" t="s">
        <v>10</v>
      </c>
      <c r="Y355">
        <v>0</v>
      </c>
      <c r="Z355">
        <v>0</v>
      </c>
    </row>
    <row r="356" spans="2:26" x14ac:dyDescent="0.35">
      <c r="B356" t="s">
        <v>1246</v>
      </c>
      <c r="C356" t="s">
        <v>1246</v>
      </c>
      <c r="E356" t="s">
        <v>4</v>
      </c>
      <c r="G356" t="s">
        <v>448</v>
      </c>
      <c r="H356" t="s">
        <v>14</v>
      </c>
      <c r="I356" s="98">
        <v>-800000</v>
      </c>
      <c r="J356">
        <v>126.78</v>
      </c>
      <c r="L356">
        <v>0</v>
      </c>
      <c r="M356">
        <v>-28</v>
      </c>
      <c r="O356">
        <v>0</v>
      </c>
      <c r="P356">
        <v>0</v>
      </c>
      <c r="Q356">
        <v>0</v>
      </c>
      <c r="R356">
        <v>0</v>
      </c>
      <c r="S356" s="98">
        <v>1014242</v>
      </c>
      <c r="U356">
        <v>126.78</v>
      </c>
      <c r="V356" s="98">
        <v>-800000</v>
      </c>
      <c r="W356" t="s">
        <v>449</v>
      </c>
      <c r="X356" t="s">
        <v>10</v>
      </c>
      <c r="Y356">
        <v>0</v>
      </c>
      <c r="Z356">
        <v>0</v>
      </c>
    </row>
    <row r="357" spans="2:26" x14ac:dyDescent="0.35">
      <c r="B357" t="s">
        <v>1249</v>
      </c>
      <c r="C357" t="s">
        <v>1249</v>
      </c>
      <c r="E357" t="s">
        <v>4</v>
      </c>
      <c r="G357" t="s">
        <v>448</v>
      </c>
      <c r="H357" t="s">
        <v>14</v>
      </c>
      <c r="I357" s="98">
        <v>-300000</v>
      </c>
      <c r="J357">
        <v>130.66300000000001</v>
      </c>
      <c r="L357">
        <v>0</v>
      </c>
      <c r="M357">
        <v>-12</v>
      </c>
      <c r="O357">
        <v>0</v>
      </c>
      <c r="P357">
        <v>0</v>
      </c>
      <c r="Q357">
        <v>0</v>
      </c>
      <c r="R357">
        <v>0</v>
      </c>
      <c r="S357" s="98">
        <v>391988</v>
      </c>
      <c r="U357">
        <v>130.66300000000001</v>
      </c>
      <c r="V357" s="98">
        <v>-300000</v>
      </c>
      <c r="W357" t="s">
        <v>449</v>
      </c>
      <c r="X357" t="s">
        <v>10</v>
      </c>
      <c r="Y357">
        <v>0</v>
      </c>
      <c r="Z357">
        <v>0</v>
      </c>
    </row>
    <row r="358" spans="2:26" x14ac:dyDescent="0.35">
      <c r="B358" t="s">
        <v>1248</v>
      </c>
      <c r="C358" t="s">
        <v>1248</v>
      </c>
      <c r="E358" t="s">
        <v>4</v>
      </c>
      <c r="G358" t="s">
        <v>448</v>
      </c>
      <c r="H358" t="s">
        <v>14</v>
      </c>
      <c r="I358" s="98">
        <v>-3500000</v>
      </c>
      <c r="J358">
        <v>106.438</v>
      </c>
      <c r="L358">
        <v>0</v>
      </c>
      <c r="M358">
        <v>-114</v>
      </c>
      <c r="O358">
        <v>0</v>
      </c>
      <c r="P358">
        <v>0</v>
      </c>
      <c r="Q358">
        <v>0</v>
      </c>
      <c r="R358">
        <v>0</v>
      </c>
      <c r="S358" s="98">
        <v>3725332</v>
      </c>
      <c r="U358">
        <v>106.438</v>
      </c>
      <c r="V358" s="98">
        <v>-3500000</v>
      </c>
      <c r="W358" t="s">
        <v>449</v>
      </c>
      <c r="X358" t="s">
        <v>10</v>
      </c>
      <c r="Y358">
        <v>0</v>
      </c>
      <c r="Z358">
        <v>0</v>
      </c>
    </row>
    <row r="359" spans="2:26" x14ac:dyDescent="0.35">
      <c r="B359" t="s">
        <v>1250</v>
      </c>
      <c r="C359" t="s">
        <v>1250</v>
      </c>
      <c r="E359" t="s">
        <v>4</v>
      </c>
      <c r="G359" t="s">
        <v>448</v>
      </c>
      <c r="H359" t="s">
        <v>14</v>
      </c>
      <c r="I359" s="98">
        <v>-4560000</v>
      </c>
      <c r="J359">
        <v>102.42400000000001</v>
      </c>
      <c r="L359">
        <v>0</v>
      </c>
      <c r="M359">
        <v>-123</v>
      </c>
      <c r="O359">
        <v>0</v>
      </c>
      <c r="P359">
        <v>0</v>
      </c>
      <c r="Q359">
        <v>0</v>
      </c>
      <c r="R359">
        <v>0</v>
      </c>
      <c r="S359" s="98">
        <v>4670555</v>
      </c>
      <c r="U359">
        <v>102.42400000000001</v>
      </c>
      <c r="V359" s="98">
        <v>-4560000</v>
      </c>
      <c r="W359" t="s">
        <v>449</v>
      </c>
      <c r="X359" t="s">
        <v>10</v>
      </c>
      <c r="Y359">
        <v>0</v>
      </c>
      <c r="Z359">
        <v>0</v>
      </c>
    </row>
    <row r="360" spans="2:26" x14ac:dyDescent="0.35">
      <c r="B360" t="s">
        <v>1251</v>
      </c>
      <c r="C360" t="s">
        <v>1251</v>
      </c>
      <c r="E360" t="s">
        <v>4</v>
      </c>
      <c r="G360" t="s">
        <v>448</v>
      </c>
      <c r="H360" t="s">
        <v>14</v>
      </c>
      <c r="I360" s="98">
        <v>-600000</v>
      </c>
      <c r="J360">
        <v>116.47</v>
      </c>
      <c r="L360">
        <v>0</v>
      </c>
      <c r="M360">
        <v>-18</v>
      </c>
      <c r="O360">
        <v>0</v>
      </c>
      <c r="P360">
        <v>0</v>
      </c>
      <c r="Q360">
        <v>0</v>
      </c>
      <c r="R360">
        <v>0</v>
      </c>
      <c r="S360" s="98">
        <v>698820</v>
      </c>
      <c r="U360">
        <v>116.47</v>
      </c>
      <c r="V360" s="98">
        <v>-600000</v>
      </c>
      <c r="W360" t="s">
        <v>449</v>
      </c>
      <c r="X360" t="s">
        <v>10</v>
      </c>
      <c r="Y360">
        <v>0</v>
      </c>
      <c r="Z360">
        <v>0</v>
      </c>
    </row>
    <row r="361" spans="2:26" x14ac:dyDescent="0.35">
      <c r="B361" t="s">
        <v>1252</v>
      </c>
      <c r="C361" t="s">
        <v>1252</v>
      </c>
      <c r="E361" t="s">
        <v>4</v>
      </c>
      <c r="G361" t="s">
        <v>448</v>
      </c>
      <c r="H361" t="s">
        <v>14</v>
      </c>
      <c r="I361" s="98">
        <v>-1400000</v>
      </c>
      <c r="J361">
        <v>107.101</v>
      </c>
      <c r="L361">
        <v>0</v>
      </c>
      <c r="M361">
        <v>-40</v>
      </c>
      <c r="O361">
        <v>0</v>
      </c>
      <c r="P361">
        <v>0</v>
      </c>
      <c r="Q361">
        <v>0</v>
      </c>
      <c r="R361">
        <v>0</v>
      </c>
      <c r="S361" s="98">
        <v>1499412</v>
      </c>
      <c r="U361">
        <v>107.101</v>
      </c>
      <c r="V361" s="98">
        <v>-1400000</v>
      </c>
      <c r="W361" t="s">
        <v>449</v>
      </c>
      <c r="X361" t="s">
        <v>10</v>
      </c>
      <c r="Y361">
        <v>0</v>
      </c>
      <c r="Z361">
        <v>0</v>
      </c>
    </row>
    <row r="362" spans="2:26" x14ac:dyDescent="0.35">
      <c r="B362" t="s">
        <v>1253</v>
      </c>
      <c r="C362" t="s">
        <v>1253</v>
      </c>
      <c r="E362" t="s">
        <v>4</v>
      </c>
      <c r="G362" t="s">
        <v>448</v>
      </c>
      <c r="H362" t="s">
        <v>14</v>
      </c>
      <c r="I362" s="98">
        <v>-1000000</v>
      </c>
      <c r="J362">
        <v>107.414</v>
      </c>
      <c r="L362">
        <v>0</v>
      </c>
      <c r="M362">
        <v>-28</v>
      </c>
      <c r="O362">
        <v>0</v>
      </c>
      <c r="P362">
        <v>0</v>
      </c>
      <c r="Q362">
        <v>0</v>
      </c>
      <c r="R362">
        <v>0</v>
      </c>
      <c r="S362" s="98">
        <v>1074144</v>
      </c>
      <c r="U362">
        <v>107.414</v>
      </c>
      <c r="V362" s="98">
        <v>-1000000</v>
      </c>
      <c r="W362" t="s">
        <v>449</v>
      </c>
      <c r="X362" t="s">
        <v>10</v>
      </c>
      <c r="Y362">
        <v>0</v>
      </c>
      <c r="Z362">
        <v>0</v>
      </c>
    </row>
    <row r="363" spans="2:26" x14ac:dyDescent="0.35">
      <c r="B363" t="s">
        <v>1256</v>
      </c>
      <c r="C363" t="s">
        <v>1256</v>
      </c>
      <c r="E363" t="s">
        <v>266</v>
      </c>
      <c r="G363" t="s">
        <v>448</v>
      </c>
      <c r="H363" t="s">
        <v>14</v>
      </c>
      <c r="I363" s="98">
        <v>-3225000</v>
      </c>
      <c r="J363">
        <v>110.16</v>
      </c>
      <c r="L363">
        <v>7</v>
      </c>
      <c r="M363">
        <v>-26</v>
      </c>
      <c r="O363">
        <v>0</v>
      </c>
      <c r="P363">
        <v>0</v>
      </c>
      <c r="Q363">
        <v>0</v>
      </c>
      <c r="R363">
        <v>0</v>
      </c>
      <c r="S363" s="98">
        <v>2982413</v>
      </c>
      <c r="U363">
        <v>110.16</v>
      </c>
      <c r="V363" s="98">
        <v>-3225000</v>
      </c>
      <c r="W363" t="s">
        <v>449</v>
      </c>
      <c r="X363" t="s">
        <v>10</v>
      </c>
      <c r="Y363">
        <v>0</v>
      </c>
      <c r="Z363">
        <v>0</v>
      </c>
    </row>
    <row r="364" spans="2:26" x14ac:dyDescent="0.35">
      <c r="B364" t="s">
        <v>1255</v>
      </c>
      <c r="C364" t="s">
        <v>1255</v>
      </c>
      <c r="E364" t="s">
        <v>266</v>
      </c>
      <c r="G364" t="s">
        <v>448</v>
      </c>
      <c r="H364" t="s">
        <v>14</v>
      </c>
      <c r="I364" s="98">
        <v>750000</v>
      </c>
      <c r="J364">
        <v>76.302999999999997</v>
      </c>
      <c r="L364">
        <v>0</v>
      </c>
      <c r="M364">
        <v>-5</v>
      </c>
      <c r="O364">
        <v>0</v>
      </c>
      <c r="P364">
        <v>0</v>
      </c>
      <c r="Q364">
        <v>0</v>
      </c>
      <c r="R364">
        <v>0</v>
      </c>
      <c r="S364" s="98">
        <v>-481913</v>
      </c>
      <c r="U364">
        <v>76.302999999999997</v>
      </c>
      <c r="V364" s="98">
        <v>750000</v>
      </c>
      <c r="W364" t="s">
        <v>449</v>
      </c>
      <c r="X364" t="s">
        <v>10</v>
      </c>
      <c r="Y364">
        <v>0</v>
      </c>
      <c r="Z364">
        <v>0</v>
      </c>
    </row>
    <row r="365" spans="2:26" x14ac:dyDescent="0.35">
      <c r="B365" t="s">
        <v>511</v>
      </c>
      <c r="C365" t="s">
        <v>511</v>
      </c>
      <c r="E365" t="s">
        <v>266</v>
      </c>
      <c r="G365" t="s">
        <v>448</v>
      </c>
      <c r="H365" t="s">
        <v>14</v>
      </c>
      <c r="I365" s="98">
        <v>615000</v>
      </c>
      <c r="J365">
        <v>106.42700000000001</v>
      </c>
      <c r="L365">
        <v>-111</v>
      </c>
      <c r="M365">
        <v>-5</v>
      </c>
      <c r="O365">
        <v>0</v>
      </c>
      <c r="P365">
        <v>0</v>
      </c>
      <c r="Q365">
        <v>0</v>
      </c>
      <c r="R365">
        <v>0</v>
      </c>
      <c r="S365" s="98">
        <v>-405141</v>
      </c>
      <c r="U365">
        <v>106.42700000000001</v>
      </c>
      <c r="V365" s="98">
        <v>615000</v>
      </c>
      <c r="W365" t="s">
        <v>449</v>
      </c>
      <c r="X365" t="s">
        <v>10</v>
      </c>
      <c r="Y365">
        <v>0</v>
      </c>
      <c r="Z365">
        <v>0</v>
      </c>
    </row>
    <row r="366" spans="2:26" x14ac:dyDescent="0.35">
      <c r="B366" t="s">
        <v>1257</v>
      </c>
      <c r="C366" t="s">
        <v>1257</v>
      </c>
      <c r="E366" t="s">
        <v>4</v>
      </c>
      <c r="G366" t="s">
        <v>448</v>
      </c>
      <c r="H366" t="s">
        <v>14</v>
      </c>
      <c r="I366" s="98">
        <v>6000000</v>
      </c>
      <c r="J366">
        <v>77.164000000000001</v>
      </c>
      <c r="L366">
        <v>0</v>
      </c>
      <c r="M366">
        <v>32</v>
      </c>
      <c r="O366">
        <v>0</v>
      </c>
      <c r="P366">
        <v>0</v>
      </c>
      <c r="Q366">
        <v>0</v>
      </c>
      <c r="R366">
        <v>0</v>
      </c>
      <c r="S366" s="98">
        <v>-4629837</v>
      </c>
      <c r="U366">
        <v>77.164000000000001</v>
      </c>
      <c r="V366" s="98">
        <v>6000000</v>
      </c>
      <c r="W366" t="s">
        <v>449</v>
      </c>
      <c r="X366" t="s">
        <v>10</v>
      </c>
      <c r="Y366">
        <v>0</v>
      </c>
      <c r="Z366">
        <v>0</v>
      </c>
    </row>
    <row r="367" spans="2:26" x14ac:dyDescent="0.35">
      <c r="B367" t="s">
        <v>1258</v>
      </c>
      <c r="C367" t="s">
        <v>1258</v>
      </c>
      <c r="E367" t="s">
        <v>4</v>
      </c>
      <c r="G367" t="s">
        <v>448</v>
      </c>
      <c r="H367" t="s">
        <v>14</v>
      </c>
      <c r="I367" s="98">
        <v>4500000</v>
      </c>
      <c r="J367">
        <v>79.155000000000001</v>
      </c>
      <c r="L367">
        <v>0</v>
      </c>
      <c r="M367">
        <v>25</v>
      </c>
      <c r="O367">
        <v>0</v>
      </c>
      <c r="P367">
        <v>0</v>
      </c>
      <c r="Q367">
        <v>0</v>
      </c>
      <c r="R367">
        <v>0</v>
      </c>
      <c r="S367" s="98">
        <v>-3561954</v>
      </c>
      <c r="U367">
        <v>79.155000000000001</v>
      </c>
      <c r="V367" s="98">
        <v>4500000</v>
      </c>
      <c r="W367" t="s">
        <v>449</v>
      </c>
      <c r="X367" t="s">
        <v>10</v>
      </c>
      <c r="Y367">
        <v>0</v>
      </c>
      <c r="Z367">
        <v>0</v>
      </c>
    </row>
    <row r="368" spans="2:26" x14ac:dyDescent="0.35">
      <c r="B368" t="s">
        <v>1314</v>
      </c>
      <c r="C368" t="s">
        <v>1314</v>
      </c>
      <c r="E368" t="s">
        <v>4</v>
      </c>
      <c r="G368" t="s">
        <v>448</v>
      </c>
      <c r="H368" t="s">
        <v>14</v>
      </c>
      <c r="I368" s="98">
        <v>-2000000</v>
      </c>
      <c r="J368">
        <v>106.464</v>
      </c>
      <c r="L368">
        <v>0</v>
      </c>
      <c r="M368">
        <v>-56</v>
      </c>
      <c r="O368">
        <v>0</v>
      </c>
      <c r="P368">
        <v>0</v>
      </c>
      <c r="Q368">
        <v>0</v>
      </c>
      <c r="R368">
        <v>0</v>
      </c>
      <c r="S368" s="98">
        <v>2129285</v>
      </c>
      <c r="U368">
        <v>106.464</v>
      </c>
      <c r="V368" s="98">
        <v>-2000000</v>
      </c>
      <c r="W368" t="s">
        <v>449</v>
      </c>
      <c r="X368" t="s">
        <v>10</v>
      </c>
      <c r="Y368">
        <v>0</v>
      </c>
      <c r="Z368">
        <v>0</v>
      </c>
    </row>
    <row r="369" spans="1:27" x14ac:dyDescent="0.35">
      <c r="B369" t="s">
        <v>1335</v>
      </c>
      <c r="C369" t="s">
        <v>1335</v>
      </c>
      <c r="E369" t="s">
        <v>4</v>
      </c>
      <c r="G369" t="s">
        <v>448</v>
      </c>
      <c r="H369" t="s">
        <v>14</v>
      </c>
      <c r="I369" s="98">
        <v>-100000</v>
      </c>
      <c r="J369">
        <v>107.819</v>
      </c>
      <c r="L369">
        <v>0</v>
      </c>
      <c r="M369">
        <v>-3</v>
      </c>
      <c r="O369">
        <v>0</v>
      </c>
      <c r="P369">
        <v>0</v>
      </c>
      <c r="Q369">
        <v>0</v>
      </c>
      <c r="R369">
        <v>0</v>
      </c>
      <c r="S369" s="98">
        <v>107819</v>
      </c>
      <c r="U369">
        <v>107.819</v>
      </c>
      <c r="V369" s="98">
        <v>-100000</v>
      </c>
      <c r="W369" t="s">
        <v>449</v>
      </c>
      <c r="X369" t="s">
        <v>10</v>
      </c>
      <c r="Y369">
        <v>0</v>
      </c>
      <c r="Z369">
        <v>0</v>
      </c>
    </row>
    <row r="370" spans="1:27" x14ac:dyDescent="0.35">
      <c r="B370" t="s">
        <v>1334</v>
      </c>
      <c r="C370" t="s">
        <v>1334</v>
      </c>
      <c r="E370" t="s">
        <v>4</v>
      </c>
      <c r="G370" t="s">
        <v>448</v>
      </c>
      <c r="H370" t="s">
        <v>14</v>
      </c>
      <c r="I370" s="98">
        <v>-1350000</v>
      </c>
      <c r="J370">
        <v>108.646</v>
      </c>
      <c r="L370">
        <v>0</v>
      </c>
      <c r="M370">
        <v>-39</v>
      </c>
      <c r="O370">
        <v>0</v>
      </c>
      <c r="P370">
        <v>0</v>
      </c>
      <c r="Q370">
        <v>0</v>
      </c>
      <c r="R370">
        <v>0</v>
      </c>
      <c r="S370" s="98">
        <v>1466717</v>
      </c>
      <c r="U370">
        <v>108.646</v>
      </c>
      <c r="V370" s="98">
        <v>-1350000</v>
      </c>
      <c r="W370" t="s">
        <v>449</v>
      </c>
      <c r="X370" t="s">
        <v>10</v>
      </c>
      <c r="Y370">
        <v>0</v>
      </c>
      <c r="Z370">
        <v>0</v>
      </c>
    </row>
    <row r="371" spans="1:27" x14ac:dyDescent="0.35">
      <c r="B371" t="s">
        <v>869</v>
      </c>
      <c r="C371" t="s">
        <v>869</v>
      </c>
      <c r="E371" t="s">
        <v>4</v>
      </c>
      <c r="G371" t="s">
        <v>448</v>
      </c>
      <c r="H371" t="s">
        <v>14</v>
      </c>
      <c r="I371" s="98">
        <v>-1150000</v>
      </c>
      <c r="J371">
        <v>103.98699999999999</v>
      </c>
      <c r="L371">
        <v>0</v>
      </c>
      <c r="M371">
        <v>-32</v>
      </c>
      <c r="O371">
        <v>0</v>
      </c>
      <c r="P371">
        <v>0</v>
      </c>
      <c r="Q371">
        <v>0</v>
      </c>
      <c r="R371">
        <v>0</v>
      </c>
      <c r="S371" s="98">
        <v>1195847</v>
      </c>
      <c r="U371">
        <v>103.98699999999999</v>
      </c>
      <c r="V371" s="98">
        <v>-1150000</v>
      </c>
      <c r="W371" t="s">
        <v>449</v>
      </c>
      <c r="X371" t="s">
        <v>10</v>
      </c>
      <c r="Y371">
        <v>0</v>
      </c>
      <c r="Z371">
        <v>0</v>
      </c>
    </row>
    <row r="372" spans="1:27" x14ac:dyDescent="0.35">
      <c r="B372" t="s">
        <v>1336</v>
      </c>
      <c r="C372" t="s">
        <v>1336</v>
      </c>
      <c r="E372" t="s">
        <v>4</v>
      </c>
      <c r="G372" t="s">
        <v>448</v>
      </c>
      <c r="H372" t="s">
        <v>14</v>
      </c>
      <c r="I372" s="98">
        <v>2000000</v>
      </c>
      <c r="J372">
        <v>83.683000000000007</v>
      </c>
      <c r="L372">
        <v>0</v>
      </c>
      <c r="M372">
        <v>12</v>
      </c>
      <c r="O372">
        <v>0</v>
      </c>
      <c r="P372">
        <v>0</v>
      </c>
      <c r="Q372">
        <v>0</v>
      </c>
      <c r="R372">
        <v>0</v>
      </c>
      <c r="S372" s="98">
        <v>-1673669</v>
      </c>
      <c r="U372">
        <v>83.683000000000007</v>
      </c>
      <c r="V372" s="98">
        <v>2000000</v>
      </c>
      <c r="W372" t="s">
        <v>449</v>
      </c>
      <c r="X372" t="s">
        <v>10</v>
      </c>
      <c r="Y372">
        <v>0</v>
      </c>
      <c r="Z372">
        <v>0</v>
      </c>
    </row>
    <row r="373" spans="1:27" x14ac:dyDescent="0.35">
      <c r="B373" t="s">
        <v>1337</v>
      </c>
      <c r="C373" t="s">
        <v>1337</v>
      </c>
      <c r="E373" t="s">
        <v>4</v>
      </c>
      <c r="G373" t="s">
        <v>448</v>
      </c>
      <c r="H373" t="s">
        <v>14</v>
      </c>
      <c r="I373" s="98">
        <v>6000000</v>
      </c>
      <c r="J373">
        <v>91.293999999999997</v>
      </c>
      <c r="L373">
        <v>0</v>
      </c>
      <c r="M373">
        <v>38</v>
      </c>
      <c r="O373">
        <v>0</v>
      </c>
      <c r="P373">
        <v>0</v>
      </c>
      <c r="Q373">
        <v>0</v>
      </c>
      <c r="R373">
        <v>0</v>
      </c>
      <c r="S373" s="98">
        <v>-5477666</v>
      </c>
      <c r="U373">
        <v>91.293999999999997</v>
      </c>
      <c r="V373" s="98">
        <v>6000000</v>
      </c>
      <c r="W373" t="s">
        <v>449</v>
      </c>
      <c r="X373" t="s">
        <v>10</v>
      </c>
      <c r="Y373">
        <v>0</v>
      </c>
      <c r="Z373">
        <v>0</v>
      </c>
    </row>
    <row r="374" spans="1:27" x14ac:dyDescent="0.35">
      <c r="A374" t="s">
        <v>560</v>
      </c>
      <c r="B374" t="s">
        <v>560</v>
      </c>
      <c r="C374" t="s">
        <v>561</v>
      </c>
      <c r="D374" t="s">
        <v>562</v>
      </c>
      <c r="E374" t="s">
        <v>4</v>
      </c>
      <c r="F374" s="99">
        <v>46652</v>
      </c>
      <c r="G374" t="s">
        <v>30</v>
      </c>
      <c r="H374" t="s">
        <v>14</v>
      </c>
      <c r="I374" s="98">
        <v>-500000</v>
      </c>
      <c r="J374">
        <v>102.812</v>
      </c>
      <c r="K374">
        <v>469</v>
      </c>
      <c r="L374" s="98">
        <v>-1835</v>
      </c>
      <c r="M374">
        <v>-66</v>
      </c>
      <c r="N374" t="s">
        <v>263</v>
      </c>
      <c r="O374">
        <v>-300</v>
      </c>
      <c r="P374">
        <v>-303</v>
      </c>
      <c r="Q374" s="98">
        <v>-1423</v>
      </c>
      <c r="R374">
        <v>-4.59</v>
      </c>
      <c r="S374" s="98">
        <v>-514060</v>
      </c>
      <c r="T374" t="s">
        <v>1302</v>
      </c>
      <c r="U374">
        <v>102.44499999999999</v>
      </c>
      <c r="V374" s="98">
        <v>-500000</v>
      </c>
      <c r="W374" t="s">
        <v>563</v>
      </c>
      <c r="X374" t="s">
        <v>10</v>
      </c>
      <c r="Y374" s="98">
        <v>-517275</v>
      </c>
      <c r="Z374" s="98">
        <v>517275</v>
      </c>
      <c r="AA374" t="b">
        <v>0</v>
      </c>
    </row>
    <row r="375" spans="1:27" x14ac:dyDescent="0.35">
      <c r="A375" t="s">
        <v>564</v>
      </c>
      <c r="B375" t="s">
        <v>564</v>
      </c>
      <c r="C375" t="s">
        <v>565</v>
      </c>
      <c r="D375" t="s">
        <v>566</v>
      </c>
      <c r="E375" t="s">
        <v>266</v>
      </c>
      <c r="F375" s="99">
        <v>45558</v>
      </c>
      <c r="G375" t="s">
        <v>30</v>
      </c>
      <c r="H375" t="s">
        <v>14</v>
      </c>
      <c r="I375" s="98">
        <v>2000000</v>
      </c>
      <c r="J375">
        <v>109.836</v>
      </c>
      <c r="K375">
        <v>378</v>
      </c>
      <c r="L375" s="98">
        <v>2765</v>
      </c>
      <c r="M375">
        <v>161</v>
      </c>
      <c r="N375" t="s">
        <v>263</v>
      </c>
      <c r="O375">
        <v>632</v>
      </c>
      <c r="P375">
        <v>642</v>
      </c>
      <c r="Q375" s="98">
        <v>2424</v>
      </c>
      <c r="R375">
        <v>7.82</v>
      </c>
      <c r="S375" s="98">
        <v>1849869</v>
      </c>
      <c r="T375" t="s">
        <v>1302</v>
      </c>
      <c r="U375">
        <v>109.623</v>
      </c>
      <c r="V375" s="98">
        <v>1000000</v>
      </c>
      <c r="W375" t="s">
        <v>563</v>
      </c>
      <c r="X375" t="s">
        <v>10</v>
      </c>
      <c r="Y375" s="98">
        <v>1868203</v>
      </c>
      <c r="Z375" s="98">
        <v>1868203</v>
      </c>
      <c r="AA375" t="b">
        <v>0</v>
      </c>
    </row>
    <row r="376" spans="1:27" x14ac:dyDescent="0.35">
      <c r="A376" t="s">
        <v>567</v>
      </c>
      <c r="B376" t="s">
        <v>567</v>
      </c>
      <c r="C376" t="s">
        <v>568</v>
      </c>
      <c r="D376" t="s">
        <v>569</v>
      </c>
      <c r="E376" t="s">
        <v>283</v>
      </c>
      <c r="F376" s="99">
        <v>45550</v>
      </c>
      <c r="G376" t="s">
        <v>30</v>
      </c>
      <c r="H376" t="s">
        <v>14</v>
      </c>
      <c r="I376" s="98">
        <v>-200000</v>
      </c>
      <c r="J376">
        <v>99.975999999999999</v>
      </c>
      <c r="K376">
        <v>574</v>
      </c>
      <c r="L376">
        <v>-625</v>
      </c>
      <c r="M376">
        <v>-36</v>
      </c>
      <c r="N376" t="s">
        <v>263</v>
      </c>
      <c r="O376">
        <v>-76</v>
      </c>
      <c r="P376">
        <v>-77</v>
      </c>
      <c r="Q376">
        <v>-441</v>
      </c>
      <c r="R376">
        <v>-1.42</v>
      </c>
      <c r="S376" s="98">
        <v>-221245</v>
      </c>
      <c r="T376" t="s">
        <v>1302</v>
      </c>
      <c r="U376">
        <v>99.685000000000002</v>
      </c>
      <c r="V376" s="98">
        <v>-200000</v>
      </c>
      <c r="W376" t="s">
        <v>563</v>
      </c>
      <c r="X376" t="s">
        <v>10</v>
      </c>
      <c r="Y376" s="98">
        <v>-223052</v>
      </c>
      <c r="Z376" s="98">
        <v>223052</v>
      </c>
      <c r="AA376" t="b">
        <v>0</v>
      </c>
    </row>
    <row r="377" spans="1:27" x14ac:dyDescent="0.35">
      <c r="A377" t="s">
        <v>570</v>
      </c>
      <c r="B377" t="s">
        <v>570</v>
      </c>
      <c r="C377" t="s">
        <v>571</v>
      </c>
      <c r="D377" t="s">
        <v>569</v>
      </c>
      <c r="E377" t="s">
        <v>283</v>
      </c>
      <c r="F377" s="99">
        <v>45000</v>
      </c>
      <c r="G377" t="s">
        <v>30</v>
      </c>
      <c r="H377" t="s">
        <v>14</v>
      </c>
      <c r="I377" s="98">
        <v>200000</v>
      </c>
      <c r="J377">
        <v>105.86</v>
      </c>
      <c r="K377">
        <v>453</v>
      </c>
      <c r="L377">
        <v>664</v>
      </c>
      <c r="M377">
        <v>44</v>
      </c>
      <c r="N377" t="s">
        <v>263</v>
      </c>
      <c r="O377">
        <v>51</v>
      </c>
      <c r="P377">
        <v>51</v>
      </c>
      <c r="Q377">
        <v>232</v>
      </c>
      <c r="R377">
        <v>0.75</v>
      </c>
      <c r="S377" s="98">
        <v>234266</v>
      </c>
      <c r="T377" t="s">
        <v>1302</v>
      </c>
      <c r="U377">
        <v>105.55500000000001</v>
      </c>
      <c r="V377" s="98">
        <v>200000</v>
      </c>
      <c r="W377" t="s">
        <v>563</v>
      </c>
      <c r="X377" t="s">
        <v>10</v>
      </c>
      <c r="Y377" s="98">
        <v>236497</v>
      </c>
      <c r="Z377" s="98">
        <v>236497</v>
      </c>
      <c r="AA377" t="b">
        <v>0</v>
      </c>
    </row>
    <row r="378" spans="1:27" x14ac:dyDescent="0.35">
      <c r="A378" t="s">
        <v>572</v>
      </c>
      <c r="B378" t="s">
        <v>572</v>
      </c>
      <c r="C378" t="s">
        <v>573</v>
      </c>
      <c r="D378" t="s">
        <v>574</v>
      </c>
      <c r="E378" t="s">
        <v>266</v>
      </c>
      <c r="F378" s="99">
        <v>45376</v>
      </c>
      <c r="G378" t="s">
        <v>30</v>
      </c>
      <c r="H378" t="s">
        <v>14</v>
      </c>
      <c r="I378" s="98">
        <v>250000</v>
      </c>
      <c r="J378">
        <v>108.592</v>
      </c>
      <c r="K378">
        <v>359</v>
      </c>
      <c r="L378">
        <v>438</v>
      </c>
      <c r="M378">
        <v>39</v>
      </c>
      <c r="N378" t="s">
        <v>263</v>
      </c>
      <c r="O378">
        <v>69</v>
      </c>
      <c r="P378">
        <v>70</v>
      </c>
      <c r="Q378">
        <v>252</v>
      </c>
      <c r="R378">
        <v>0.81</v>
      </c>
      <c r="S378" s="98">
        <v>228615</v>
      </c>
      <c r="T378" t="s">
        <v>1302</v>
      </c>
      <c r="U378">
        <v>108.386</v>
      </c>
      <c r="V378" s="98">
        <v>250000</v>
      </c>
      <c r="W378" t="s">
        <v>563</v>
      </c>
      <c r="X378" t="s">
        <v>10</v>
      </c>
      <c r="Y378" s="98">
        <v>230685</v>
      </c>
      <c r="Z378" s="98">
        <v>230685</v>
      </c>
      <c r="AA378" t="b">
        <v>0</v>
      </c>
    </row>
    <row r="379" spans="1:27" x14ac:dyDescent="0.35">
      <c r="A379" t="s">
        <v>575</v>
      </c>
      <c r="B379" t="s">
        <v>575</v>
      </c>
      <c r="C379" t="s">
        <v>576</v>
      </c>
      <c r="D379" t="s">
        <v>577</v>
      </c>
      <c r="E379" t="s">
        <v>283</v>
      </c>
      <c r="F379" s="99">
        <v>46142</v>
      </c>
      <c r="G379" t="s">
        <v>30</v>
      </c>
      <c r="H379" t="s">
        <v>14</v>
      </c>
      <c r="I379" s="98">
        <v>-300000</v>
      </c>
      <c r="J379">
        <v>97.228999999999999</v>
      </c>
      <c r="K379">
        <v>753</v>
      </c>
      <c r="L379" s="98">
        <v>-1672</v>
      </c>
      <c r="M379">
        <v>-65</v>
      </c>
      <c r="N379" t="s">
        <v>263</v>
      </c>
      <c r="O379">
        <v>-141</v>
      </c>
      <c r="P379">
        <v>-144</v>
      </c>
      <c r="Q379" s="98">
        <v>-1080</v>
      </c>
      <c r="R379">
        <v>-3.49</v>
      </c>
      <c r="S379" s="98">
        <v>-322748</v>
      </c>
      <c r="T379" t="s">
        <v>1302</v>
      </c>
      <c r="U379">
        <v>96.715000000000003</v>
      </c>
      <c r="V379" s="98">
        <v>-300000</v>
      </c>
      <c r="W379" t="s">
        <v>563</v>
      </c>
      <c r="X379" t="s">
        <v>10</v>
      </c>
      <c r="Y379" s="98">
        <v>-334109</v>
      </c>
      <c r="Z379" s="98">
        <v>334109</v>
      </c>
      <c r="AA379" t="b">
        <v>0</v>
      </c>
    </row>
    <row r="380" spans="1:27" x14ac:dyDescent="0.35">
      <c r="A380" t="s">
        <v>578</v>
      </c>
      <c r="B380" t="s">
        <v>578</v>
      </c>
      <c r="C380" t="s">
        <v>579</v>
      </c>
      <c r="D380" t="s">
        <v>580</v>
      </c>
      <c r="E380" t="s">
        <v>266</v>
      </c>
      <c r="F380" s="99">
        <v>46342</v>
      </c>
      <c r="G380" t="s">
        <v>30</v>
      </c>
      <c r="H380" t="s">
        <v>14</v>
      </c>
      <c r="I380" s="98">
        <v>50000</v>
      </c>
      <c r="J380">
        <v>107.051</v>
      </c>
      <c r="K380">
        <v>388</v>
      </c>
      <c r="L380">
        <v>78</v>
      </c>
      <c r="M380">
        <v>7</v>
      </c>
      <c r="N380" t="s">
        <v>263</v>
      </c>
      <c r="O380">
        <v>23</v>
      </c>
      <c r="P380">
        <v>23</v>
      </c>
      <c r="Q380">
        <v>90</v>
      </c>
      <c r="R380">
        <v>0.28999999999999998</v>
      </c>
      <c r="S380" s="98">
        <v>45074</v>
      </c>
      <c r="T380" t="s">
        <v>1302</v>
      </c>
      <c r="U380">
        <v>106.871</v>
      </c>
      <c r="V380" s="98">
        <v>50000</v>
      </c>
      <c r="W380" t="s">
        <v>563</v>
      </c>
      <c r="X380" t="s">
        <v>10</v>
      </c>
      <c r="Y380" s="98">
        <v>46464</v>
      </c>
      <c r="Z380" s="98">
        <v>46464</v>
      </c>
      <c r="AA380" t="b">
        <v>0</v>
      </c>
    </row>
    <row r="381" spans="1:27" x14ac:dyDescent="0.35">
      <c r="A381" t="s">
        <v>581</v>
      </c>
      <c r="B381" t="s">
        <v>581</v>
      </c>
      <c r="C381" t="s">
        <v>582</v>
      </c>
      <c r="D381" t="s">
        <v>580</v>
      </c>
      <c r="E381" t="s">
        <v>266</v>
      </c>
      <c r="F381" s="99">
        <v>45398</v>
      </c>
      <c r="G381" t="s">
        <v>30</v>
      </c>
      <c r="H381" t="s">
        <v>14</v>
      </c>
      <c r="I381" s="98">
        <v>500000</v>
      </c>
      <c r="J381">
        <v>108.479</v>
      </c>
      <c r="K381">
        <v>378</v>
      </c>
      <c r="L381">
        <v>730</v>
      </c>
      <c r="M381">
        <v>79</v>
      </c>
      <c r="N381" t="s">
        <v>263</v>
      </c>
      <c r="O381">
        <v>140</v>
      </c>
      <c r="P381">
        <v>142</v>
      </c>
      <c r="Q381">
        <v>538</v>
      </c>
      <c r="R381">
        <v>1.74</v>
      </c>
      <c r="S381" s="98">
        <v>456754</v>
      </c>
      <c r="T381" t="s">
        <v>1302</v>
      </c>
      <c r="U381">
        <v>108.31100000000001</v>
      </c>
      <c r="V381" s="98">
        <v>500000</v>
      </c>
      <c r="W381" t="s">
        <v>563</v>
      </c>
      <c r="X381" t="s">
        <v>10</v>
      </c>
      <c r="Y381" s="98">
        <v>459004</v>
      </c>
      <c r="Z381" s="98">
        <v>459004</v>
      </c>
      <c r="AA381" t="b">
        <v>0</v>
      </c>
    </row>
    <row r="382" spans="1:27" x14ac:dyDescent="0.35">
      <c r="A382" t="s">
        <v>882</v>
      </c>
      <c r="B382" t="s">
        <v>882</v>
      </c>
      <c r="C382" t="s">
        <v>883</v>
      </c>
      <c r="D382" t="s">
        <v>884</v>
      </c>
      <c r="E382" t="s">
        <v>4</v>
      </c>
      <c r="F382" s="99">
        <v>46398</v>
      </c>
      <c r="G382" t="s">
        <v>30</v>
      </c>
      <c r="H382" t="s">
        <v>14</v>
      </c>
      <c r="I382" s="98">
        <v>200000</v>
      </c>
      <c r="J382">
        <v>115.91</v>
      </c>
      <c r="K382">
        <v>519</v>
      </c>
      <c r="L382" s="98">
        <v>1058</v>
      </c>
      <c r="M382">
        <v>42</v>
      </c>
      <c r="N382" t="s">
        <v>263</v>
      </c>
      <c r="O382">
        <v>116</v>
      </c>
      <c r="P382">
        <v>117</v>
      </c>
      <c r="Q382">
        <v>608</v>
      </c>
      <c r="R382">
        <v>1.96</v>
      </c>
      <c r="S382" s="98">
        <v>231820</v>
      </c>
      <c r="T382" t="s">
        <v>1302</v>
      </c>
      <c r="U382">
        <v>115.381</v>
      </c>
      <c r="V382" s="98">
        <v>200000</v>
      </c>
      <c r="W382" t="s">
        <v>563</v>
      </c>
      <c r="X382" t="s">
        <v>10</v>
      </c>
      <c r="Y382" s="98">
        <v>236959</v>
      </c>
      <c r="Z382" s="98">
        <v>236959</v>
      </c>
      <c r="AA382" t="b">
        <v>0</v>
      </c>
    </row>
    <row r="383" spans="1:27" x14ac:dyDescent="0.35">
      <c r="A383" t="s">
        <v>885</v>
      </c>
      <c r="B383" t="s">
        <v>885</v>
      </c>
      <c r="C383" t="s">
        <v>886</v>
      </c>
      <c r="D383" t="s">
        <v>887</v>
      </c>
      <c r="E383" t="s">
        <v>4</v>
      </c>
      <c r="F383" s="99">
        <v>45828</v>
      </c>
      <c r="G383" t="s">
        <v>30</v>
      </c>
      <c r="H383" t="s">
        <v>14</v>
      </c>
      <c r="I383" s="98">
        <v>-200000</v>
      </c>
      <c r="J383">
        <v>100.33799999999999</v>
      </c>
      <c r="K383">
        <v>629</v>
      </c>
      <c r="L383" s="98">
        <v>-1244</v>
      </c>
      <c r="M383">
        <v>-32</v>
      </c>
      <c r="N383" t="s">
        <v>263</v>
      </c>
      <c r="O383">
        <v>-74</v>
      </c>
      <c r="P383">
        <v>-75</v>
      </c>
      <c r="Q383">
        <v>-469</v>
      </c>
      <c r="R383">
        <v>-1.51</v>
      </c>
      <c r="S383" s="98">
        <v>-200676</v>
      </c>
      <c r="T383" t="s">
        <v>1302</v>
      </c>
      <c r="U383">
        <v>99.715999999999994</v>
      </c>
      <c r="V383" s="98">
        <v>-200000</v>
      </c>
      <c r="W383" t="s">
        <v>563</v>
      </c>
      <c r="X383" t="s">
        <v>10</v>
      </c>
      <c r="Y383" s="98">
        <v>-205267</v>
      </c>
      <c r="Z383" s="98">
        <v>205267</v>
      </c>
      <c r="AA383" t="b">
        <v>0</v>
      </c>
    </row>
    <row r="384" spans="1:27" x14ac:dyDescent="0.35">
      <c r="A384" t="s">
        <v>831</v>
      </c>
      <c r="B384" t="s">
        <v>831</v>
      </c>
      <c r="E384" t="s">
        <v>4</v>
      </c>
      <c r="G384" t="s">
        <v>832</v>
      </c>
      <c r="H384" t="s">
        <v>14</v>
      </c>
      <c r="I384" s="98">
        <v>2348</v>
      </c>
      <c r="J384">
        <v>106.49</v>
      </c>
      <c r="L384">
        <v>0</v>
      </c>
      <c r="M384">
        <v>0</v>
      </c>
      <c r="O384">
        <v>0</v>
      </c>
      <c r="P384">
        <v>0</v>
      </c>
      <c r="Q384">
        <v>0</v>
      </c>
      <c r="R384">
        <v>0</v>
      </c>
      <c r="S384" s="98">
        <v>250000</v>
      </c>
      <c r="U384">
        <v>106.49</v>
      </c>
      <c r="V384" s="98">
        <v>2348</v>
      </c>
      <c r="W384" t="s">
        <v>449</v>
      </c>
      <c r="X384" t="s">
        <v>833</v>
      </c>
      <c r="Y384">
        <v>0</v>
      </c>
      <c r="Z384">
        <v>0</v>
      </c>
    </row>
    <row r="385" spans="1:27" x14ac:dyDescent="0.35">
      <c r="A385" t="s">
        <v>834</v>
      </c>
      <c r="B385" t="s">
        <v>835</v>
      </c>
      <c r="E385" t="s">
        <v>4</v>
      </c>
      <c r="G385" t="s">
        <v>832</v>
      </c>
      <c r="H385" t="s">
        <v>14</v>
      </c>
      <c r="I385" s="98">
        <v>21028</v>
      </c>
      <c r="J385">
        <v>119.41</v>
      </c>
      <c r="L385">
        <v>44</v>
      </c>
      <c r="M385">
        <v>0</v>
      </c>
      <c r="O385">
        <v>0</v>
      </c>
      <c r="P385">
        <v>0</v>
      </c>
      <c r="Q385">
        <v>0</v>
      </c>
      <c r="R385">
        <v>0</v>
      </c>
      <c r="S385" s="98">
        <v>2510918</v>
      </c>
      <c r="T385" t="s">
        <v>1347</v>
      </c>
      <c r="U385">
        <v>119.408</v>
      </c>
      <c r="V385" s="98">
        <v>21028</v>
      </c>
      <c r="W385" t="s">
        <v>449</v>
      </c>
      <c r="X385" t="s">
        <v>833</v>
      </c>
      <c r="Y385">
        <v>0</v>
      </c>
      <c r="Z385">
        <v>0</v>
      </c>
      <c r="AA385" t="b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04A99-967B-4085-BBAB-0348D20A0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pnl</vt:lpstr>
      <vt:lpstr>newResult</vt:lpstr>
      <vt:lpstr>groupResult</vt:lpstr>
      <vt:lpstr>trades</vt:lpstr>
      <vt:lpstr>pal_b</vt:lpstr>
      <vt:lpstr>pal_e</vt:lpstr>
      <vt:lpstr>pal</vt:lpstr>
      <vt:lpstr>pal2</vt:lpstr>
      <vt:lpstr>pal3</vt:lpstr>
      <vt:lpstr>blotter</vt:lpstr>
      <vt:lpstr>Sheet2</vt:lpstr>
      <vt:lpstr>dump_RH_isin_snap1</vt:lpstr>
      <vt:lpstr>dump_total_PnL_snap1</vt:lpstr>
      <vt:lpstr>groupResult!Print_Area</vt:lpstr>
      <vt:lpstr>newResult!Print_Area</vt:lpstr>
      <vt:lpstr>snap_01</vt:lpstr>
      <vt:lpstr>snap_02</vt:lpstr>
      <vt:lpstr>time_stamp</vt:lpstr>
      <vt:lpstr>time_stamp_old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darren</cp:lastModifiedBy>
  <dcterms:created xsi:type="dcterms:W3CDTF">2020-10-28T10:42:08Z</dcterms:created>
  <dcterms:modified xsi:type="dcterms:W3CDTF">2020-11-17T19:12:30Z</dcterms:modified>
</cp:coreProperties>
</file>